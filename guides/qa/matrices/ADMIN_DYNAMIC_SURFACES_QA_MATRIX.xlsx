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<sst xmlns="http://schemas.openxmlformats.org/spreadsheetml/2006/main" count="3910" uniqueCount="2052">
  <si>
    <t>EFFECT / SCOPE MARKERS</t>
  </si>
  <si>
    <t/>
  </si>
  <si>
    <t>Done</t>
  </si>
  <si>
    <t>59 (37%)</t>
  </si>
  <si>
    <t>X</t>
  </si>
  <si>
    <t>No expected effect — An unchanged X cell is PASS</t>
  </si>
  <si>
    <t>Pending</t>
  </si>
  <si>
    <t>18</t>
  </si>
  <si>
    <t>DELTA</t>
  </si>
  <si>
    <t>Required direct effect — Record before/after count and direction</t>
  </si>
  <si>
    <t>Not started</t>
  </si>
  <si>
    <t>81</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</si>
  <si>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</si>
  <si>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</si>
  <si>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</si>
  <si>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</si>
  <si>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</si>
  <si>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</si>
  <si>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</si>
  <si>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</si>
  <si>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</si>
  <si>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</si>
  <si>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</si>
  <si>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</si>
  <si>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</si>
  <si>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</si>
  <si>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</si>
  <si>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</si>
  <si>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</si>
  <si>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</si>
  <si>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</si>
  <si>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</si>
  <si>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</si>
  <si>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</si>
  <si>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</si>
  <si>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</si>
  <si>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</si>
  <si>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</si>
  <si>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</si>
  <si>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</si>
  <si>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</si>
  <si>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</si>
  <si>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</si>
  <si>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</si>
  <si>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</si>
  <si>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</si>
  <si>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</si>
  <si>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</si>
  <si>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</si>
  <si>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</si>
  <si>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</si>
  <si>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</si>
  <si>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</si>
  <si>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</si>
  <si>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</si>
  <si>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</si>
  <si>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</si>
  <si>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</si>
  <si>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</si>
  <si>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</si>
  <si>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6 passed / 9 total (67%)</t>
  </si>
  <si>
    <t>Client platform</t>
  </si>
  <si>
    <t>5</t>
  </si>
  <si>
    <t>Chat</t>
  </si>
  <si>
    <t>9</t>
  </si>
  <si>
    <t>1 passed / 20 total (5%)</t>
  </si>
  <si>
    <t>Administration</t>
  </si>
  <si>
    <t>4</t>
  </si>
  <si>
    <t>4 passed / 52 total (8%)</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</si>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</sst>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S2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8" hidden="false" customWidth="true"/>
    <col min="3" max="3" width="14" hidden="false" customWidth="true"/>
    <col min="4" max="4" width="14" hidden="false" customWidth="true"/>
    <col min="5" max="5" width="16" hidden="false" customWidth="true"/>
    <col min="6" max="6" width="12" hidden="false" customWidth="true"/>
    <col min="7" max="7" width="16" hidden="false" customWidth="true"/>
    <col min="8" max="8" width="10" hidden="false" customWidth="true"/>
    <col min="9" max="9" width="14" hidden="false" customWidth="true"/>
    <col min="10" max="10" width="16" hidden="false" customWidth="true"/>
    <col min="11" max="11" width="14" hidden="false" customWidth="true"/>
    <col min="12" max="12" width="12" hidden="false" customWidth="true"/>
    <col min="13" max="13" width="14" hidden="false" customWidth="true"/>
    <col min="14" max="14" width="14" hidden="false" customWidth="true"/>
    <col min="15" max="15" width="10" hidden="false" customWidth="true"/>
    <col min="16" max="16" width="18" hidden="false" customWidth="true"/>
    <col min="17" max="17" width="12" hidden="false" customWidth="true"/>
    <col min="18" max="18" width="0.1" hidden="true" customWidth="true"/>
    <col min="19" max="19" width="0.1" hidden="true" customWidth="true"/>
  </cols>
  <sheetData>
    <row r="1" customFormat="false" ht="20" hidden="false" customHeight="true" outlineLevel="0" collapsed="false">
      <c r="A1" s="219" t="s">
        <v>0</v>
      </c>
      <c r="B1" s="221" t="s">
        <v>1</v>
      </c>
      <c r="C1" s="146" t="s">
        <v>1</v>
      </c>
      <c r="D1" s="147" t="s">
        <v>2</v>
      </c>
      <c r="E1" s="476" t="str">
        <f>COUNTIFS(R17:R230,"Done",S17:S230,"Core")&amp;" ("&amp;IF(COUNTIF(S17:S230,"Core")=0,"0%",TEXT(COUNTIFS(R17:R230,"Done",S17:S230,"Core")/COUNTIF(S17:S230,"Core"),"0%"))&amp;")"</f>
        <v>59 (37%)</v>
      </c>
      <c r="F1" s="146" t="s">
        <v>1</v>
      </c>
      <c r="G1" s="146" t="s">
        <v>1</v>
      </c>
      <c r="H1" s="146" t="s">
        <v>1</v>
      </c>
      <c r="I1" s="146" t="s">
        <v>1</v>
      </c>
      <c r="J1" s="146" t="s">
        <v>1</v>
      </c>
      <c r="K1" s="146" t="s">
        <v>1</v>
      </c>
      <c r="L1" s="146" t="s">
        <v>1</v>
      </c>
      <c r="M1" s="146" t="s">
        <v>1</v>
      </c>
      <c r="N1" s="146" t="s">
        <v>1</v>
      </c>
      <c r="O1" s="146" t="s">
        <v>1</v>
      </c>
      <c r="P1" s="146" t="s">
        <v>1</v>
      </c>
      <c r="Q1" s="146" t="s">
        <v>1</v>
      </c>
    </row>
    <row r="2" customFormat="false" ht="15" hidden="false" customHeight="false" outlineLevel="0" collapsed="false">
      <c r="A2" s="182" t="s">
        <v>4</v>
      </c>
      <c r="B2" s="183" t="s">
        <v>5</v>
      </c>
      <c r="C2" s="146" t="s">
        <v>1</v>
      </c>
      <c r="D2" s="158" t="s">
        <v>6</v>
      </c>
      <c r="E2" s="486">
        <f>COUNTIFS(R17:R230,"Pending",S17:S230,"Core")</f>
        <v>18</v>
      </c>
      <c r="F2" s="146" t="s">
        <v>1</v>
      </c>
      <c r="G2" s="146" t="s">
        <v>1</v>
      </c>
      <c r="H2" s="146" t="s">
        <v>1</v>
      </c>
      <c r="I2" s="146" t="s">
        <v>1</v>
      </c>
      <c r="J2" s="146" t="s">
        <v>1</v>
      </c>
      <c r="K2" s="146" t="s">
        <v>1</v>
      </c>
      <c r="L2" s="146" t="s">
        <v>1</v>
      </c>
      <c r="M2" s="146" t="s">
        <v>1</v>
      </c>
      <c r="N2" s="146" t="s">
        <v>1</v>
      </c>
      <c r="O2" s="146" t="s">
        <v>1</v>
      </c>
      <c r="P2" s="146" t="s">
        <v>1</v>
      </c>
      <c r="Q2" s="146" t="s">
        <v>1</v>
      </c>
    </row>
    <row r="3" customFormat="false" ht="15" hidden="false" customHeight="false" outlineLevel="0" collapsed="false">
      <c r="A3" s="190" t="s">
        <v>8</v>
      </c>
      <c r="B3" s="191" t="s">
        <v>9</v>
      </c>
      <c r="C3" s="146" t="s">
        <v>1</v>
      </c>
      <c r="D3" s="174" t="s">
        <v>10</v>
      </c>
      <c r="E3" s="502">
        <f>COUNTIFS(R17:R230,"Not started",S17:S230,"Core")</f>
        <v>81</v>
      </c>
      <c r="F3" s="146" t="s">
        <v>1</v>
      </c>
      <c r="G3" s="146" t="s">
        <v>1</v>
      </c>
      <c r="H3" s="146" t="s">
        <v>1</v>
      </c>
      <c r="I3" s="146" t="s">
        <v>1</v>
      </c>
      <c r="J3" s="146" t="s">
        <v>1</v>
      </c>
      <c r="K3" s="146" t="s">
        <v>1</v>
      </c>
      <c r="L3" s="146" t="s">
        <v>1</v>
      </c>
      <c r="M3" s="146" t="s">
        <v>1</v>
      </c>
      <c r="N3" s="146" t="s">
        <v>1</v>
      </c>
      <c r="O3" s="146" t="s">
        <v>1</v>
      </c>
      <c r="P3" s="146" t="s">
        <v>1</v>
      </c>
      <c r="Q3" s="146" t="s">
        <v>1</v>
      </c>
    </row>
    <row r="4" customFormat="false" ht="15" hidden="false" customHeight="false" outlineLevel="0" collapsed="false">
      <c r="A4" s="198" t="s">
        <v>12</v>
      </c>
      <c r="B4" s="199" t="s">
        <v>13</v>
      </c>
      <c r="C4" s="146" t="s">
        <v>1</v>
      </c>
      <c r="D4" s="166" t="s">
        <v>14</v>
      </c>
      <c r="E4" s="494">
        <f>COUNTIFS(R17:R230,"Failed",S17:S230,"Core")</f>
        <v>0</v>
      </c>
      <c r="F4" s="146" t="s">
        <v>1</v>
      </c>
      <c r="G4" s="146" t="s">
        <v>1</v>
      </c>
      <c r="H4" s="146" t="s">
        <v>1</v>
      </c>
      <c r="I4" s="146" t="s">
        <v>1</v>
      </c>
      <c r="J4" s="146" t="s">
        <v>1</v>
      </c>
      <c r="K4" s="146" t="s">
        <v>1</v>
      </c>
      <c r="L4" s="146" t="s">
        <v>1</v>
      </c>
      <c r="M4" s="146" t="s">
        <v>1</v>
      </c>
      <c r="N4" s="146" t="s">
        <v>1</v>
      </c>
      <c r="O4" s="146" t="s">
        <v>1</v>
      </c>
      <c r="P4" s="146" t="s">
        <v>1</v>
      </c>
      <c r="Q4" s="146" t="s">
        <v>1</v>
      </c>
    </row>
    <row r="5" customFormat="false" ht="15" hidden="false" customHeight="false" outlineLevel="0" collapsed="false">
      <c r="A5" s="206" t="s">
        <v>16</v>
      </c>
      <c r="B5" s="207" t="s">
        <v>17</v>
      </c>
      <c r="C5" s="146" t="s">
        <v>1</v>
      </c>
      <c r="D5" s="230" t="s">
        <v>18</v>
      </c>
      <c r="E5" s="510">
        <f>COUNTIF(S17:S230,"Core")</f>
        <v>158</v>
      </c>
      <c r="F5" s="146" t="s">
        <v>1</v>
      </c>
      <c r="G5" s="146" t="s">
        <v>1</v>
      </c>
      <c r="H5" s="146" t="s">
        <v>1</v>
      </c>
      <c r="I5" s="146" t="s">
        <v>1</v>
      </c>
      <c r="J5" s="146" t="s">
        <v>1</v>
      </c>
      <c r="K5" s="146" t="s">
        <v>1</v>
      </c>
      <c r="L5" s="146" t="s">
        <v>1</v>
      </c>
      <c r="M5" s="146" t="s">
        <v>1</v>
      </c>
      <c r="N5" s="146" t="s">
        <v>1</v>
      </c>
      <c r="O5" s="146" t="s">
        <v>1</v>
      </c>
      <c r="P5" s="146" t="s">
        <v>1</v>
      </c>
      <c r="Q5" s="146" t="s">
        <v>1</v>
      </c>
    </row>
    <row r="6" customFormat="false" ht="15" hidden="false" customHeight="false" outlineLevel="0" collapsed="false">
      <c r="A6" s="249" t="s">
        <v>20</v>
      </c>
      <c r="B6" s="251" t="s">
        <v>21</v>
      </c>
      <c r="C6" s="146" t="s">
        <v>1</v>
      </c>
      <c r="D6" s="247" t="s">
        <v>22</v>
      </c>
      <c r="E6" s="518">
        <f>COUNTIF(S17:S230,"External")</f>
        <v>56</v>
      </c>
      <c r="F6" s="146" t="s">
        <v>1</v>
      </c>
      <c r="G6" s="146" t="s">
        <v>1</v>
      </c>
      <c r="H6" s="146" t="s">
        <v>1</v>
      </c>
      <c r="I6" s="146" t="s">
        <v>1</v>
      </c>
      <c r="J6" s="146" t="s">
        <v>1</v>
      </c>
      <c r="K6" s="146" t="s">
        <v>1</v>
      </c>
      <c r="L6" s="146" t="s">
        <v>1</v>
      </c>
      <c r="M6" s="146" t="s">
        <v>1</v>
      </c>
      <c r="N6" s="146" t="s">
        <v>1</v>
      </c>
      <c r="O6" s="146" t="s">
        <v>1</v>
      </c>
      <c r="P6" s="146" t="s">
        <v>1</v>
      </c>
      <c r="Q6" s="146" t="s">
        <v>1</v>
      </c>
    </row>
    <row r="7" customFormat="false" ht="15" hidden="false" customHeight="false" outlineLevel="0" collapsed="false">
      <c r="A7" s="146" t="s">
        <v>1</v>
      </c>
      <c r="B7" s="146" t="s">
        <v>1</v>
      </c>
      <c r="C7" s="146" t="s">
        <v>1</v>
      </c>
      <c r="D7" s="232" t="s">
        <v>24</v>
      </c>
      <c r="E7" s="513">
        <f>COUNTA(A17:A230)</f>
        <v>214</v>
      </c>
      <c r="F7" s="146" t="s">
        <v>1</v>
      </c>
      <c r="G7" s="146" t="s">
        <v>1</v>
      </c>
      <c r="H7" s="146" t="s">
        <v>1</v>
      </c>
      <c r="I7" s="146" t="s">
        <v>1</v>
      </c>
      <c r="J7" s="146" t="s">
        <v>1</v>
      </c>
      <c r="K7" s="146" t="s">
        <v>1</v>
      </c>
      <c r="L7" s="146" t="s">
        <v>1</v>
      </c>
      <c r="M7" s="146" t="s">
        <v>1</v>
      </c>
      <c r="N7" s="146" t="s">
        <v>1</v>
      </c>
      <c r="O7" s="146" t="s">
        <v>1</v>
      </c>
      <c r="P7" s="146" t="s">
        <v>1</v>
      </c>
      <c r="Q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row>
    <row r="10" customFormat="false" ht="15" hidden="false" customHeight="false" outlineLevel="0" collapsed="false">
      <c r="A10" s="277" t="s">
        <v>31</v>
      </c>
      <c r="B10" s="252" t="s">
        <v>1</v>
      </c>
      <c r="C10" s="252" t="s">
        <v>32</v>
      </c>
      <c r="D10" s="138" t="str">
        <f>COUNTIFS($C$17:$C$230,A10,$R$17:$R$230,"Done")&amp;" passed / "&amp;COUNTIF($C$17:$C$230,A10)&amp;" total ("&amp;IF(COUNTIF($C$17:$C$230,A10)=0,"0%",TEXT(COUNTIFS($C$17:$C$230,A10,$R$17:$R$230,"Done")/COUNTIF($C$17:$C$230,A10),"0%"))&amp;")"</f>
        <v>0 passed / 2 total (0%)</v>
      </c>
      <c r="E10" s="175" t="s">
        <v>1</v>
      </c>
      <c r="F10" s="333" t="s">
        <v>34</v>
      </c>
      <c r="G10" s="259" t="s">
        <v>1</v>
      </c>
      <c r="H10" s="259" t="s">
        <v>35</v>
      </c>
      <c r="I10" s="138" t="str">
        <f>COUNTIFS($C$17:$C$230,F10,$R$17:$R$230,"Done")&amp;" passed / "&amp;COUNTIF($C$17:$C$230,F10)&amp;" total ("&amp;IF(COUNTIF($C$17:$C$230,F10)=0,"0%",TEXT(COUNTIFS($C$17:$C$230,F10,$R$17:$R$230,"Done")/COUNTIF($C$17:$C$230,F10),"0%"))&amp;")"</f>
        <v>0 passed / 3 total (0%)</v>
      </c>
      <c r="J10" s="175" t="s">
        <v>1</v>
      </c>
      <c r="K10" s="247" t="s">
        <v>37</v>
      </c>
      <c r="L10" s="243" t="s">
        <v>1</v>
      </c>
      <c r="M10" s="243" t="s">
        <v>38</v>
      </c>
      <c r="N10" s="138" t="str">
        <f>COUNTIFS($C$17:$C$230,K10,$R$17:$R$230,"Done")&amp;" passed / "&amp;COUNTIF($C$17:$C$230,K10)&amp;" total ("&amp;IF(COUNTIF($C$17:$C$230,K10)=0,"0%",TEXT(COUNTIFS($C$17:$C$230,K10,$R$17:$R$230,"Done")/COUNTIF($C$17:$C$230,K10),"0%"))&amp;")"</f>
        <v>0 passed / 32 total (0%)</v>
      </c>
      <c r="O10" s="175" t="s">
        <v>1</v>
      </c>
      <c r="P10" s="146" t="s">
        <v>1</v>
      </c>
      <c r="Q10" s="146" t="s">
        <v>1</v>
      </c>
    </row>
    <row r="11" customFormat="false" ht="15" hidden="false" customHeight="false" outlineLevel="0" collapsed="false">
      <c r="A11" s="285" t="s">
        <v>40</v>
      </c>
      <c r="B11" s="253" t="s">
        <v>1</v>
      </c>
      <c r="C11" s="253" t="s">
        <v>41</v>
      </c>
      <c r="D11" s="451" t="str">
        <f>COUNTIFS($C$17:$C$230,A11,$R$17:$R$230,"Done")&amp;" passed / "&amp;COUNTIF($C$17:$C$230,A11)&amp;" total ("&amp;IF(COUNTIF($C$17:$C$230,A11)=0,"0%",TEXT(COUNTIFS($C$17:$C$230,A11,$R$17:$R$230,"Done")/COUNTIF($C$17:$C$230,A11),"0%"))&amp;")"</f>
        <v>5 passed / 12 total (42%)</v>
      </c>
      <c r="E11" s="470" t="s">
        <v>1</v>
      </c>
      <c r="F11" s="349" t="s">
        <v>43</v>
      </c>
      <c r="G11" s="261" t="s">
        <v>1</v>
      </c>
      <c r="H11" s="261" t="s">
        <v>44</v>
      </c>
      <c r="I11" s="135" t="str">
        <f>COUNTIFS($C$17:$C$230,F11,$R$17:$R$230,"Done")&amp;" passed / "&amp;COUNTIF($C$17:$C$230,F11)&amp;" total ("&amp;IF(COUNTIF($C$17:$C$230,F11)=0,"0%",TEXT(COUNTIFS($C$17:$C$230,F11,$R$17:$R$230,"Done")/COUNTIF($C$17:$C$230,F11),"0%"))&amp;")"</f>
        <v>2 passed / 2 total (100%)</v>
      </c>
      <c r="J11" s="151" t="s">
        <v>1</v>
      </c>
      <c r="K11" s="437" t="s">
        <v>46</v>
      </c>
      <c r="L11" s="272" t="s">
        <v>1</v>
      </c>
      <c r="M11" s="272" t="s">
        <v>47</v>
      </c>
      <c r="N11" s="138" t="str">
        <f>COUNTIFS($C$17:$C$230,K11,$R$17:$R$230,"Done")&amp;" passed / "&amp;COUNTIF($C$17:$C$230,K11)&amp;" total ("&amp;IF(COUNTIF($C$17:$C$230,K11)=0,"0%",TEXT(COUNTIFS($C$17:$C$230,K11,$R$17:$R$230,"Done")/COUNTIF($C$17:$C$230,K11),"0%"))&amp;")"</f>
        <v>0 passed / 16 total (0%)</v>
      </c>
      <c r="O11" s="175" t="s">
        <v>1</v>
      </c>
      <c r="P11" s="146" t="s">
        <v>1</v>
      </c>
      <c r="Q11" s="146" t="s">
        <v>1</v>
      </c>
    </row>
    <row r="12" customFormat="false" ht="15" hidden="false" customHeight="false" outlineLevel="0" collapsed="false">
      <c r="A12" s="309" t="s">
        <v>49</v>
      </c>
      <c r="B12" s="256" t="s">
        <v>1</v>
      </c>
      <c r="C12" s="256" t="s">
        <v>50</v>
      </c>
      <c r="D12" s="450" t="str">
        <f>COUNTIFS($C$17:$C$230,A12,$R$17:$R$230,"Done")&amp;" passed / "&amp;COUNTIF($C$17:$C$230,A12)&amp;" total ("&amp;IF(COUNTIF($C$17:$C$230,A12)=0,"0%",TEXT(COUNTIFS($C$17:$C$230,A12,$R$17:$R$230,"Done")/COUNTIF($C$17:$C$230,A12),"0%"))&amp;")"</f>
        <v>41 passed / 48 total (85%)</v>
      </c>
      <c r="E12" s="462" t="s">
        <v>1</v>
      </c>
      <c r="F12" s="301" t="s">
        <v>52</v>
      </c>
      <c r="G12" s="255" t="s">
        <v>1</v>
      </c>
      <c r="H12" s="255" t="s">
        <v>53</v>
      </c>
      <c r="I12" s="138" t="str">
        <f>COUNTIFS($C$17:$C$230,F12,$R$17:$R$230,"Done")&amp;" passed / "&amp;COUNTIF($C$17:$C$230,F12)&amp;" total ("&amp;IF(COUNTIF($C$17:$C$230,F12)=0,"0%",TEXT(COUNTIFS($C$17:$C$230,F12,$R$17:$R$230,"Done")/COUNTIF($C$17:$C$230,F12),"0%"))&amp;")"</f>
        <v>0 passed / 5 total (0%)</v>
      </c>
      <c r="J12" s="175" t="s">
        <v>1</v>
      </c>
      <c r="K12" s="445" t="s">
        <v>55</v>
      </c>
      <c r="L12" s="273" t="s">
        <v>1</v>
      </c>
      <c r="M12" s="273" t="s">
        <v>56</v>
      </c>
      <c r="N12" s="138" t="str">
        <f>COUNTIFS($C$17:$C$230,K12,$R$17:$R$230,"Done")&amp;" passed / "&amp;COUNTIF($C$17:$C$230,K12)&amp;" total ("&amp;IF(COUNTIF($C$17:$C$230,K12)=0,"0%",TEXT(COUNTIFS($C$17:$C$230,K12,$R$17:$R$230,"Done")/COUNTIF($C$17:$C$230,K12),"0%"))&amp;")"</f>
        <v>0 passed / 8 total (0%)</v>
      </c>
      <c r="O12" s="175" t="s">
        <v>1</v>
      </c>
      <c r="P12" s="146" t="s">
        <v>1</v>
      </c>
      <c r="Q12" s="146" t="s">
        <v>1</v>
      </c>
    </row>
    <row r="13" customFormat="false" ht="15" hidden="false" customHeight="false" outlineLevel="0" collapsed="false">
      <c r="A13" s="317" t="s">
        <v>58</v>
      </c>
      <c r="B13" s="257" t="s">
        <v>1</v>
      </c>
      <c r="C13" s="257" t="s">
        <v>59</v>
      </c>
      <c r="D13" s="136" t="str">
        <f>COUNTIFS($C$17:$C$230,A13,$R$17:$R$230,"Done")&amp;" passed / "&amp;COUNTIF($C$17:$C$230,A13)&amp;" total ("&amp;IF(COUNTIF($C$17:$C$230,A13)=0,"0%",TEXT(COUNTIFS($C$17:$C$230,A13,$R$17:$R$230,"Done")/COUNTIF($C$17:$C$230,A13),"0%"))&amp;")"</f>
        <v>6 passed / 9 total (67%)</v>
      </c>
      <c r="E13" s="159" t="s">
        <v>1</v>
      </c>
      <c r="F13" s="357" t="s">
        <v>61</v>
      </c>
      <c r="G13" s="262" t="s">
        <v>1</v>
      </c>
      <c r="H13" s="262" t="s">
        <v>62</v>
      </c>
      <c r="I13" s="138" t="str">
        <f>COUNTIFS($C$17:$C$230,F13,$R$17:$R$230,"Done")&amp;" passed / "&amp;COUNTIF($C$17:$C$230,F13)&amp;" total ("&amp;IF(COUNTIF($C$17:$C$230,F13)=0,"0%",TEXT(COUNTIFS($C$17:$C$230,F13,$R$17:$R$230,"Done")/COUNTIF($C$17:$C$230,F13),"0%"))&amp;")"</f>
        <v>0 passed / 5 total (0%)</v>
      </c>
      <c r="J13" s="175" t="s">
        <v>1</v>
      </c>
      <c r="K13" s="238" t="s">
        <v>1</v>
      </c>
      <c r="L13" s="146" t="s">
        <v>1</v>
      </c>
      <c r="M13" s="146" t="s">
        <v>1</v>
      </c>
      <c r="N13" s="146" t="s">
        <v>1</v>
      </c>
      <c r="O13" s="239" t="s">
        <v>1</v>
      </c>
      <c r="P13" s="146" t="s">
        <v>1</v>
      </c>
      <c r="Q13" s="146" t="s">
        <v>1</v>
      </c>
    </row>
    <row r="14" customFormat="false" ht="15" hidden="false" customHeight="false" outlineLevel="0" collapsed="false">
      <c r="A14" s="327" t="s">
        <v>63</v>
      </c>
      <c r="B14" s="328" t="s">
        <v>1</v>
      </c>
      <c r="C14" s="328" t="s">
        <v>64</v>
      </c>
      <c r="D14" s="472" t="str">
        <f>COUNTIFS($C$17:$C$230,A14,$R$17:$R$230,"Done")&amp;" passed / "&amp;COUNTIF($C$17:$C$230,A14)&amp;" total ("&amp;IF(COUNTIF($C$17:$C$230,A14)=0,"0%",TEXT(COUNTIFS($C$17:$C$230,A14,$R$17:$R$230,"Done")/COUNTIF($C$17:$C$230,A14),"0%"))&amp;")"</f>
        <v>1 passed / 20 total (5%)</v>
      </c>
      <c r="E14" s="473" t="s">
        <v>1</v>
      </c>
      <c r="F14" s="367" t="s">
        <v>66</v>
      </c>
      <c r="G14" s="368" t="s">
        <v>1</v>
      </c>
      <c r="H14" s="368" t="s">
        <v>67</v>
      </c>
      <c r="I14" s="472" t="str">
        <f>COUNTIFS($C$17:$C$230,F14,$R$17:$R$230,"Done")&amp;" passed / "&amp;COUNTIF($C$17:$C$230,F14)&amp;" total ("&amp;IF(COUNTIF($C$17:$C$230,F14)=0,"0%",TEXT(COUNTIFS($C$17:$C$230,F14,$R$17:$R$230,"Done")/COUNTIF($C$17:$C$230,F14),"0%"))&amp;")"</f>
        <v>4 passed / 52 total (8%)</v>
      </c>
      <c r="J14" s="473" t="s">
        <v>1</v>
      </c>
      <c r="K14" s="240" t="s">
        <v>1</v>
      </c>
      <c r="L14" s="241" t="s">
        <v>1</v>
      </c>
      <c r="M14" s="241" t="s">
        <v>1</v>
      </c>
      <c r="N14" s="241" t="s">
        <v>1</v>
      </c>
      <c r="O14" s="242" t="s">
        <v>1</v>
      </c>
      <c r="P14" s="146" t="s">
        <v>1</v>
      </c>
      <c r="Q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row>
    <row r="16" customFormat="false" ht="15" hidden="false" customHeight="false" outlineLevel="0" collapsed="false">
      <c r="A16" s="143" t="s">
        <v>70</v>
      </c>
      <c r="B16" s="143" t="s">
        <v>71</v>
      </c>
      <c r="C16" s="143" t="s">
        <v>27</v>
      </c>
      <c r="D16" s="143" t="s">
        <v>72</v>
      </c>
      <c r="E16" s="143" t="s">
        <v>73</v>
      </c>
      <c r="F16" s="143" t="s">
        <v>74</v>
      </c>
      <c r="G16" s="143" t="s">
        <v>75</v>
      </c>
      <c r="H16" s="143" t="s">
        <v>76</v>
      </c>
      <c r="I16" s="143" t="s">
        <v>77</v>
      </c>
      <c r="J16" s="143" t="s">
        <v>78</v>
      </c>
      <c r="K16" s="143" t="s">
        <v>79</v>
      </c>
      <c r="L16" s="143" t="s">
        <v>80</v>
      </c>
      <c r="M16" s="143" t="s">
        <v>81</v>
      </c>
      <c r="N16" s="143" t="s">
        <v>82</v>
      </c>
      <c r="O16" s="143" t="s">
        <v>83</v>
      </c>
      <c r="P16" s="143" t="s">
        <v>84</v>
      </c>
      <c r="Q16" s="143" t="s">
        <v>85</v>
      </c>
    </row>
    <row r="17" customFormat="false" ht="15" hidden="false" customHeight="false" outlineLevel="0" collapsed="false">
      <c r="A17" s="136" t="s">
        <v>86</v>
      </c>
      <c r="B17" s="136" t="s">
        <v>87</v>
      </c>
      <c r="C17" s="252" t="s">
        <v>31</v>
      </c>
      <c r="D17" s="136" t="s">
        <v>88</v>
      </c>
      <c r="E17" s="136" t="s">
        <v>89</v>
      </c>
      <c r="F17" s="136" t="s">
        <v>90</v>
      </c>
      <c r="G17" s="136" t="s">
        <v>91</v>
      </c>
      <c r="H17" s="136" t="s">
        <v>92</v>
      </c>
      <c r="I17" s="136" t="s">
        <v>93</v>
      </c>
      <c r="J17" s="136" t="s">
        <v>94</v>
      </c>
      <c r="K17" s="136" t="s">
        <v>95</v>
      </c>
      <c r="L17" s="136" t="s">
        <v>96</v>
      </c>
      <c r="M17" s="136" t="s">
        <v>97</v>
      </c>
      <c r="N17" s="136" t="s">
        <v>98</v>
      </c>
      <c r="O17" s="136" t="s">
        <v>99</v>
      </c>
      <c r="P17" s="136" t="s">
        <v>100</v>
      </c>
      <c r="Q17" s="136" t="s">
        <v>101</v>
      </c>
      <c r="R17" s="146" t="str">
        <f>IF(OR(ISNUMBER(SEARCH("FAIL",K17&amp;" "&amp;O17)),ISNUMBER(SEARCH("CLEAN RETEST REQUIRED",K17&amp;" "&amp;O17))),"Failed",IF(OR(ISNUMBER(SEARCH("NOT RUN",K17&amp;" "&amp;O17)),ISNUMBER(SEARCH("NOT IMPLEMENTED",K17&amp;" "&amp;O17))),"Not started",IF(OR(ISNUMBER(SEARCH("PARTIAL",K17&amp;" "&amp;O17)),ISNUMBER(SEARCH("PENDING",K17&amp;" "&amp;O17)),ISNUMBER(SEARCH("IN PROGRESS",K17&amp;" "&amp;O17)),ISNUMBER(SEARCH("OPEN",K17&amp;" "&amp;O17)),ISNUMBER(SEARCH("RETEST REQUIRED",K17&amp;" "&amp;O17)),ISNUMBER(SEARCH("IMPLEMENTATION UPDATED",K17&amp;" "&amp;O17)),ISNUMBER(SEARCH("REQUIRED EVERY SESSION",K17&amp;" "&amp;O17))),"Pending",IF(OR(O17="PASS",ISNUMBER(SEARCH("PASS",K17&amp;" "&amp;O17))),"Done","Pending"))))</f>
        <v>Pending</v>
      </c>
      <c r="S17" s="146" t="str">
        <f>IF(OR(LEFT(A17,9)="OPERATOR-",LEFT(A17,8)="PAYMENT-",LEFT(A17,7)="DEPLOY-"),"External","Core")</f>
        <v>Core</v>
      </c>
    </row>
    <row r="18" customFormat="false" ht="15" hidden="false" customHeight="false" outlineLevel="0" collapsed="false">
      <c r="A18" s="136" t="s">
        <v>102</v>
      </c>
      <c r="B18" s="136" t="s">
        <v>103</v>
      </c>
      <c r="C18" s="252" t="s">
        <v>31</v>
      </c>
      <c r="D18" s="136" t="s">
        <v>104</v>
      </c>
      <c r="E18" s="136" t="s">
        <v>105</v>
      </c>
      <c r="F18" s="136" t="s">
        <v>4</v>
      </c>
      <c r="G18" s="136" t="s">
        <v>4</v>
      </c>
      <c r="H18" s="136" t="s">
        <v>4</v>
      </c>
      <c r="I18" s="136" t="s">
        <v>4</v>
      </c>
      <c r="J18" s="136" t="s">
        <v>106</v>
      </c>
      <c r="K18" s="136" t="s">
        <v>107</v>
      </c>
      <c r="L18" s="136" t="s">
        <v>96</v>
      </c>
      <c r="M18" s="136" t="s">
        <v>108</v>
      </c>
      <c r="N18" s="136" t="s">
        <v>109</v>
      </c>
      <c r="O18" s="136" t="s">
        <v>110</v>
      </c>
      <c r="P18" s="136" t="s">
        <v>111</v>
      </c>
      <c r="Q18" s="136" t="s">
        <v>112</v>
      </c>
      <c r="R18" s="146" t="str">
        <f>IF(OR(ISNUMBER(SEARCH("FAIL",K18&amp;" "&amp;O18)),ISNUMBER(SEARCH("CLEAN RETEST REQUIRED",K18&amp;" "&amp;O18))),"Failed",IF(OR(ISNUMBER(SEARCH("NOT RUN",K18&amp;" "&amp;O18)),ISNUMBER(SEARCH("NOT IMPLEMENTED",K18&amp;" "&amp;O18))),"Not started",IF(OR(ISNUMBER(SEARCH("PARTIAL",K18&amp;" "&amp;O18)),ISNUMBER(SEARCH("PENDING",K18&amp;" "&amp;O18)),ISNUMBER(SEARCH("IN PROGRESS",K18&amp;" "&amp;O18)),ISNUMBER(SEARCH("OPEN",K18&amp;" "&amp;O18)),ISNUMBER(SEARCH("RETEST REQUIRED",K18&amp;" "&amp;O18)),ISNUMBER(SEARCH("IMPLEMENTATION UPDATED",K18&amp;" "&amp;O18)),ISNUMBER(SEARCH("REQUIRED EVERY SESSION",K18&amp;" "&amp;O18))),"Pending",IF(OR(O18="PASS",ISNUMBER(SEARCH("PASS",K18&amp;" "&amp;O18))),"Done","Pending"))))</f>
        <v>Pending</v>
      </c>
      <c r="S18" s="146" t="str">
        <f>IF(OR(LEFT(A18,9)="OPERATOR-",LEFT(A18,8)="PAYMENT-",LEFT(A18,7)="DEPLOY-"),"External","Core")</f>
        <v>Core</v>
      </c>
    </row>
    <row r="19" customFormat="false" ht="45" hidden="false" customHeight="true" outlineLevel="0" collapsed="false">
      <c r="A19" s="135" t="s">
        <v>113</v>
      </c>
      <c r="B19" s="135" t="s">
        <v>114</v>
      </c>
      <c r="C19" s="253" t="s">
        <v>40</v>
      </c>
      <c r="D19" s="135" t="s">
        <v>115</v>
      </c>
      <c r="E19" s="135" t="s">
        <v>116</v>
      </c>
      <c r="F19" s="135" t="s">
        <v>117</v>
      </c>
      <c r="G19" s="135" t="s">
        <v>118</v>
      </c>
      <c r="H19" s="135" t="s">
        <v>119</v>
      </c>
      <c r="I19" s="135" t="s">
        <v>4</v>
      </c>
      <c r="J19" s="135" t="s">
        <v>120</v>
      </c>
      <c r="K19" s="135" t="s">
        <v>121</v>
      </c>
      <c r="L19" s="135" t="s">
        <v>122</v>
      </c>
      <c r="M19" s="135" t="s">
        <v>123</v>
      </c>
      <c r="N19" s="135" t="s">
        <v>124</v>
      </c>
      <c r="O19" s="135" t="s">
        <v>125</v>
      </c>
      <c r="P19" s="135" t="s">
        <v>126</v>
      </c>
      <c r="Q19" s="135" t="s">
        <v>127</v>
      </c>
      <c r="R19" s="146" t="str">
        <f>IF(OR(ISNUMBER(SEARCH("FAIL",K19&amp;" "&amp;O19)),ISNUMBER(SEARCH("CLEAN RETEST REQUIRED",K19&amp;" "&amp;O19))),"Failed",IF(OR(ISNUMBER(SEARCH("NOT RUN",K19&amp;" "&amp;O19)),ISNUMBER(SEARCH("NOT IMPLEMENTED",K19&amp;" "&amp;O19))),"Not started",IF(OR(ISNUMBER(SEARCH("PARTIAL",K19&amp;" "&amp;O19)),ISNUMBER(SEARCH("PENDING",K19&amp;" "&amp;O19)),ISNUMBER(SEARCH("IN PROGRESS",K19&amp;" "&amp;O19)),ISNUMBER(SEARCH("OPEN",K19&amp;" "&amp;O19)),ISNUMBER(SEARCH("RETEST REQUIRED",K19&amp;" "&amp;O19)),ISNUMBER(SEARCH("IMPLEMENTATION UPDATED",K19&amp;" "&amp;O19)),ISNUMBER(SEARCH("REQUIRED EVERY SESSION",K19&amp;" "&amp;O19))),"Pending",IF(OR(O19="PASS",ISNUMBER(SEARCH("PASS",K19&amp;" "&amp;O19))),"Done","Pending"))))</f>
        <v>Done</v>
      </c>
      <c r="S19" s="146" t="str">
        <f>IF(OR(LEFT(A19,9)="OPERATOR-",LEFT(A19,8)="PAYMENT-",LEFT(A19,7)="DEPLOY-"),"External","Core")</f>
        <v>Core</v>
      </c>
    </row>
    <row r="20" customFormat="false" ht="15" hidden="false" customHeight="false" outlineLevel="0" collapsed="false">
      <c r="A20" s="138" t="s">
        <v>128</v>
      </c>
      <c r="B20" s="138" t="s">
        <v>114</v>
      </c>
      <c r="C20" s="253" t="s">
        <v>40</v>
      </c>
      <c r="D20" s="138" t="s">
        <v>115</v>
      </c>
      <c r="E20" s="138" t="s">
        <v>129</v>
      </c>
      <c r="F20" s="138" t="s">
        <v>117</v>
      </c>
      <c r="G20" s="138" t="s">
        <v>130</v>
      </c>
      <c r="H20" s="138" t="s">
        <v>119</v>
      </c>
      <c r="I20" s="138" t="s">
        <v>4</v>
      </c>
      <c r="J20" s="138" t="s">
        <v>131</v>
      </c>
      <c r="K20" s="138" t="s">
        <v>132</v>
      </c>
      <c r="L20" s="138" t="s">
        <v>1</v>
      </c>
      <c r="M20" s="138" t="s">
        <v>133</v>
      </c>
      <c r="N20" s="138" t="s">
        <v>134</v>
      </c>
      <c r="O20" s="138" t="s">
        <v>1</v>
      </c>
      <c r="P20" s="138" t="s">
        <v>135</v>
      </c>
      <c r="Q20" s="138" t="s">
        <v>101</v>
      </c>
      <c r="R20" s="146" t="str">
        <f>IF(OR(ISNUMBER(SEARCH("FAIL",K20&amp;" "&amp;O20)),ISNUMBER(SEARCH("CLEAN RETEST REQUIRED",K20&amp;" "&amp;O20))),"Failed",IF(OR(ISNUMBER(SEARCH("NOT RUN",K20&amp;" "&amp;O20)),ISNUMBER(SEARCH("NOT IMPLEMENTED",K20&amp;" "&amp;O20))),"Not started",IF(OR(ISNUMBER(SEARCH("PARTIAL",K20&amp;" "&amp;O20)),ISNUMBER(SEARCH("PENDING",K20&amp;" "&amp;O20)),ISNUMBER(SEARCH("IN PROGRESS",K20&amp;" "&amp;O20)),ISNUMBER(SEARCH("OPEN",K20&amp;" "&amp;O20)),ISNUMBER(SEARCH("RETEST REQUIRED",K20&amp;" "&amp;O20)),ISNUMBER(SEARCH("IMPLEMENTATION UPDATED",K20&amp;" "&amp;O20)),ISNUMBER(SEARCH("REQUIRED EVERY SESSION",K20&amp;" "&amp;O20))),"Pending",IF(OR(O20="PASS",ISNUMBER(SEARCH("PASS",K20&amp;" "&amp;O20))),"Done","Pending"))))</f>
        <v>Not started</v>
      </c>
      <c r="S20" s="146" t="str">
        <f>IF(OR(LEFT(A20,9)="OPERATOR-",LEFT(A20,8)="PAYMENT-",LEFT(A20,7)="DEPLOY-"),"External","Core")</f>
        <v>Core</v>
      </c>
    </row>
    <row r="21" customFormat="false" ht="60" hidden="false" customHeight="true" outlineLevel="0" collapsed="false">
      <c r="A21" s="135" t="s">
        <v>136</v>
      </c>
      <c r="B21" s="135" t="s">
        <v>114</v>
      </c>
      <c r="C21" s="253" t="s">
        <v>40</v>
      </c>
      <c r="D21" s="135" t="s">
        <v>137</v>
      </c>
      <c r="E21" s="135" t="s">
        <v>138</v>
      </c>
      <c r="F21" s="135" t="s">
        <v>4</v>
      </c>
      <c r="G21" s="135" t="s">
        <v>139</v>
      </c>
      <c r="H21" s="135" t="s">
        <v>4</v>
      </c>
      <c r="I21" s="135" t="s">
        <v>4</v>
      </c>
      <c r="J21" s="135" t="s">
        <v>140</v>
      </c>
      <c r="K21" s="135" t="s">
        <v>121</v>
      </c>
      <c r="L21" s="135" t="s">
        <v>122</v>
      </c>
      <c r="M21" s="135" t="s">
        <v>141</v>
      </c>
      <c r="N21" s="135" t="s">
        <v>142</v>
      </c>
      <c r="O21" s="135" t="s">
        <v>125</v>
      </c>
      <c r="P21" s="135" t="s">
        <v>143</v>
      </c>
      <c r="Q21" s="135" t="s">
        <v>101</v>
      </c>
      <c r="R21" s="146" t="str">
        <f>IF(OR(ISNUMBER(SEARCH("FAIL",K21&amp;" "&amp;O21)),ISNUMBER(SEARCH("CLEAN RETEST REQUIRED",K21&amp;" "&amp;O21))),"Failed",IF(OR(ISNUMBER(SEARCH("NOT RUN",K21&amp;" "&amp;O21)),ISNUMBER(SEARCH("NOT IMPLEMENTED",K21&amp;" "&amp;O21))),"Not started",IF(OR(ISNUMBER(SEARCH("PARTIAL",K21&amp;" "&amp;O21)),ISNUMBER(SEARCH("PENDING",K21&amp;" "&amp;O21)),ISNUMBER(SEARCH("IN PROGRESS",K21&amp;" "&amp;O21)),ISNUMBER(SEARCH("OPEN",K21&amp;" "&amp;O21)),ISNUMBER(SEARCH("RETEST REQUIRED",K21&amp;" "&amp;O21)),ISNUMBER(SEARCH("IMPLEMENTATION UPDATED",K21&amp;" "&amp;O21)),ISNUMBER(SEARCH("REQUIRED EVERY SESSION",K21&amp;" "&amp;O21))),"Pending",IF(OR(O21="PASS",ISNUMBER(SEARCH("PASS",K21&amp;" "&amp;O21))),"Done","Pending"))))</f>
        <v>Done</v>
      </c>
      <c r="S21" s="146" t="str">
        <f>IF(OR(LEFT(A21,9)="OPERATOR-",LEFT(A21,8)="PAYMENT-",LEFT(A21,7)="DEPLOY-"),"External","Core")</f>
        <v>Core</v>
      </c>
    </row>
    <row r="22" customFormat="false" ht="150" hidden="false" customHeight="true" outlineLevel="0" collapsed="false">
      <c r="A22" s="135" t="s">
        <v>144</v>
      </c>
      <c r="B22" s="135" t="s">
        <v>114</v>
      </c>
      <c r="C22" s="253" t="s">
        <v>40</v>
      </c>
      <c r="D22" s="135" t="s">
        <v>137</v>
      </c>
      <c r="E22" s="135" t="s">
        <v>145</v>
      </c>
      <c r="F22" s="135" t="s">
        <v>4</v>
      </c>
      <c r="G22" s="135" t="s">
        <v>146</v>
      </c>
      <c r="H22" s="135" t="s">
        <v>4</v>
      </c>
      <c r="I22" s="135" t="s">
        <v>4</v>
      </c>
      <c r="J22" s="135" t="s">
        <v>147</v>
      </c>
      <c r="K22" s="135" t="s">
        <v>121</v>
      </c>
      <c r="L22" s="135" t="s">
        <v>122</v>
      </c>
      <c r="M22" s="135" t="s">
        <v>148</v>
      </c>
      <c r="N22" s="135" t="s">
        <v>149</v>
      </c>
      <c r="O22" s="135" t="s">
        <v>125</v>
      </c>
      <c r="P22" s="135" t="s">
        <v>150</v>
      </c>
      <c r="Q22" s="135" t="s">
        <v>101</v>
      </c>
      <c r="R22" s="146" t="str">
        <f>IF(OR(ISNUMBER(SEARCH("FAIL",K22&amp;" "&amp;O22)),ISNUMBER(SEARCH("CLEAN RETEST REQUIRED",K22&amp;" "&amp;O22))),"Failed",IF(OR(ISNUMBER(SEARCH("NOT RUN",K22&amp;" "&amp;O22)),ISNUMBER(SEARCH("NOT IMPLEMENTED",K22&amp;" "&amp;O22))),"Not started",IF(OR(ISNUMBER(SEARCH("PARTIAL",K22&amp;" "&amp;O22)),ISNUMBER(SEARCH("PENDING",K22&amp;" "&amp;O22)),ISNUMBER(SEARCH("IN PROGRESS",K22&amp;" "&amp;O22)),ISNUMBER(SEARCH("OPEN",K22&amp;" "&amp;O22)),ISNUMBER(SEARCH("RETEST REQUIRED",K22&amp;" "&amp;O22)),ISNUMBER(SEARCH("IMPLEMENTATION UPDATED",K22&amp;" "&amp;O22)),ISNUMBER(SEARCH("REQUIRED EVERY SESSION",K22&amp;" "&amp;O22))),"Pending",IF(OR(O22="PASS",ISNUMBER(SEARCH("PASS",K22&amp;" "&amp;O22))),"Done","Pending"))))</f>
        <v>Done</v>
      </c>
      <c r="S22" s="146" t="str">
        <f>IF(OR(LEFT(A22,9)="OPERATOR-",LEFT(A22,8)="PAYMENT-",LEFT(A22,7)="DEPLOY-"),"External","Core")</f>
        <v>Core</v>
      </c>
    </row>
    <row r="23" customFormat="false" ht="90" hidden="false" customHeight="true" outlineLevel="0" collapsed="false">
      <c r="A23" s="135" t="s">
        <v>151</v>
      </c>
      <c r="B23" s="135" t="s">
        <v>114</v>
      </c>
      <c r="C23" s="253" t="s">
        <v>40</v>
      </c>
      <c r="D23" s="135" t="s">
        <v>137</v>
      </c>
      <c r="E23" s="135" t="s">
        <v>152</v>
      </c>
      <c r="F23" s="135" t="s">
        <v>4</v>
      </c>
      <c r="G23" s="135" t="s">
        <v>153</v>
      </c>
      <c r="H23" s="135" t="s">
        <v>4</v>
      </c>
      <c r="I23" s="135" t="s">
        <v>4</v>
      </c>
      <c r="J23" s="135" t="s">
        <v>154</v>
      </c>
      <c r="K23" s="135" t="s">
        <v>155</v>
      </c>
      <c r="L23" s="135" t="s">
        <v>122</v>
      </c>
      <c r="M23" s="135" t="s">
        <v>156</v>
      </c>
      <c r="N23" s="135" t="s">
        <v>157</v>
      </c>
      <c r="O23" s="135" t="s">
        <v>125</v>
      </c>
      <c r="P23" s="135" t="s">
        <v>158</v>
      </c>
      <c r="Q23" s="135" t="s">
        <v>101</v>
      </c>
      <c r="R23" s="146" t="str">
        <f>IF(OR(ISNUMBER(SEARCH("FAIL",K23&amp;" "&amp;O23)),ISNUMBER(SEARCH("CLEAN RETEST REQUIRED",K23&amp;" "&amp;O23))),"Failed",IF(OR(ISNUMBER(SEARCH("NOT RUN",K23&amp;" "&amp;O23)),ISNUMBER(SEARCH("NOT IMPLEMENTED",K23&amp;" "&amp;O23))),"Not started",IF(OR(ISNUMBER(SEARCH("PARTIAL",K23&amp;" "&amp;O23)),ISNUMBER(SEARCH("PENDING",K23&amp;" "&amp;O23)),ISNUMBER(SEARCH("IN PROGRESS",K23&amp;" "&amp;O23)),ISNUMBER(SEARCH("OPEN",K23&amp;" "&amp;O23)),ISNUMBER(SEARCH("RETEST REQUIRED",K23&amp;" "&amp;O23)),ISNUMBER(SEARCH("IMPLEMENTATION UPDATED",K23&amp;" "&amp;O23)),ISNUMBER(SEARCH("REQUIRED EVERY SESSION",K23&amp;" "&amp;O23))),"Pending",IF(OR(O23="PASS",ISNUMBER(SEARCH("PASS",K23&amp;" "&amp;O23))),"Done","Pending"))))</f>
        <v>Done</v>
      </c>
      <c r="S23" s="146" t="str">
        <f>IF(OR(LEFT(A23,9)="OPERATOR-",LEFT(A23,8)="PAYMENT-",LEFT(A23,7)="DEPLOY-"),"External","Core")</f>
        <v>Core</v>
      </c>
    </row>
    <row r="24" customFormat="false" ht="105" hidden="false" customHeight="true" outlineLevel="0" collapsed="false">
      <c r="A24" s="135" t="s">
        <v>159</v>
      </c>
      <c r="B24" s="135" t="s">
        <v>160</v>
      </c>
      <c r="C24" s="253" t="s">
        <v>40</v>
      </c>
      <c r="D24" s="135" t="s">
        <v>161</v>
      </c>
      <c r="E24" s="135" t="s">
        <v>162</v>
      </c>
      <c r="F24" s="135" t="s">
        <v>163</v>
      </c>
      <c r="G24" s="135" t="s">
        <v>164</v>
      </c>
      <c r="H24" s="135" t="s">
        <v>4</v>
      </c>
      <c r="I24" s="135" t="s">
        <v>4</v>
      </c>
      <c r="J24" s="135" t="s">
        <v>165</v>
      </c>
      <c r="K24" s="135" t="s">
        <v>155</v>
      </c>
      <c r="L24" s="135" t="s">
        <v>166</v>
      </c>
      <c r="M24" s="135" t="s">
        <v>167</v>
      </c>
      <c r="N24" s="135" t="s">
        <v>168</v>
      </c>
      <c r="O24" s="135" t="s">
        <v>125</v>
      </c>
      <c r="P24" s="135" t="s">
        <v>169</v>
      </c>
      <c r="Q24" s="135" t="s">
        <v>101</v>
      </c>
      <c r="R24" s="146" t="str">
        <f>IF(OR(ISNUMBER(SEARCH("FAIL",K24&amp;" "&amp;O24)),ISNUMBER(SEARCH("CLEAN RETEST REQUIRED",K24&amp;" "&amp;O24))),"Failed",IF(OR(ISNUMBER(SEARCH("NOT RUN",K24&amp;" "&amp;O24)),ISNUMBER(SEARCH("NOT IMPLEMENTED",K24&amp;" "&amp;O24))),"Not started",IF(OR(ISNUMBER(SEARCH("PARTIAL",K24&amp;" "&amp;O24)),ISNUMBER(SEARCH("PENDING",K24&amp;" "&amp;O24)),ISNUMBER(SEARCH("IN PROGRESS",K24&amp;" "&amp;O24)),ISNUMBER(SEARCH("OPEN",K24&amp;" "&amp;O24)),ISNUMBER(SEARCH("RETEST REQUIRED",K24&amp;" "&amp;O24)),ISNUMBER(SEARCH("IMPLEMENTATION UPDATED",K24&amp;" "&amp;O24)),ISNUMBER(SEARCH("REQUIRED EVERY SESSION",K24&amp;" "&amp;O24))),"Pending",IF(OR(O24="PASS",ISNUMBER(SEARCH("PASS",K24&amp;" "&amp;O24))),"Done","Pending"))))</f>
        <v>Done</v>
      </c>
      <c r="S24" s="146" t="str">
        <f>IF(OR(LEFT(A24,9)="OPERATOR-",LEFT(A24,8)="PAYMENT-",LEFT(A24,7)="DEPLOY-"),"External","Core")</f>
        <v>Core</v>
      </c>
    </row>
    <row r="25" customFormat="false" ht="75" hidden="false" customHeight="true" outlineLevel="0" collapsed="false">
      <c r="A25" s="136" t="s">
        <v>170</v>
      </c>
      <c r="B25" s="136" t="s">
        <v>160</v>
      </c>
      <c r="C25" s="253" t="s">
        <v>40</v>
      </c>
      <c r="D25" s="136" t="s">
        <v>171</v>
      </c>
      <c r="E25" s="136" t="s">
        <v>172</v>
      </c>
      <c r="F25" s="136" t="s">
        <v>4</v>
      </c>
      <c r="G25" s="136" t="s">
        <v>173</v>
      </c>
      <c r="H25" s="136" t="s">
        <v>4</v>
      </c>
      <c r="I25" s="136" t="s">
        <v>4</v>
      </c>
      <c r="J25" s="136" t="s">
        <v>174</v>
      </c>
      <c r="K25" s="136" t="s">
        <v>175</v>
      </c>
      <c r="L25" s="136" t="s">
        <v>176</v>
      </c>
      <c r="M25" s="136" t="s">
        <v>177</v>
      </c>
      <c r="N25" s="136" t="s">
        <v>178</v>
      </c>
      <c r="O25" s="136" t="s">
        <v>1</v>
      </c>
      <c r="P25" s="136" t="s">
        <v>179</v>
      </c>
      <c r="Q25" s="136" t="s">
        <v>101</v>
      </c>
      <c r="R25" s="146" t="str">
        <f>IF(OR(ISNUMBER(SEARCH("FAIL",K25&amp;" "&amp;O25)),ISNUMBER(SEARCH("CLEAN RETEST REQUIRED",K25&amp;" "&amp;O25))),"Failed",IF(OR(ISNUMBER(SEARCH("NOT RUN",K25&amp;" "&amp;O25)),ISNUMBER(SEARCH("NOT IMPLEMENTED",K25&amp;" "&amp;O25))),"Not started",IF(OR(ISNUMBER(SEARCH("PARTIAL",K25&amp;" "&amp;O25)),ISNUMBER(SEARCH("PENDING",K25&amp;" "&amp;O25)),ISNUMBER(SEARCH("IN PROGRESS",K25&amp;" "&amp;O25)),ISNUMBER(SEARCH("OPEN",K25&amp;" "&amp;O25)),ISNUMBER(SEARCH("RETEST REQUIRED",K25&amp;" "&amp;O25)),ISNUMBER(SEARCH("IMPLEMENTATION UPDATED",K25&amp;" "&amp;O25)),ISNUMBER(SEARCH("REQUIRED EVERY SESSION",K25&amp;" "&amp;O25))),"Pending",IF(OR(O25="PASS",ISNUMBER(SEARCH("PASS",K25&amp;" "&amp;O25))),"Done","Pending"))))</f>
        <v>Pending</v>
      </c>
      <c r="S25" s="146" t="str">
        <f>IF(OR(LEFT(A25,9)="OPERATOR-",LEFT(A25,8)="PAYMENT-",LEFT(A25,7)="DEPLOY-"),"External","Core")</f>
        <v>Core</v>
      </c>
    </row>
    <row r="26" customFormat="false" ht="15" hidden="false" customHeight="false" outlineLevel="0" collapsed="false">
      <c r="A26" s="138" t="s">
        <v>180</v>
      </c>
      <c r="B26" s="138" t="s">
        <v>181</v>
      </c>
      <c r="C26" s="253" t="s">
        <v>40</v>
      </c>
      <c r="D26" s="138" t="s">
        <v>182</v>
      </c>
      <c r="E26" s="138" t="s">
        <v>183</v>
      </c>
      <c r="F26" s="138" t="s">
        <v>184</v>
      </c>
      <c r="G26" s="138" t="s">
        <v>185</v>
      </c>
      <c r="H26" s="138" t="s">
        <v>4</v>
      </c>
      <c r="I26" s="138" t="s">
        <v>4</v>
      </c>
      <c r="J26" s="138" t="s">
        <v>186</v>
      </c>
      <c r="K26" s="138" t="s">
        <v>132</v>
      </c>
      <c r="L26" s="138" t="s">
        <v>1</v>
      </c>
      <c r="M26" s="138" t="s">
        <v>187</v>
      </c>
      <c r="N26" s="138" t="s">
        <v>188</v>
      </c>
      <c r="O26" s="138" t="s">
        <v>1</v>
      </c>
      <c r="P26" s="138" t="s">
        <v>189</v>
      </c>
      <c r="Q26" s="138" t="s">
        <v>101</v>
      </c>
      <c r="R26" s="146" t="str">
        <f>IF(OR(ISNUMBER(SEARCH("FAIL",K26&amp;" "&amp;O26)),ISNUMBER(SEARCH("CLEAN RETEST REQUIRED",K26&amp;" "&amp;O26))),"Failed",IF(OR(ISNUMBER(SEARCH("NOT RUN",K26&amp;" "&amp;O26)),ISNUMBER(SEARCH("NOT IMPLEMENTED",K26&amp;" "&amp;O26))),"Not started",IF(OR(ISNUMBER(SEARCH("PARTIAL",K26&amp;" "&amp;O26)),ISNUMBER(SEARCH("PENDING",K26&amp;" "&amp;O26)),ISNUMBER(SEARCH("IN PROGRESS",K26&amp;" "&amp;O26)),ISNUMBER(SEARCH("OPEN",K26&amp;" "&amp;O26)),ISNUMBER(SEARCH("RETEST REQUIRED",K26&amp;" "&amp;O26)),ISNUMBER(SEARCH("IMPLEMENTATION UPDATED",K26&amp;" "&amp;O26)),ISNUMBER(SEARCH("REQUIRED EVERY SESSION",K26&amp;" "&amp;O26))),"Pending",IF(OR(O26="PASS",ISNUMBER(SEARCH("PASS",K26&amp;" "&amp;O26))),"Done","Pending"))))</f>
        <v>Not started</v>
      </c>
      <c r="S26" s="146" t="str">
        <f>IF(OR(LEFT(A26,9)="OPERATOR-",LEFT(A26,8)="PAYMENT-",LEFT(A26,7)="DEPLOY-"),"External","Core")</f>
        <v>Core</v>
      </c>
    </row>
    <row r="27" customFormat="false" ht="15" hidden="false" customHeight="false" outlineLevel="0" collapsed="false">
      <c r="A27" s="138" t="s">
        <v>190</v>
      </c>
      <c r="B27" s="138" t="s">
        <v>181</v>
      </c>
      <c r="C27" s="253" t="s">
        <v>40</v>
      </c>
      <c r="D27" s="138" t="s">
        <v>191</v>
      </c>
      <c r="E27" s="138" t="s">
        <v>192</v>
      </c>
      <c r="F27" s="138" t="s">
        <v>4</v>
      </c>
      <c r="G27" s="138" t="s">
        <v>193</v>
      </c>
      <c r="H27" s="138" t="s">
        <v>4</v>
      </c>
      <c r="I27" s="138" t="s">
        <v>4</v>
      </c>
      <c r="J27" s="138" t="s">
        <v>194</v>
      </c>
      <c r="K27" s="138" t="s">
        <v>132</v>
      </c>
      <c r="L27" s="138" t="s">
        <v>1</v>
      </c>
      <c r="M27" s="138" t="s">
        <v>195</v>
      </c>
      <c r="N27" s="138" t="s">
        <v>196</v>
      </c>
      <c r="O27" s="138" t="s">
        <v>1</v>
      </c>
      <c r="P27" s="138" t="s">
        <v>197</v>
      </c>
      <c r="Q27" s="138" t="s">
        <v>198</v>
      </c>
      <c r="R27" s="146" t="str">
        <f>IF(OR(ISNUMBER(SEARCH("FAIL",K27&amp;" "&amp;O27)),ISNUMBER(SEARCH("CLEAN RETEST REQUIRED",K27&amp;" "&amp;O27))),"Failed",IF(OR(ISNUMBER(SEARCH("NOT RUN",K27&amp;" "&amp;O27)),ISNUMBER(SEARCH("NOT IMPLEMENTED",K27&amp;" "&amp;O27))),"Not started",IF(OR(ISNUMBER(SEARCH("PARTIAL",K27&amp;" "&amp;O27)),ISNUMBER(SEARCH("PENDING",K27&amp;" "&amp;O27)),ISNUMBER(SEARCH("IN PROGRESS",K27&amp;" "&amp;O27)),ISNUMBER(SEARCH("OPEN",K27&amp;" "&amp;O27)),ISNUMBER(SEARCH("RETEST REQUIRED",K27&amp;" "&amp;O27)),ISNUMBER(SEARCH("IMPLEMENTATION UPDATED",K27&amp;" "&amp;O27)),ISNUMBER(SEARCH("REQUIRED EVERY SESSION",K27&amp;" "&amp;O27))),"Pending",IF(OR(O27="PASS",ISNUMBER(SEARCH("PASS",K27&amp;" "&amp;O27))),"Done","Pending"))))</f>
        <v>Not started</v>
      </c>
      <c r="S27" s="146" t="str">
        <f>IF(OR(LEFT(A27,9)="OPERATOR-",LEFT(A27,8)="PAYMENT-",LEFT(A27,7)="DEPLOY-"),"External","Core")</f>
        <v>Core</v>
      </c>
    </row>
    <row r="28" customFormat="false" ht="15" hidden="false" customHeight="false" outlineLevel="0" collapsed="false">
      <c r="A28" s="138" t="s">
        <v>199</v>
      </c>
      <c r="B28" s="138" t="s">
        <v>181</v>
      </c>
      <c r="C28" s="253" t="s">
        <v>40</v>
      </c>
      <c r="D28" s="138" t="s">
        <v>200</v>
      </c>
      <c r="E28" s="138" t="s">
        <v>201</v>
      </c>
      <c r="F28" s="138" t="s">
        <v>4</v>
      </c>
      <c r="G28" s="138" t="s">
        <v>202</v>
      </c>
      <c r="H28" s="138" t="s">
        <v>4</v>
      </c>
      <c r="I28" s="138" t="s">
        <v>203</v>
      </c>
      <c r="J28" s="138" t="s">
        <v>204</v>
      </c>
      <c r="K28" s="138" t="s">
        <v>132</v>
      </c>
      <c r="L28" s="138" t="s">
        <v>1</v>
      </c>
      <c r="M28" s="138" t="s">
        <v>205</v>
      </c>
      <c r="N28" s="138" t="s">
        <v>206</v>
      </c>
      <c r="O28" s="138" t="s">
        <v>1</v>
      </c>
      <c r="P28" s="138" t="s">
        <v>207</v>
      </c>
      <c r="Q28" s="138" t="s">
        <v>101</v>
      </c>
      <c r="R28" s="146" t="str">
        <f>IF(OR(ISNUMBER(SEARCH("FAIL",K28&amp;" "&amp;O28)),ISNUMBER(SEARCH("CLEAN RETEST REQUIRED",K28&amp;" "&amp;O28))),"Failed",IF(OR(ISNUMBER(SEARCH("NOT RUN",K28&amp;" "&amp;O28)),ISNUMBER(SEARCH("NOT IMPLEMENTED",K28&amp;" "&amp;O28))),"Not started",IF(OR(ISNUMBER(SEARCH("PARTIAL",K28&amp;" "&amp;O28)),ISNUMBER(SEARCH("PENDING",K28&amp;" "&amp;O28)),ISNUMBER(SEARCH("IN PROGRESS",K28&amp;" "&amp;O28)),ISNUMBER(SEARCH("OPEN",K28&amp;" "&amp;O28)),ISNUMBER(SEARCH("RETEST REQUIRED",K28&amp;" "&amp;O28)),ISNUMBER(SEARCH("IMPLEMENTATION UPDATED",K28&amp;" "&amp;O28)),ISNUMBER(SEARCH("REQUIRED EVERY SESSION",K28&amp;" "&amp;O28))),"Pending",IF(OR(O28="PASS",ISNUMBER(SEARCH("PASS",K28&amp;" "&amp;O28))),"Done","Pending"))))</f>
        <v>Not started</v>
      </c>
      <c r="S28" s="146" t="str">
        <f>IF(OR(LEFT(A28,9)="OPERATOR-",LEFT(A28,8)="PAYMENT-",LEFT(A28,7)="DEPLOY-"),"External","Core")</f>
        <v>Core</v>
      </c>
    </row>
    <row r="29" customFormat="false" ht="15" hidden="false" customHeight="false" outlineLevel="0" collapsed="false">
      <c r="A29" s="138" t="s">
        <v>208</v>
      </c>
      <c r="B29" s="138" t="s">
        <v>181</v>
      </c>
      <c r="C29" s="253" t="s">
        <v>40</v>
      </c>
      <c r="D29" s="138" t="s">
        <v>209</v>
      </c>
      <c r="E29" s="138" t="s">
        <v>210</v>
      </c>
      <c r="F29" s="138" t="s">
        <v>211</v>
      </c>
      <c r="G29" s="138" t="s">
        <v>212</v>
      </c>
      <c r="H29" s="138" t="s">
        <v>4</v>
      </c>
      <c r="I29" s="138" t="s">
        <v>4</v>
      </c>
      <c r="J29" s="138" t="s">
        <v>213</v>
      </c>
      <c r="K29" s="138" t="s">
        <v>132</v>
      </c>
      <c r="L29" s="138" t="s">
        <v>1</v>
      </c>
      <c r="M29" s="138" t="s">
        <v>214</v>
      </c>
      <c r="N29" s="138" t="s">
        <v>215</v>
      </c>
      <c r="O29" s="138" t="s">
        <v>1</v>
      </c>
      <c r="P29" s="138" t="s">
        <v>216</v>
      </c>
      <c r="Q29" s="138" t="s">
        <v>101</v>
      </c>
      <c r="R29" s="146" t="str">
        <f>IF(OR(ISNUMBER(SEARCH("FAIL",K29&amp;" "&amp;O29)),ISNUMBER(SEARCH("CLEAN RETEST REQUIRED",K29&amp;" "&amp;O29))),"Failed",IF(OR(ISNUMBER(SEARCH("NOT RUN",K29&amp;" "&amp;O29)),ISNUMBER(SEARCH("NOT IMPLEMENTED",K29&amp;" "&amp;O29))),"Not started",IF(OR(ISNUMBER(SEARCH("PARTIAL",K29&amp;" "&amp;O29)),ISNUMBER(SEARCH("PENDING",K29&amp;" "&amp;O29)),ISNUMBER(SEARCH("IN PROGRESS",K29&amp;" "&amp;O29)),ISNUMBER(SEARCH("OPEN",K29&amp;" "&amp;O29)),ISNUMBER(SEARCH("RETEST REQUIRED",K29&amp;" "&amp;O29)),ISNUMBER(SEARCH("IMPLEMENTATION UPDATED",K29&amp;" "&amp;O29)),ISNUMBER(SEARCH("REQUIRED EVERY SESSION",K29&amp;" "&amp;O29))),"Pending",IF(OR(O29="PASS",ISNUMBER(SEARCH("PASS",K29&amp;" "&amp;O29))),"Done","Pending"))))</f>
        <v>Not started</v>
      </c>
      <c r="S29" s="146" t="str">
        <f>IF(OR(LEFT(A29,9)="OPERATOR-",LEFT(A29,8)="PAYMENT-",LEFT(A29,7)="DEPLOY-"),"External","Core")</f>
        <v>Core</v>
      </c>
    </row>
    <row r="30" customFormat="false" ht="15" hidden="false" customHeight="false" outlineLevel="0" collapsed="false">
      <c r="A30" s="138" t="s">
        <v>217</v>
      </c>
      <c r="B30" s="138" t="s">
        <v>181</v>
      </c>
      <c r="C30" s="253" t="s">
        <v>40</v>
      </c>
      <c r="D30" s="138" t="s">
        <v>218</v>
      </c>
      <c r="E30" s="138" t="s">
        <v>219</v>
      </c>
      <c r="F30" s="138" t="s">
        <v>220</v>
      </c>
      <c r="G30" s="138" t="s">
        <v>221</v>
      </c>
      <c r="H30" s="138" t="s">
        <v>4</v>
      </c>
      <c r="I30" s="138" t="s">
        <v>222</v>
      </c>
      <c r="J30" s="138" t="s">
        <v>223</v>
      </c>
      <c r="K30" s="138" t="s">
        <v>132</v>
      </c>
      <c r="L30" s="138" t="s">
        <v>1</v>
      </c>
      <c r="M30" s="138" t="s">
        <v>224</v>
      </c>
      <c r="N30" s="138" t="s">
        <v>225</v>
      </c>
      <c r="O30" s="138" t="s">
        <v>1</v>
      </c>
      <c r="P30" s="138" t="s">
        <v>226</v>
      </c>
      <c r="Q30" s="138" t="s">
        <v>101</v>
      </c>
      <c r="R30" s="146" t="str">
        <f>IF(OR(ISNUMBER(SEARCH("FAIL",K30&amp;" "&amp;O30)),ISNUMBER(SEARCH("CLEAN RETEST REQUIRED",K30&amp;" "&amp;O30))),"Failed",IF(OR(ISNUMBER(SEARCH("NOT RUN",K30&amp;" "&amp;O30)),ISNUMBER(SEARCH("NOT IMPLEMENTED",K30&amp;" "&amp;O30))),"Not started",IF(OR(ISNUMBER(SEARCH("PARTIAL",K30&amp;" "&amp;O30)),ISNUMBER(SEARCH("PENDING",K30&amp;" "&amp;O30)),ISNUMBER(SEARCH("IN PROGRESS",K30&amp;" "&amp;O30)),ISNUMBER(SEARCH("OPEN",K30&amp;" "&amp;O30)),ISNUMBER(SEARCH("RETEST REQUIRED",K30&amp;" "&amp;O30)),ISNUMBER(SEARCH("IMPLEMENTATION UPDATED",K30&amp;" "&amp;O30)),ISNUMBER(SEARCH("REQUIRED EVERY SESSION",K30&amp;" "&amp;O30))),"Pending",IF(OR(O30="PASS",ISNUMBER(SEARCH("PASS",K30&amp;" "&amp;O30))),"Done","Pending"))))</f>
        <v>Not started</v>
      </c>
      <c r="S30" s="146" t="str">
        <f>IF(OR(LEFT(A30,9)="OPERATOR-",LEFT(A30,8)="PAYMENT-",LEFT(A30,7)="DEPLOY-"),"External","Core")</f>
        <v>Core</v>
      </c>
    </row>
    <row r="31" customFormat="false" ht="15" hidden="false" customHeight="false" outlineLevel="0" collapsed="false">
      <c r="A31" s="135" t="s">
        <v>227</v>
      </c>
      <c r="B31" s="135" t="s">
        <v>228</v>
      </c>
      <c r="C31" s="256" t="s">
        <v>49</v>
      </c>
      <c r="D31" s="135" t="s">
        <v>229</v>
      </c>
      <c r="E31" s="135" t="s">
        <v>230</v>
      </c>
      <c r="F31" s="135" t="s">
        <v>231</v>
      </c>
      <c r="G31" s="135" t="s">
        <v>232</v>
      </c>
      <c r="H31" s="135" t="s">
        <v>233</v>
      </c>
      <c r="I31" s="135" t="s">
        <v>234</v>
      </c>
      <c r="J31" s="135" t="s">
        <v>235</v>
      </c>
      <c r="K31" s="135" t="s">
        <v>236</v>
      </c>
      <c r="L31" s="135" t="s">
        <v>96</v>
      </c>
      <c r="M31" s="135" t="s">
        <v>237</v>
      </c>
      <c r="N31" s="135" t="s">
        <v>238</v>
      </c>
      <c r="O31" s="135" t="s">
        <v>125</v>
      </c>
      <c r="P31" s="135" t="s">
        <v>239</v>
      </c>
      <c r="Q31" s="135" t="s">
        <v>112</v>
      </c>
      <c r="R31" s="146" t="str">
        <f>IF(OR(ISNUMBER(SEARCH("FAIL",K31&amp;" "&amp;O31)),ISNUMBER(SEARCH("CLEAN RETEST REQUIRED",K31&amp;" "&amp;O31))),"Failed",IF(OR(ISNUMBER(SEARCH("NOT RUN",K31&amp;" "&amp;O31)),ISNUMBER(SEARCH("NOT IMPLEMENTED",K31&amp;" "&amp;O31))),"Not started",IF(OR(ISNUMBER(SEARCH("PARTIAL",K31&amp;" "&amp;O31)),ISNUMBER(SEARCH("PENDING",K31&amp;" "&amp;O31)),ISNUMBER(SEARCH("IN PROGRESS",K31&amp;" "&amp;O31)),ISNUMBER(SEARCH("OPEN",K31&amp;" "&amp;O31)),ISNUMBER(SEARCH("RETEST REQUIRED",K31&amp;" "&amp;O31)),ISNUMBER(SEARCH("IMPLEMENTATION UPDATED",K31&amp;" "&amp;O31)),ISNUMBER(SEARCH("REQUIRED EVERY SESSION",K31&amp;" "&amp;O31))),"Pending",IF(OR(O31="PASS",ISNUMBER(SEARCH("PASS",K31&amp;" "&amp;O31))),"Done","Pending"))))</f>
        <v>Done</v>
      </c>
      <c r="S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244</v>
      </c>
      <c r="G32" s="135" t="s">
        <v>245</v>
      </c>
      <c r="H32" s="135" t="s">
        <v>246</v>
      </c>
      <c r="I32" s="135" t="s">
        <v>247</v>
      </c>
      <c r="J32" s="135" t="s">
        <v>248</v>
      </c>
      <c r="K32" s="135" t="s">
        <v>236</v>
      </c>
      <c r="L32" s="135" t="s">
        <v>96</v>
      </c>
      <c r="M32" s="135" t="s">
        <v>249</v>
      </c>
      <c r="N32" s="135" t="s">
        <v>250</v>
      </c>
      <c r="O32" s="135" t="s">
        <v>125</v>
      </c>
      <c r="P32" s="135" t="s">
        <v>251</v>
      </c>
      <c r="Q32" s="135" t="s">
        <v>127</v>
      </c>
      <c r="R32" s="146" t="str">
        <f>IF(OR(ISNUMBER(SEARCH("FAIL",K32&amp;" "&amp;O32)),ISNUMBER(SEARCH("CLEAN RETEST REQUIRED",K32&amp;" "&amp;O32))),"Failed",IF(OR(ISNUMBER(SEARCH("NOT RUN",K32&amp;" "&amp;O32)),ISNUMBER(SEARCH("NOT IMPLEMENTED",K32&amp;" "&amp;O32))),"Not started",IF(OR(ISNUMBER(SEARCH("PARTIAL",K32&amp;" "&amp;O32)),ISNUMBER(SEARCH("PENDING",K32&amp;" "&amp;O32)),ISNUMBER(SEARCH("IN PROGRESS",K32&amp;" "&amp;O32)),ISNUMBER(SEARCH("OPEN",K32&amp;" "&amp;O32)),ISNUMBER(SEARCH("RETEST REQUIRED",K32&amp;" "&amp;O32)),ISNUMBER(SEARCH("IMPLEMENTATION UPDATED",K32&amp;" "&amp;O32)),ISNUMBER(SEARCH("REQUIRED EVERY SESSION",K32&amp;" "&amp;O32))),"Pending",IF(OR(O32="PASS",ISNUMBER(SEARCH("PASS",K32&amp;" "&amp;O32))),"Done","Pending"))))</f>
        <v>Done</v>
      </c>
      <c r="S32" s="146" t="str">
        <f>IF(OR(LEFT(A32,9)="OPERATOR-",LEFT(A32,8)="PAYMENT-",LEFT(A32,7)="DEPLOY-"),"External","Core")</f>
        <v>Core</v>
      </c>
    </row>
    <row r="33" customFormat="false" ht="15" hidden="false" customHeight="false" outlineLevel="0" collapsed="false">
      <c r="A33" s="135" t="s">
        <v>252</v>
      </c>
      <c r="B33" s="135" t="s">
        <v>228</v>
      </c>
      <c r="C33" s="256" t="s">
        <v>49</v>
      </c>
      <c r="D33" s="135" t="s">
        <v>229</v>
      </c>
      <c r="E33" s="135" t="s">
        <v>253</v>
      </c>
      <c r="F33" s="135" t="s">
        <v>254</v>
      </c>
      <c r="G33" s="135" t="s">
        <v>255</v>
      </c>
      <c r="H33" s="135" t="s">
        <v>233</v>
      </c>
      <c r="I33" s="135" t="s">
        <v>256</v>
      </c>
      <c r="J33" s="135" t="s">
        <v>257</v>
      </c>
      <c r="K33" s="135" t="s">
        <v>236</v>
      </c>
      <c r="L33" s="135" t="s">
        <v>96</v>
      </c>
      <c r="M33" s="135" t="s">
        <v>258</v>
      </c>
      <c r="N33" s="135" t="s">
        <v>259</v>
      </c>
      <c r="O33" s="135" t="s">
        <v>125</v>
      </c>
      <c r="P33" s="135" t="s">
        <v>260</v>
      </c>
      <c r="Q33" s="135" t="s">
        <v>261</v>
      </c>
      <c r="R33" s="146" t="str">
        <f>IF(OR(ISNUMBER(SEARCH("FAIL",K33&amp;" "&amp;O33)),ISNUMBER(SEARCH("CLEAN RETEST REQUIRED",K33&amp;" "&amp;O33))),"Failed",IF(OR(ISNUMBER(SEARCH("NOT RUN",K33&amp;" "&amp;O33)),ISNUMBER(SEARCH("NOT IMPLEMENTED",K33&amp;" "&amp;O33))),"Not started",IF(OR(ISNUMBER(SEARCH("PARTIAL",K33&amp;" "&amp;O33)),ISNUMBER(SEARCH("PENDING",K33&amp;" "&amp;O33)),ISNUMBER(SEARCH("IN PROGRESS",K33&amp;" "&amp;O33)),ISNUMBER(SEARCH("OPEN",K33&amp;" "&amp;O33)),ISNUMBER(SEARCH("RETEST REQUIRED",K33&amp;" "&amp;O33)),ISNUMBER(SEARCH("IMPLEMENTATION UPDATED",K33&amp;" "&amp;O33)),ISNUMBER(SEARCH("REQUIRED EVERY SESSION",K33&amp;" "&amp;O33))),"Pending",IF(OR(O33="PASS",ISNUMBER(SEARCH("PASS",K33&amp;" "&amp;O33))),"Done","Pending"))))</f>
        <v>Done</v>
      </c>
      <c r="S33" s="146" t="str">
        <f>IF(OR(LEFT(A33,9)="OPERATOR-",LEFT(A33,8)="PAYMENT-",LEFT(A33,7)="DEPLOY-"),"External","Core")</f>
        <v>Core</v>
      </c>
    </row>
    <row r="34" customFormat="false" ht="180" hidden="false" customHeight="true" outlineLevel="0" collapsed="false">
      <c r="A34" s="135" t="s">
        <v>262</v>
      </c>
      <c r="B34" s="135" t="s">
        <v>263</v>
      </c>
      <c r="C34" s="256" t="s">
        <v>49</v>
      </c>
      <c r="D34" s="135" t="s">
        <v>264</v>
      </c>
      <c r="E34" s="135" t="s">
        <v>265</v>
      </c>
      <c r="F34" s="135" t="s">
        <v>4</v>
      </c>
      <c r="G34" s="135" t="s">
        <v>266</v>
      </c>
      <c r="H34" s="135" t="s">
        <v>4</v>
      </c>
      <c r="I34" s="135" t="s">
        <v>267</v>
      </c>
      <c r="J34" s="135" t="s">
        <v>268</v>
      </c>
      <c r="K34" s="135" t="s">
        <v>155</v>
      </c>
      <c r="L34" s="135" t="s">
        <v>122</v>
      </c>
      <c r="M34" s="135" t="s">
        <v>269</v>
      </c>
      <c r="N34" s="135" t="s">
        <v>270</v>
      </c>
      <c r="O34" s="135" t="s">
        <v>125</v>
      </c>
      <c r="P34" s="135" t="s">
        <v>271</v>
      </c>
      <c r="Q34" s="135" t="s">
        <v>272</v>
      </c>
      <c r="R34" s="146" t="str">
        <f>IF(OR(ISNUMBER(SEARCH("FAIL",K34&amp;" "&amp;O34)),ISNUMBER(SEARCH("CLEAN RETEST REQUIRED",K34&amp;" "&amp;O34))),"Failed",IF(OR(ISNUMBER(SEARCH("NOT RUN",K34&amp;" "&amp;O34)),ISNUMBER(SEARCH("NOT IMPLEMENTED",K34&amp;" "&amp;O34))),"Not started",IF(OR(ISNUMBER(SEARCH("PARTIAL",K34&amp;" "&amp;O34)),ISNUMBER(SEARCH("PENDING",K34&amp;" "&amp;O34)),ISNUMBER(SEARCH("IN PROGRESS",K34&amp;" "&amp;O34)),ISNUMBER(SEARCH("OPEN",K34&amp;" "&amp;O34)),ISNUMBER(SEARCH("RETEST REQUIRED",K34&amp;" "&amp;O34)),ISNUMBER(SEARCH("IMPLEMENTATION UPDATED",K34&amp;" "&amp;O34)),ISNUMBER(SEARCH("REQUIRED EVERY SESSION",K34&amp;" "&amp;O34))),"Pending",IF(OR(O34="PASS",ISNUMBER(SEARCH("PASS",K34&amp;" "&amp;O34))),"Done","Pending"))))</f>
        <v>Done</v>
      </c>
      <c r="S34" s="146" t="str">
        <f>IF(OR(LEFT(A34,9)="OPERATOR-",LEFT(A34,8)="PAYMENT-",LEFT(A34,7)="DEPLOY-"),"External","Core")</f>
        <v>Core</v>
      </c>
    </row>
    <row r="35" customFormat="false" ht="15" hidden="false" customHeight="false" outlineLevel="0" collapsed="false">
      <c r="A35" s="135" t="s">
        <v>273</v>
      </c>
      <c r="B35" s="135" t="s">
        <v>274</v>
      </c>
      <c r="C35" s="256" t="s">
        <v>49</v>
      </c>
      <c r="D35" s="135" t="s">
        <v>275</v>
      </c>
      <c r="E35" s="135" t="s">
        <v>276</v>
      </c>
      <c r="F35" s="135" t="s">
        <v>254</v>
      </c>
      <c r="G35" s="135" t="s">
        <v>277</v>
      </c>
      <c r="H35" s="135" t="s">
        <v>4</v>
      </c>
      <c r="I35" s="135" t="s">
        <v>278</v>
      </c>
      <c r="J35" s="135" t="s">
        <v>279</v>
      </c>
      <c r="K35" s="135" t="s">
        <v>280</v>
      </c>
      <c r="L35" s="135" t="s">
        <v>122</v>
      </c>
      <c r="M35" s="135" t="s">
        <v>281</v>
      </c>
      <c r="N35" s="135" t="s">
        <v>282</v>
      </c>
      <c r="O35" s="135" t="s">
        <v>125</v>
      </c>
      <c r="P35" s="135" t="s">
        <v>283</v>
      </c>
      <c r="Q35" s="135" t="s">
        <v>101</v>
      </c>
      <c r="R35" s="146" t="str">
        <f>IF(OR(ISNUMBER(SEARCH("FAIL",K35&amp;" "&amp;O35)),ISNUMBER(SEARCH("CLEAN RETEST REQUIRED",K35&amp;" "&amp;O35))),"Failed",IF(OR(ISNUMBER(SEARCH("NOT RUN",K35&amp;" "&amp;O35)),ISNUMBER(SEARCH("NOT IMPLEMENTED",K35&amp;" "&amp;O35))),"Not started",IF(OR(ISNUMBER(SEARCH("PARTIAL",K35&amp;" "&amp;O35)),ISNUMBER(SEARCH("PENDING",K35&amp;" "&amp;O35)),ISNUMBER(SEARCH("IN PROGRESS",K35&amp;" "&amp;O35)),ISNUMBER(SEARCH("OPEN",K35&amp;" "&amp;O35)),ISNUMBER(SEARCH("RETEST REQUIRED",K35&amp;" "&amp;O35)),ISNUMBER(SEARCH("IMPLEMENTATION UPDATED",K35&amp;" "&amp;O35)),ISNUMBER(SEARCH("REQUIRED EVERY SESSION",K35&amp;" "&amp;O35))),"Pending",IF(OR(O35="PASS",ISNUMBER(SEARCH("PASS",K35&amp;" "&amp;O35))),"Done","Pending"))))</f>
        <v>Done</v>
      </c>
      <c r="S35" s="146" t="str">
        <f>IF(OR(LEFT(A35,9)="OPERATOR-",LEFT(A35,8)="PAYMENT-",LEFT(A35,7)="DEPLOY-"),"External","Core")</f>
        <v>Core</v>
      </c>
    </row>
    <row r="36" customFormat="false" ht="15" hidden="false" customHeight="false" outlineLevel="0" collapsed="false">
      <c r="A36" s="135" t="s">
        <v>284</v>
      </c>
      <c r="B36" s="135" t="s">
        <v>228</v>
      </c>
      <c r="C36" s="256" t="s">
        <v>49</v>
      </c>
      <c r="D36" s="135" t="s">
        <v>285</v>
      </c>
      <c r="E36" s="135" t="s">
        <v>286</v>
      </c>
      <c r="F36" s="135" t="s">
        <v>287</v>
      </c>
      <c r="G36" s="135" t="s">
        <v>288</v>
      </c>
      <c r="H36" s="135" t="s">
        <v>289</v>
      </c>
      <c r="I36" s="135" t="s">
        <v>290</v>
      </c>
      <c r="J36" s="135" t="s">
        <v>291</v>
      </c>
      <c r="K36" s="135" t="s">
        <v>236</v>
      </c>
      <c r="L36" s="135" t="s">
        <v>96</v>
      </c>
      <c r="M36" s="135" t="s">
        <v>292</v>
      </c>
      <c r="N36" s="135" t="s">
        <v>293</v>
      </c>
      <c r="O36" s="135" t="s">
        <v>125</v>
      </c>
      <c r="P36" s="135" t="s">
        <v>294</v>
      </c>
      <c r="Q36" s="135" t="s">
        <v>295</v>
      </c>
      <c r="R36" s="146" t="str">
        <f>IF(OR(ISNUMBER(SEARCH("FAIL",K36&amp;" "&amp;O36)),ISNUMBER(SEARCH("CLEAN RETEST REQUIRED",K36&amp;" "&amp;O36))),"Failed",IF(OR(ISNUMBER(SEARCH("NOT RUN",K36&amp;" "&amp;O36)),ISNUMBER(SEARCH("NOT IMPLEMENTED",K36&amp;" "&amp;O36))),"Not started",IF(OR(ISNUMBER(SEARCH("PARTIAL",K36&amp;" "&amp;O36)),ISNUMBER(SEARCH("PENDING",K36&amp;" "&amp;O36)),ISNUMBER(SEARCH("IN PROGRESS",K36&amp;" "&amp;O36)),ISNUMBER(SEARCH("OPEN",K36&amp;" "&amp;O36)),ISNUMBER(SEARCH("RETEST REQUIRED",K36&amp;" "&amp;O36)),ISNUMBER(SEARCH("IMPLEMENTATION UPDATED",K36&amp;" "&amp;O36)),ISNUMBER(SEARCH("REQUIRED EVERY SESSION",K36&amp;" "&amp;O36))),"Pending",IF(OR(O36="PASS",ISNUMBER(SEARCH("PASS",K36&amp;" "&amp;O36))),"Done","Pending"))))</f>
        <v>Done</v>
      </c>
      <c r="S36" s="146" t="str">
        <f>IF(OR(LEFT(A36,9)="OPERATOR-",LEFT(A36,8)="PAYMENT-",LEFT(A36,7)="DEPLOY-"),"External","Core")</f>
        <v>Core</v>
      </c>
    </row>
    <row r="37" customFormat="false" ht="15" hidden="false" customHeight="false" outlineLevel="0" collapsed="false">
      <c r="A37" s="135" t="s">
        <v>296</v>
      </c>
      <c r="B37" s="135" t="s">
        <v>297</v>
      </c>
      <c r="C37" s="256" t="s">
        <v>49</v>
      </c>
      <c r="D37" s="135" t="s">
        <v>298</v>
      </c>
      <c r="E37" s="135" t="s">
        <v>299</v>
      </c>
      <c r="F37" s="135" t="s">
        <v>4</v>
      </c>
      <c r="G37" s="135" t="s">
        <v>300</v>
      </c>
      <c r="H37" s="135" t="s">
        <v>4</v>
      </c>
      <c r="I37" s="135" t="s">
        <v>301</v>
      </c>
      <c r="J37" s="135" t="s">
        <v>302</v>
      </c>
      <c r="K37" s="135" t="s">
        <v>303</v>
      </c>
      <c r="L37" s="135" t="s">
        <v>96</v>
      </c>
      <c r="M37" s="135" t="s">
        <v>304</v>
      </c>
      <c r="N37" s="135" t="s">
        <v>305</v>
      </c>
      <c r="O37" s="135" t="s">
        <v>125</v>
      </c>
      <c r="P37" s="135" t="s">
        <v>306</v>
      </c>
      <c r="Q37" s="135" t="s">
        <v>307</v>
      </c>
      <c r="R37" s="146" t="str">
        <f>IF(OR(ISNUMBER(SEARCH("FAIL",K37&amp;" "&amp;O37)),ISNUMBER(SEARCH("CLEAN RETEST REQUIRED",K37&amp;" "&amp;O37))),"Failed",IF(OR(ISNUMBER(SEARCH("NOT RUN",K37&amp;" "&amp;O37)),ISNUMBER(SEARCH("NOT IMPLEMENTED",K37&amp;" "&amp;O37))),"Not started",IF(OR(ISNUMBER(SEARCH("PARTIAL",K37&amp;" "&amp;O37)),ISNUMBER(SEARCH("PENDING",K37&amp;" "&amp;O37)),ISNUMBER(SEARCH("IN PROGRESS",K37&amp;" "&amp;O37)),ISNUMBER(SEARCH("OPEN",K37&amp;" "&amp;O37)),ISNUMBER(SEARCH("RETEST REQUIRED",K37&amp;" "&amp;O37)),ISNUMBER(SEARCH("IMPLEMENTATION UPDATED",K37&amp;" "&amp;O37)),ISNUMBER(SEARCH("REQUIRED EVERY SESSION",K37&amp;" "&amp;O37))),"Pending",IF(OR(O37="PASS",ISNUMBER(SEARCH("PASS",K37&amp;" "&amp;O37))),"Done","Pending"))))</f>
        <v>Done</v>
      </c>
      <c r="S37" s="146" t="str">
        <f>IF(OR(LEFT(A37,9)="OPERATOR-",LEFT(A37,8)="PAYMENT-",LEFT(A37,7)="DEPLOY-"),"External","Core")</f>
        <v>Core</v>
      </c>
    </row>
    <row r="38" customFormat="false" ht="15" hidden="false" customHeight="false" outlineLevel="0" collapsed="false">
      <c r="A38" s="135" t="s">
        <v>308</v>
      </c>
      <c r="B38" s="135" t="s">
        <v>309</v>
      </c>
      <c r="C38" s="256" t="s">
        <v>49</v>
      </c>
      <c r="D38" s="135" t="s">
        <v>310</v>
      </c>
      <c r="E38" s="135" t="s">
        <v>311</v>
      </c>
      <c r="F38" s="135" t="s">
        <v>312</v>
      </c>
      <c r="G38" s="135" t="s">
        <v>313</v>
      </c>
      <c r="H38" s="135" t="s">
        <v>314</v>
      </c>
      <c r="I38" s="135" t="s">
        <v>315</v>
      </c>
      <c r="J38" s="135" t="s">
        <v>316</v>
      </c>
      <c r="K38" s="135" t="s">
        <v>280</v>
      </c>
      <c r="L38" s="135" t="s">
        <v>96</v>
      </c>
      <c r="M38" s="135" t="s">
        <v>317</v>
      </c>
      <c r="N38" s="135" t="s">
        <v>318</v>
      </c>
      <c r="O38" s="135" t="s">
        <v>125</v>
      </c>
      <c r="P38" s="135" t="s">
        <v>319</v>
      </c>
      <c r="Q38" s="135" t="s">
        <v>320</v>
      </c>
      <c r="R38" s="146" t="str">
        <f>IF(OR(ISNUMBER(SEARCH("FAIL",K38&amp;" "&amp;O38)),ISNUMBER(SEARCH("CLEAN RETEST REQUIRED",K38&amp;" "&amp;O38))),"Failed",IF(OR(ISNUMBER(SEARCH("NOT RUN",K38&amp;" "&amp;O38)),ISNUMBER(SEARCH("NOT IMPLEMENTED",K38&amp;" "&amp;O38))),"Not started",IF(OR(ISNUMBER(SEARCH("PARTIAL",K38&amp;" "&amp;O38)),ISNUMBER(SEARCH("PENDING",K38&amp;" "&amp;O38)),ISNUMBER(SEARCH("IN PROGRESS",K38&amp;" "&amp;O38)),ISNUMBER(SEARCH("OPEN",K38&amp;" "&amp;O38)),ISNUMBER(SEARCH("RETEST REQUIRED",K38&amp;" "&amp;O38)),ISNUMBER(SEARCH("IMPLEMENTATION UPDATED",K38&amp;" "&amp;O38)),ISNUMBER(SEARCH("REQUIRED EVERY SESSION",K38&amp;" "&amp;O38))),"Pending",IF(OR(O38="PASS",ISNUMBER(SEARCH("PASS",K38&amp;" "&amp;O38))),"Done","Pending"))))</f>
        <v>Done</v>
      </c>
      <c r="S38" s="146" t="str">
        <f>IF(OR(LEFT(A38,9)="OPERATOR-",LEFT(A38,8)="PAYMENT-",LEFT(A38,7)="DEPLOY-"),"External","Core")</f>
        <v>Core</v>
      </c>
    </row>
    <row r="39" customFormat="false" ht="15" hidden="false" customHeight="false" outlineLevel="0" collapsed="false">
      <c r="A39" s="135" t="s">
        <v>321</v>
      </c>
      <c r="B39" s="135" t="s">
        <v>241</v>
      </c>
      <c r="C39" s="256" t="s">
        <v>49</v>
      </c>
      <c r="D39" s="135" t="s">
        <v>322</v>
      </c>
      <c r="E39" s="135" t="s">
        <v>323</v>
      </c>
      <c r="F39" s="135" t="s">
        <v>4</v>
      </c>
      <c r="G39" s="135" t="s">
        <v>324</v>
      </c>
      <c r="H39" s="135" t="s">
        <v>4</v>
      </c>
      <c r="I39" s="135" t="s">
        <v>4</v>
      </c>
      <c r="J39" s="135" t="s">
        <v>325</v>
      </c>
      <c r="K39" s="135" t="s">
        <v>280</v>
      </c>
      <c r="L39" s="135" t="s">
        <v>96</v>
      </c>
      <c r="M39" s="135" t="s">
        <v>326</v>
      </c>
      <c r="N39" s="135" t="s">
        <v>327</v>
      </c>
      <c r="O39" s="135" t="s">
        <v>125</v>
      </c>
      <c r="P39" s="135" t="s">
        <v>328</v>
      </c>
      <c r="Q39" s="135" t="s">
        <v>329</v>
      </c>
      <c r="R39" s="146" t="str">
        <f>IF(OR(ISNUMBER(SEARCH("FAIL",K39&amp;" "&amp;O39)),ISNUMBER(SEARCH("CLEAN RETEST REQUIRED",K39&amp;" "&amp;O39))),"Failed",IF(OR(ISNUMBER(SEARCH("NOT RUN",K39&amp;" "&amp;O39)),ISNUMBER(SEARCH("NOT IMPLEMENTED",K39&amp;" "&amp;O39))),"Not started",IF(OR(ISNUMBER(SEARCH("PARTIAL",K39&amp;" "&amp;O39)),ISNUMBER(SEARCH("PENDING",K39&amp;" "&amp;O39)),ISNUMBER(SEARCH("IN PROGRESS",K39&amp;" "&amp;O39)),ISNUMBER(SEARCH("OPEN",K39&amp;" "&amp;O39)),ISNUMBER(SEARCH("RETEST REQUIRED",K39&amp;" "&amp;O39)),ISNUMBER(SEARCH("IMPLEMENTATION UPDATED",K39&amp;" "&amp;O39)),ISNUMBER(SEARCH("REQUIRED EVERY SESSION",K39&amp;" "&amp;O39))),"Pending",IF(OR(O39="PASS",ISNUMBER(SEARCH("PASS",K39&amp;" "&amp;O39))),"Done","Pending"))))</f>
        <v>Done</v>
      </c>
      <c r="S39" s="146" t="str">
        <f>IF(OR(LEFT(A39,9)="OPERATOR-",LEFT(A39,8)="PAYMENT-",LEFT(A39,7)="DEPLOY-"),"External","Core")</f>
        <v>Core</v>
      </c>
    </row>
    <row r="40" customFormat="false" ht="15" hidden="false" customHeight="false" outlineLevel="0" collapsed="false">
      <c r="A40" s="138" t="s">
        <v>330</v>
      </c>
      <c r="B40" s="138" t="s">
        <v>228</v>
      </c>
      <c r="C40" s="256" t="s">
        <v>49</v>
      </c>
      <c r="D40" s="138" t="s">
        <v>331</v>
      </c>
      <c r="E40" s="138" t="s">
        <v>332</v>
      </c>
      <c r="F40" s="138" t="s">
        <v>333</v>
      </c>
      <c r="G40" s="138" t="s">
        <v>334</v>
      </c>
      <c r="H40" s="138" t="s">
        <v>233</v>
      </c>
      <c r="I40" s="138" t="s">
        <v>335</v>
      </c>
      <c r="J40" s="138" t="s">
        <v>336</v>
      </c>
      <c r="K40" s="138" t="s">
        <v>337</v>
      </c>
      <c r="L40" s="138" t="s">
        <v>1</v>
      </c>
      <c r="M40" s="138" t="s">
        <v>338</v>
      </c>
      <c r="N40" s="138" t="s">
        <v>339</v>
      </c>
      <c r="O40" s="138" t="s">
        <v>1</v>
      </c>
      <c r="P40" s="138" t="s">
        <v>340</v>
      </c>
      <c r="Q40" s="138" t="s">
        <v>261</v>
      </c>
      <c r="R40" s="146" t="str">
        <f>IF(OR(ISNUMBER(SEARCH("FAIL",K40&amp;" "&amp;O40)),ISNUMBER(SEARCH("CLEAN RETEST REQUIRED",K40&amp;" "&amp;O40))),"Failed",IF(OR(ISNUMBER(SEARCH("NOT RUN",K40&amp;" "&amp;O40)),ISNUMBER(SEARCH("NOT IMPLEMENTED",K40&amp;" "&amp;O40))),"Not started",IF(OR(ISNUMBER(SEARCH("PARTIAL",K40&amp;" "&amp;O40)),ISNUMBER(SEARCH("PENDING",K40&amp;" "&amp;O40)),ISNUMBER(SEARCH("IN PROGRESS",K40&amp;" "&amp;O40)),ISNUMBER(SEARCH("OPEN",K40&amp;" "&amp;O40)),ISNUMBER(SEARCH("RETEST REQUIRED",K40&amp;" "&amp;O40)),ISNUMBER(SEARCH("IMPLEMENTATION UPDATED",K40&amp;" "&amp;O40)),ISNUMBER(SEARCH("REQUIRED EVERY SESSION",K40&amp;" "&amp;O40))),"Pending",IF(OR(O40="PASS",ISNUMBER(SEARCH("PASS",K40&amp;" "&amp;O40))),"Done","Pending"))))</f>
        <v>Not started</v>
      </c>
      <c r="S40" s="146" t="str">
        <f>IF(OR(LEFT(A40,9)="OPERATOR-",LEFT(A40,8)="PAYMENT-",LEFT(A40,7)="DEPLOY-"),"External","Core")</f>
        <v>Core</v>
      </c>
    </row>
    <row r="41" customFormat="false" ht="15" hidden="false" customHeight="false" outlineLevel="0" collapsed="false">
      <c r="A41" s="138" t="s">
        <v>341</v>
      </c>
      <c r="B41" s="138" t="s">
        <v>228</v>
      </c>
      <c r="C41" s="256" t="s">
        <v>49</v>
      </c>
      <c r="D41" s="138" t="s">
        <v>229</v>
      </c>
      <c r="E41" s="138" t="s">
        <v>342</v>
      </c>
      <c r="F41" s="138" t="s">
        <v>343</v>
      </c>
      <c r="G41" s="138" t="s">
        <v>344</v>
      </c>
      <c r="H41" s="138" t="s">
        <v>345</v>
      </c>
      <c r="I41" s="138" t="s">
        <v>346</v>
      </c>
      <c r="J41" s="138" t="s">
        <v>347</v>
      </c>
      <c r="K41" s="138" t="s">
        <v>337</v>
      </c>
      <c r="L41" s="138" t="s">
        <v>1</v>
      </c>
      <c r="M41" s="138" t="s">
        <v>348</v>
      </c>
      <c r="N41" s="138" t="s">
        <v>349</v>
      </c>
      <c r="O41" s="138" t="s">
        <v>1</v>
      </c>
      <c r="P41" s="138" t="s">
        <v>350</v>
      </c>
      <c r="Q41" s="138" t="s">
        <v>351</v>
      </c>
      <c r="R41" s="146" t="str">
        <f>IF(OR(ISNUMBER(SEARCH("FAIL",K41&amp;" "&amp;O41)),ISNUMBER(SEARCH("CLEAN RETEST REQUIRED",K41&amp;" "&amp;O41))),"Failed",IF(OR(ISNUMBER(SEARCH("NOT RUN",K41&amp;" "&amp;O41)),ISNUMBER(SEARCH("NOT IMPLEMENTED",K41&amp;" "&amp;O41))),"Not started",IF(OR(ISNUMBER(SEARCH("PARTIAL",K41&amp;" "&amp;O41)),ISNUMBER(SEARCH("PENDING",K41&amp;" "&amp;O41)),ISNUMBER(SEARCH("IN PROGRESS",K41&amp;" "&amp;O41)),ISNUMBER(SEARCH("OPEN",K41&amp;" "&amp;O41)),ISNUMBER(SEARCH("RETEST REQUIRED",K41&amp;" "&amp;O41)),ISNUMBER(SEARCH("IMPLEMENTATION UPDATED",K41&amp;" "&amp;O41)),ISNUMBER(SEARCH("REQUIRED EVERY SESSION",K41&amp;" "&amp;O41))),"Pending",IF(OR(O41="PASS",ISNUMBER(SEARCH("PASS",K41&amp;" "&amp;O41))),"Done","Pending"))))</f>
        <v>Not started</v>
      </c>
      <c r="S41" s="146" t="str">
        <f>IF(OR(LEFT(A41,9)="OPERATOR-",LEFT(A41,8)="PAYMENT-",LEFT(A41,7)="DEPLOY-"),"External","Core")</f>
        <v>Core</v>
      </c>
    </row>
    <row r="42" customFormat="false" ht="15" hidden="false" customHeight="false" outlineLevel="0" collapsed="false">
      <c r="A42" s="135" t="s">
        <v>352</v>
      </c>
      <c r="B42" s="135" t="s">
        <v>228</v>
      </c>
      <c r="C42" s="256" t="s">
        <v>49</v>
      </c>
      <c r="D42" s="135" t="s">
        <v>353</v>
      </c>
      <c r="E42" s="135" t="s">
        <v>354</v>
      </c>
      <c r="F42" s="135" t="s">
        <v>355</v>
      </c>
      <c r="G42" s="135" t="s">
        <v>255</v>
      </c>
      <c r="H42" s="135" t="s">
        <v>233</v>
      </c>
      <c r="I42" s="135" t="s">
        <v>356</v>
      </c>
      <c r="J42" s="135" t="s">
        <v>357</v>
      </c>
      <c r="K42" s="135" t="s">
        <v>236</v>
      </c>
      <c r="L42" s="135" t="s">
        <v>96</v>
      </c>
      <c r="M42" s="135" t="s">
        <v>358</v>
      </c>
      <c r="N42" s="135" t="s">
        <v>359</v>
      </c>
      <c r="O42" s="135" t="s">
        <v>125</v>
      </c>
      <c r="P42" s="135" t="s">
        <v>360</v>
      </c>
      <c r="Q42" s="135" t="s">
        <v>361</v>
      </c>
      <c r="R42" s="146" t="str">
        <f>IF(OR(ISNUMBER(SEARCH("FAIL",K42&amp;" "&amp;O42)),ISNUMBER(SEARCH("CLEAN RETEST REQUIRED",K42&amp;" "&amp;O42))),"Failed",IF(OR(ISNUMBER(SEARCH("NOT RUN",K42&amp;" "&amp;O42)),ISNUMBER(SEARCH("NOT IMPLEMENTED",K42&amp;" "&amp;O42))),"Not started",IF(OR(ISNUMBER(SEARCH("PARTIAL",K42&amp;" "&amp;O42)),ISNUMBER(SEARCH("PENDING",K42&amp;" "&amp;O42)),ISNUMBER(SEARCH("IN PROGRESS",K42&amp;" "&amp;O42)),ISNUMBER(SEARCH("OPEN",K42&amp;" "&amp;O42)),ISNUMBER(SEARCH("RETEST REQUIRED",K42&amp;" "&amp;O42)),ISNUMBER(SEARCH("IMPLEMENTATION UPDATED",K42&amp;" "&amp;O42)),ISNUMBER(SEARCH("REQUIRED EVERY SESSION",K42&amp;" "&amp;O42))),"Pending",IF(OR(O42="PASS",ISNUMBER(SEARCH("PASS",K42&amp;" "&amp;O42))),"Done","Pending"))))</f>
        <v>Done</v>
      </c>
      <c r="S42" s="146" t="str">
        <f>IF(OR(LEFT(A42,9)="OPERATOR-",LEFT(A42,8)="PAYMENT-",LEFT(A42,7)="DEPLOY-"),"External","Core")</f>
        <v>Core</v>
      </c>
    </row>
    <row r="43" customFormat="false" ht="180" hidden="false" customHeight="true" outlineLevel="0" collapsed="false">
      <c r="A43" s="135" t="s">
        <v>362</v>
      </c>
      <c r="B43" s="135" t="s">
        <v>228</v>
      </c>
      <c r="C43" s="256" t="s">
        <v>49</v>
      </c>
      <c r="D43" s="135" t="s">
        <v>353</v>
      </c>
      <c r="E43" s="135" t="s">
        <v>363</v>
      </c>
      <c r="F43" s="135" t="s">
        <v>364</v>
      </c>
      <c r="G43" s="135" t="s">
        <v>365</v>
      </c>
      <c r="H43" s="135" t="s">
        <v>233</v>
      </c>
      <c r="I43" s="135" t="s">
        <v>366</v>
      </c>
      <c r="J43" s="135" t="s">
        <v>367</v>
      </c>
      <c r="K43" s="135" t="s">
        <v>368</v>
      </c>
      <c r="L43" s="135" t="s">
        <v>122</v>
      </c>
      <c r="M43" s="135" t="s">
        <v>369</v>
      </c>
      <c r="N43" s="135" t="s">
        <v>370</v>
      </c>
      <c r="O43" s="135" t="s">
        <v>125</v>
      </c>
      <c r="P43" s="135" t="s">
        <v>371</v>
      </c>
      <c r="Q43" s="135" t="s">
        <v>372</v>
      </c>
      <c r="R43" s="146" t="str">
        <f>IF(OR(ISNUMBER(SEARCH("FAIL",K43&amp;" "&amp;O43)),ISNUMBER(SEARCH("CLEAN RETEST REQUIRED",K43&amp;" "&amp;O43))),"Failed",IF(OR(ISNUMBER(SEARCH("NOT RUN",K43&amp;" "&amp;O43)),ISNUMBER(SEARCH("NOT IMPLEMENTED",K43&amp;" "&amp;O43))),"Not started",IF(OR(ISNUMBER(SEARCH("PARTIAL",K43&amp;" "&amp;O43)),ISNUMBER(SEARCH("PENDING",K43&amp;" "&amp;O43)),ISNUMBER(SEARCH("IN PROGRESS",K43&amp;" "&amp;O43)),ISNUMBER(SEARCH("OPEN",K43&amp;" "&amp;O43)),ISNUMBER(SEARCH("RETEST REQUIRED",K43&amp;" "&amp;O43)),ISNUMBER(SEARCH("IMPLEMENTATION UPDATED",K43&amp;" "&amp;O43)),ISNUMBER(SEARCH("REQUIRED EVERY SESSION",K43&amp;" "&amp;O43))),"Pending",IF(OR(O43="PASS",ISNUMBER(SEARCH("PASS",K43&amp;" "&amp;O43))),"Done","Pending"))))</f>
        <v>Done</v>
      </c>
      <c r="S43" s="146" t="str">
        <f>IF(OR(LEFT(A43,9)="OPERATOR-",LEFT(A43,8)="PAYMENT-",LEFT(A43,7)="DEPLOY-"),"External","Core")</f>
        <v>Core</v>
      </c>
    </row>
    <row r="44" customFormat="false" ht="120" hidden="false" customHeight="true" outlineLevel="0" collapsed="false">
      <c r="A44" s="135" t="s">
        <v>373</v>
      </c>
      <c r="B44" s="135" t="s">
        <v>228</v>
      </c>
      <c r="C44" s="256" t="s">
        <v>49</v>
      </c>
      <c r="D44" s="135" t="s">
        <v>353</v>
      </c>
      <c r="E44" s="135" t="s">
        <v>374</v>
      </c>
      <c r="F44" s="135" t="s">
        <v>375</v>
      </c>
      <c r="G44" s="135" t="s">
        <v>376</v>
      </c>
      <c r="H44" s="135" t="s">
        <v>233</v>
      </c>
      <c r="I44" s="135" t="s">
        <v>377</v>
      </c>
      <c r="J44" s="135" t="s">
        <v>378</v>
      </c>
      <c r="K44" s="135" t="s">
        <v>236</v>
      </c>
      <c r="L44" s="135" t="s">
        <v>166</v>
      </c>
      <c r="M44" s="135" t="s">
        <v>379</v>
      </c>
      <c r="N44" s="135" t="s">
        <v>380</v>
      </c>
      <c r="O44" s="135" t="s">
        <v>125</v>
      </c>
      <c r="P44" s="135" t="s">
        <v>381</v>
      </c>
      <c r="Q44" s="135" t="s">
        <v>295</v>
      </c>
      <c r="R44" s="146" t="str">
        <f>IF(OR(ISNUMBER(SEARCH("FAIL",K44&amp;" "&amp;O44)),ISNUMBER(SEARCH("CLEAN RETEST REQUIRED",K44&amp;" "&amp;O44))),"Failed",IF(OR(ISNUMBER(SEARCH("NOT RUN",K44&amp;" "&amp;O44)),ISNUMBER(SEARCH("NOT IMPLEMENTED",K44&amp;" "&amp;O44))),"Not started",IF(OR(ISNUMBER(SEARCH("PARTIAL",K44&amp;" "&amp;O44)),ISNUMBER(SEARCH("PENDING",K44&amp;" "&amp;O44)),ISNUMBER(SEARCH("IN PROGRESS",K44&amp;" "&amp;O44)),ISNUMBER(SEARCH("OPEN",K44&amp;" "&amp;O44)),ISNUMBER(SEARCH("RETEST REQUIRED",K44&amp;" "&amp;O44)),ISNUMBER(SEARCH("IMPLEMENTATION UPDATED",K44&amp;" "&amp;O44)),ISNUMBER(SEARCH("REQUIRED EVERY SESSION",K44&amp;" "&amp;O44))),"Pending",IF(OR(O44="PASS",ISNUMBER(SEARCH("PASS",K44&amp;" "&amp;O44))),"Done","Pending"))))</f>
        <v>Done</v>
      </c>
      <c r="S44" s="146" t="str">
        <f>IF(OR(LEFT(A44,9)="OPERATOR-",LEFT(A44,8)="PAYMENT-",LEFT(A44,7)="DEPLOY-"),"External","Core")</f>
        <v>Core</v>
      </c>
    </row>
    <row r="45" customFormat="false" ht="105" hidden="false" customHeight="true" outlineLevel="0" collapsed="false">
      <c r="A45" s="135" t="s">
        <v>382</v>
      </c>
      <c r="B45" s="135" t="s">
        <v>228</v>
      </c>
      <c r="C45" s="256" t="s">
        <v>49</v>
      </c>
      <c r="D45" s="135" t="s">
        <v>383</v>
      </c>
      <c r="E45" s="135" t="s">
        <v>384</v>
      </c>
      <c r="F45" s="135" t="s">
        <v>385</v>
      </c>
      <c r="G45" s="135" t="s">
        <v>386</v>
      </c>
      <c r="H45" s="135" t="s">
        <v>387</v>
      </c>
      <c r="I45" s="135" t="s">
        <v>388</v>
      </c>
      <c r="J45" s="135" t="s">
        <v>389</v>
      </c>
      <c r="K45" s="135" t="s">
        <v>236</v>
      </c>
      <c r="L45" s="135" t="s">
        <v>166</v>
      </c>
      <c r="M45" s="135" t="s">
        <v>390</v>
      </c>
      <c r="N45" s="135" t="s">
        <v>391</v>
      </c>
      <c r="O45" s="135" t="s">
        <v>125</v>
      </c>
      <c r="P45" s="135" t="s">
        <v>392</v>
      </c>
      <c r="Q45" s="135" t="s">
        <v>372</v>
      </c>
      <c r="R45" s="146" t="str">
        <f>IF(OR(ISNUMBER(SEARCH("FAIL",K45&amp;" "&amp;O45)),ISNUMBER(SEARCH("CLEAN RETEST REQUIRED",K45&amp;" "&amp;O45))),"Failed",IF(OR(ISNUMBER(SEARCH("NOT RUN",K45&amp;" "&amp;O45)),ISNUMBER(SEARCH("NOT IMPLEMENTED",K45&amp;" "&amp;O45))),"Not started",IF(OR(ISNUMBER(SEARCH("PARTIAL",K45&amp;" "&amp;O45)),ISNUMBER(SEARCH("PENDING",K45&amp;" "&amp;O45)),ISNUMBER(SEARCH("IN PROGRESS",K45&amp;" "&amp;O45)),ISNUMBER(SEARCH("OPEN",K45&amp;" "&amp;O45)),ISNUMBER(SEARCH("RETEST REQUIRED",K45&amp;" "&amp;O45)),ISNUMBER(SEARCH("IMPLEMENTATION UPDATED",K45&amp;" "&amp;O45)),ISNUMBER(SEARCH("REQUIRED EVERY SESSION",K45&amp;" "&amp;O45))),"Pending",IF(OR(O45="PASS",ISNUMBER(SEARCH("PASS",K45&amp;" "&amp;O45))),"Done","Pending"))))</f>
        <v>Done</v>
      </c>
      <c r="S45" s="146" t="str">
        <f>IF(OR(LEFT(A45,9)="OPERATOR-",LEFT(A45,8)="PAYMENT-",LEFT(A45,7)="DEPLOY-"),"External","Core")</f>
        <v>Core</v>
      </c>
    </row>
    <row r="46" customFormat="false" ht="60" hidden="false" customHeight="true" outlineLevel="0" collapsed="false">
      <c r="A46" s="135" t="s">
        <v>393</v>
      </c>
      <c r="B46" s="135" t="s">
        <v>228</v>
      </c>
      <c r="C46" s="256" t="s">
        <v>49</v>
      </c>
      <c r="D46" s="135" t="s">
        <v>394</v>
      </c>
      <c r="E46" s="135" t="s">
        <v>395</v>
      </c>
      <c r="F46" s="135" t="s">
        <v>4</v>
      </c>
      <c r="G46" s="135" t="s">
        <v>4</v>
      </c>
      <c r="H46" s="135" t="s">
        <v>4</v>
      </c>
      <c r="I46" s="135" t="s">
        <v>4</v>
      </c>
      <c r="J46" s="135" t="s">
        <v>396</v>
      </c>
      <c r="K46" s="135" t="s">
        <v>236</v>
      </c>
      <c r="L46" s="135" t="s">
        <v>166</v>
      </c>
      <c r="M46" s="135" t="s">
        <v>397</v>
      </c>
      <c r="N46" s="135" t="s">
        <v>398</v>
      </c>
      <c r="O46" s="135" t="s">
        <v>125</v>
      </c>
      <c r="P46" s="135" t="s">
        <v>399</v>
      </c>
      <c r="Q46" s="135" t="s">
        <v>400</v>
      </c>
      <c r="R46" s="146" t="str">
        <f>IF(OR(ISNUMBER(SEARCH("FAIL",K46&amp;" "&amp;O46)),ISNUMBER(SEARCH("CLEAN RETEST REQUIRED",K46&amp;" "&amp;O46))),"Failed",IF(OR(ISNUMBER(SEARCH("NOT RUN",K46&amp;" "&amp;O46)),ISNUMBER(SEARCH("NOT IMPLEMENTED",K46&amp;" "&amp;O46))),"Not started",IF(OR(ISNUMBER(SEARCH("PARTIAL",K46&amp;" "&amp;O46)),ISNUMBER(SEARCH("PENDING",K46&amp;" "&amp;O46)),ISNUMBER(SEARCH("IN PROGRESS",K46&amp;" "&amp;O46)),ISNUMBER(SEARCH("OPEN",K46&amp;" "&amp;O46)),ISNUMBER(SEARCH("RETEST REQUIRED",K46&amp;" "&amp;O46)),ISNUMBER(SEARCH("IMPLEMENTATION UPDATED",K46&amp;" "&amp;O46)),ISNUMBER(SEARCH("REQUIRED EVERY SESSION",K46&amp;" "&amp;O46))),"Pending",IF(OR(O46="PASS",ISNUMBER(SEARCH("PASS",K46&amp;" "&amp;O46))),"Done","Pending"))))</f>
        <v>Done</v>
      </c>
      <c r="S46" s="146" t="str">
        <f>IF(OR(LEFT(A46,9)="OPERATOR-",LEFT(A46,8)="PAYMENT-",LEFT(A46,7)="DEPLOY-"),"External","Core")</f>
        <v>Core</v>
      </c>
    </row>
    <row r="47" customFormat="false" ht="60" hidden="false" customHeight="true" outlineLevel="0" collapsed="false">
      <c r="A47" s="135" t="s">
        <v>401</v>
      </c>
      <c r="B47" s="135" t="s">
        <v>228</v>
      </c>
      <c r="C47" s="256" t="s">
        <v>49</v>
      </c>
      <c r="D47" s="135" t="s">
        <v>402</v>
      </c>
      <c r="E47" s="135" t="s">
        <v>403</v>
      </c>
      <c r="F47" s="135" t="s">
        <v>404</v>
      </c>
      <c r="G47" s="135" t="s">
        <v>405</v>
      </c>
      <c r="H47" s="135" t="s">
        <v>406</v>
      </c>
      <c r="I47" s="135" t="s">
        <v>407</v>
      </c>
      <c r="J47" s="135" t="s">
        <v>408</v>
      </c>
      <c r="K47" s="135" t="s">
        <v>236</v>
      </c>
      <c r="L47" s="135" t="s">
        <v>166</v>
      </c>
      <c r="M47" s="135" t="s">
        <v>409</v>
      </c>
      <c r="N47" s="135" t="s">
        <v>410</v>
      </c>
      <c r="O47" s="135" t="s">
        <v>125</v>
      </c>
      <c r="P47" s="135" t="s">
        <v>411</v>
      </c>
      <c r="Q47" s="135" t="s">
        <v>295</v>
      </c>
      <c r="R47" s="146" t="str">
        <f>IF(OR(ISNUMBER(SEARCH("FAIL",K47&amp;" "&amp;O47)),ISNUMBER(SEARCH("CLEAN RETEST REQUIRED",K47&amp;" "&amp;O47))),"Failed",IF(OR(ISNUMBER(SEARCH("NOT RUN",K47&amp;" "&amp;O47)),ISNUMBER(SEARCH("NOT IMPLEMENTED",K47&amp;" "&amp;O47))),"Not started",IF(OR(ISNUMBER(SEARCH("PARTIAL",K47&amp;" "&amp;O47)),ISNUMBER(SEARCH("PENDING",K47&amp;" "&amp;O47)),ISNUMBER(SEARCH("IN PROGRESS",K47&amp;" "&amp;O47)),ISNUMBER(SEARCH("OPEN",K47&amp;" "&amp;O47)),ISNUMBER(SEARCH("RETEST REQUIRED",K47&amp;" "&amp;O47)),ISNUMBER(SEARCH("IMPLEMENTATION UPDATED",K47&amp;" "&amp;O47)),ISNUMBER(SEARCH("REQUIRED EVERY SESSION",K47&amp;" "&amp;O47))),"Pending",IF(OR(O47="PASS",ISNUMBER(SEARCH("PASS",K47&amp;" "&amp;O47))),"Done","Pending"))))</f>
        <v>Done</v>
      </c>
      <c r="S47" s="146" t="str">
        <f>IF(OR(LEFT(A47,9)="OPERATOR-",LEFT(A47,8)="PAYMENT-",LEFT(A47,7)="DEPLOY-"),"External","Core")</f>
        <v>Core</v>
      </c>
    </row>
    <row r="48" customFormat="false" ht="15" hidden="false" customHeight="false" outlineLevel="0" collapsed="false">
      <c r="A48" s="136" t="s">
        <v>412</v>
      </c>
      <c r="B48" s="136" t="s">
        <v>228</v>
      </c>
      <c r="C48" s="256" t="s">
        <v>49</v>
      </c>
      <c r="D48" s="136" t="s">
        <v>413</v>
      </c>
      <c r="E48" s="136" t="s">
        <v>414</v>
      </c>
      <c r="F48" s="136" t="s">
        <v>4</v>
      </c>
      <c r="G48" s="136" t="s">
        <v>4</v>
      </c>
      <c r="H48" s="136" t="s">
        <v>4</v>
      </c>
      <c r="I48" s="136" t="s">
        <v>4</v>
      </c>
      <c r="J48" s="136" t="s">
        <v>415</v>
      </c>
      <c r="K48" s="136" t="s">
        <v>416</v>
      </c>
      <c r="L48" s="136" t="s">
        <v>96</v>
      </c>
      <c r="M48" s="136" t="s">
        <v>417</v>
      </c>
      <c r="N48" s="136" t="s">
        <v>418</v>
      </c>
      <c r="O48" s="136" t="s">
        <v>419</v>
      </c>
      <c r="P48" s="136" t="s">
        <v>420</v>
      </c>
      <c r="Q48" s="136" t="s">
        <v>101</v>
      </c>
      <c r="R48" s="146" t="str">
        <f>IF(OR(ISNUMBER(SEARCH("FAIL",K48&amp;" "&amp;O48)),ISNUMBER(SEARCH("CLEAN RETEST REQUIRED",K48&amp;" "&amp;O48))),"Failed",IF(OR(ISNUMBER(SEARCH("NOT RUN",K48&amp;" "&amp;O48)),ISNUMBER(SEARCH("NOT IMPLEMENTED",K48&amp;" "&amp;O48))),"Not started",IF(OR(ISNUMBER(SEARCH("PARTIAL",K48&amp;" "&amp;O48)),ISNUMBER(SEARCH("PENDING",K48&amp;" "&amp;O48)),ISNUMBER(SEARCH("IN PROGRESS",K48&amp;" "&amp;O48)),ISNUMBER(SEARCH("OPEN",K48&amp;" "&amp;O48)),ISNUMBER(SEARCH("RETEST REQUIRED",K48&amp;" "&amp;O48)),ISNUMBER(SEARCH("IMPLEMENTATION UPDATED",K48&amp;" "&amp;O48)),ISNUMBER(SEARCH("REQUIRED EVERY SESSION",K48&amp;" "&amp;O48))),"Pending",IF(OR(O48="PASS",ISNUMBER(SEARCH("PASS",K48&amp;" "&amp;O48))),"Done","Pending"))))</f>
        <v>Pending</v>
      </c>
      <c r="S48" s="146" t="str">
        <f>IF(OR(LEFT(A48,9)="OPERATOR-",LEFT(A48,8)="PAYMENT-",LEFT(A48,7)="DEPLOY-"),"External","Core")</f>
        <v>Core</v>
      </c>
    </row>
    <row r="49" customFormat="false" ht="15" hidden="false" customHeight="false" outlineLevel="0" collapsed="false">
      <c r="A49" s="135" t="s">
        <v>421</v>
      </c>
      <c r="B49" s="135" t="s">
        <v>228</v>
      </c>
      <c r="C49" s="256" t="s">
        <v>49</v>
      </c>
      <c r="D49" s="135" t="s">
        <v>402</v>
      </c>
      <c r="E49" s="135" t="s">
        <v>422</v>
      </c>
      <c r="F49" s="135" t="s">
        <v>423</v>
      </c>
      <c r="G49" s="135" t="s">
        <v>424</v>
      </c>
      <c r="H49" s="135" t="s">
        <v>425</v>
      </c>
      <c r="I49" s="135" t="s">
        <v>426</v>
      </c>
      <c r="J49" s="135" t="s">
        <v>427</v>
      </c>
      <c r="K49" s="135" t="s">
        <v>155</v>
      </c>
      <c r="L49" s="135" t="s">
        <v>96</v>
      </c>
      <c r="M49" s="135" t="s">
        <v>428</v>
      </c>
      <c r="N49" s="135" t="s">
        <v>429</v>
      </c>
      <c r="O49" s="135" t="s">
        <v>125</v>
      </c>
      <c r="P49" s="135" t="s">
        <v>430</v>
      </c>
      <c r="Q49" s="135" t="s">
        <v>101</v>
      </c>
      <c r="R49" s="146" t="str">
        <f>IF(OR(ISNUMBER(SEARCH("FAIL",K49&amp;" "&amp;O49)),ISNUMBER(SEARCH("CLEAN RETEST REQUIRED",K49&amp;" "&amp;O49))),"Failed",IF(OR(ISNUMBER(SEARCH("NOT RUN",K49&amp;" "&amp;O49)),ISNUMBER(SEARCH("NOT IMPLEMENTED",K49&amp;" "&amp;O49))),"Not started",IF(OR(ISNUMBER(SEARCH("PARTIAL",K49&amp;" "&amp;O49)),ISNUMBER(SEARCH("PENDING",K49&amp;" "&amp;O49)),ISNUMBER(SEARCH("IN PROGRESS",K49&amp;" "&amp;O49)),ISNUMBER(SEARCH("OPEN",K49&amp;" "&amp;O49)),ISNUMBER(SEARCH("RETEST REQUIRED",K49&amp;" "&amp;O49)),ISNUMBER(SEARCH("IMPLEMENTATION UPDATED",K49&amp;" "&amp;O49)),ISNUMBER(SEARCH("REQUIRED EVERY SESSION",K49&amp;" "&amp;O49))),"Pending",IF(OR(O49="PASS",ISNUMBER(SEARCH("PASS",K49&amp;" "&amp;O49))),"Done","Pending"))))</f>
        <v>Done</v>
      </c>
      <c r="S49" s="146" t="str">
        <f>IF(OR(LEFT(A49,9)="OPERATOR-",LEFT(A49,8)="PAYMENT-",LEFT(A49,7)="DEPLOY-"),"External","Core")</f>
        <v>Core</v>
      </c>
    </row>
    <row r="50" customFormat="false" ht="180" hidden="false" customHeight="true" outlineLevel="0" collapsed="false">
      <c r="A50" s="135" t="s">
        <v>431</v>
      </c>
      <c r="B50" s="135" t="s">
        <v>228</v>
      </c>
      <c r="C50" s="256" t="s">
        <v>49</v>
      </c>
      <c r="D50" s="135" t="s">
        <v>432</v>
      </c>
      <c r="E50" s="135" t="s">
        <v>433</v>
      </c>
      <c r="F50" s="135" t="s">
        <v>434</v>
      </c>
      <c r="G50" s="135" t="s">
        <v>435</v>
      </c>
      <c r="H50" s="135" t="s">
        <v>436</v>
      </c>
      <c r="I50" s="135" t="s">
        <v>437</v>
      </c>
      <c r="J50" s="135" t="s">
        <v>438</v>
      </c>
      <c r="K50" s="135" t="s">
        <v>280</v>
      </c>
      <c r="L50" s="135" t="s">
        <v>166</v>
      </c>
      <c r="M50" s="135" t="s">
        <v>439</v>
      </c>
      <c r="N50" s="135" t="s">
        <v>440</v>
      </c>
      <c r="O50" s="135" t="s">
        <v>125</v>
      </c>
      <c r="P50" s="135" t="s">
        <v>441</v>
      </c>
      <c r="Q50" s="135" t="s">
        <v>101</v>
      </c>
      <c r="R50" s="146" t="str">
        <f>IF(OR(ISNUMBER(SEARCH("FAIL",K50&amp;" "&amp;O50)),ISNUMBER(SEARCH("CLEAN RETEST REQUIRED",K50&amp;" "&amp;O50))),"Failed",IF(OR(ISNUMBER(SEARCH("NOT RUN",K50&amp;" "&amp;O50)),ISNUMBER(SEARCH("NOT IMPLEMENTED",K50&amp;" "&amp;O50))),"Not started",IF(OR(ISNUMBER(SEARCH("PARTIAL",K50&amp;" "&amp;O50)),ISNUMBER(SEARCH("PENDING",K50&amp;" "&amp;O50)),ISNUMBER(SEARCH("IN PROGRESS",K50&amp;" "&amp;O50)),ISNUMBER(SEARCH("OPEN",K50&amp;" "&amp;O50)),ISNUMBER(SEARCH("RETEST REQUIRED",K50&amp;" "&amp;O50)),ISNUMBER(SEARCH("IMPLEMENTATION UPDATED",K50&amp;" "&amp;O50)),ISNUMBER(SEARCH("REQUIRED EVERY SESSION",K50&amp;" "&amp;O50))),"Pending",IF(OR(O50="PASS",ISNUMBER(SEARCH("PASS",K50&amp;" "&amp;O50))),"Done","Pending"))))</f>
        <v>Done</v>
      </c>
      <c r="S50" s="146" t="str">
        <f>IF(OR(LEFT(A50,9)="OPERATOR-",LEFT(A50,8)="PAYMENT-",LEFT(A50,7)="DEPLOY-"),"External","Core")</f>
        <v>Core</v>
      </c>
    </row>
    <row r="51" customFormat="false" ht="180" hidden="false" customHeight="true" outlineLevel="0" collapsed="false">
      <c r="A51" s="135" t="s">
        <v>442</v>
      </c>
      <c r="B51" s="135" t="s">
        <v>228</v>
      </c>
      <c r="C51" s="256" t="s">
        <v>49</v>
      </c>
      <c r="D51" s="135" t="s">
        <v>443</v>
      </c>
      <c r="E51" s="135" t="s">
        <v>444</v>
      </c>
      <c r="F51" s="135" t="s">
        <v>445</v>
      </c>
      <c r="G51" s="135" t="s">
        <v>446</v>
      </c>
      <c r="H51" s="135" t="s">
        <v>445</v>
      </c>
      <c r="I51" s="135" t="s">
        <v>447</v>
      </c>
      <c r="J51" s="135" t="s">
        <v>448</v>
      </c>
      <c r="K51" s="135" t="s">
        <v>449</v>
      </c>
      <c r="L51" s="135" t="s">
        <v>166</v>
      </c>
      <c r="M51" s="135" t="s">
        <v>450</v>
      </c>
      <c r="N51" s="135" t="s">
        <v>451</v>
      </c>
      <c r="O51" s="135" t="s">
        <v>125</v>
      </c>
      <c r="P51" s="135" t="s">
        <v>452</v>
      </c>
      <c r="Q51" s="135" t="s">
        <v>127</v>
      </c>
      <c r="R51" s="146" t="str">
        <f>IF(OR(ISNUMBER(SEARCH("FAIL",K51&amp;" "&amp;O51)),ISNUMBER(SEARCH("CLEAN RETEST REQUIRED",K51&amp;" "&amp;O51))),"Failed",IF(OR(ISNUMBER(SEARCH("NOT RUN",K51&amp;" "&amp;O51)),ISNUMBER(SEARCH("NOT IMPLEMENTED",K51&amp;" "&amp;O51))),"Not started",IF(OR(ISNUMBER(SEARCH("PARTIAL",K51&amp;" "&amp;O51)),ISNUMBER(SEARCH("PENDING",K51&amp;" "&amp;O51)),ISNUMBER(SEARCH("IN PROGRESS",K51&amp;" "&amp;O51)),ISNUMBER(SEARCH("OPEN",K51&amp;" "&amp;O51)),ISNUMBER(SEARCH("RETEST REQUIRED",K51&amp;" "&amp;O51)),ISNUMBER(SEARCH("IMPLEMENTATION UPDATED",K51&amp;" "&amp;O51)),ISNUMBER(SEARCH("REQUIRED EVERY SESSION",K51&amp;" "&amp;O51))),"Pending",IF(OR(O51="PASS",ISNUMBER(SEARCH("PASS",K51&amp;" "&amp;O51))),"Done","Pending"))))</f>
        <v>Done</v>
      </c>
      <c r="S51" s="146" t="str">
        <f>IF(OR(LEFT(A51,9)="OPERATOR-",LEFT(A51,8)="PAYMENT-",LEFT(A51,7)="DEPLOY-"),"External","Core")</f>
        <v>Core</v>
      </c>
    </row>
    <row r="52" customFormat="false" ht="15" hidden="false" customHeight="false" outlineLevel="0" collapsed="false">
      <c r="A52" s="135" t="s">
        <v>453</v>
      </c>
      <c r="B52" s="135" t="s">
        <v>228</v>
      </c>
      <c r="C52" s="256" t="s">
        <v>49</v>
      </c>
      <c r="D52" s="135" t="s">
        <v>454</v>
      </c>
      <c r="E52" s="135" t="s">
        <v>455</v>
      </c>
      <c r="F52" s="135" t="s">
        <v>456</v>
      </c>
      <c r="G52" s="135" t="s">
        <v>457</v>
      </c>
      <c r="H52" s="135" t="s">
        <v>406</v>
      </c>
      <c r="I52" s="135" t="s">
        <v>426</v>
      </c>
      <c r="J52" s="135" t="s">
        <v>458</v>
      </c>
      <c r="K52" s="135" t="s">
        <v>155</v>
      </c>
      <c r="L52" s="135" t="s">
        <v>166</v>
      </c>
      <c r="M52" s="135" t="s">
        <v>459</v>
      </c>
      <c r="N52" s="135" t="s">
        <v>460</v>
      </c>
      <c r="O52" s="135" t="s">
        <v>125</v>
      </c>
      <c r="P52" s="135" t="s">
        <v>461</v>
      </c>
      <c r="Q52" s="135" t="s">
        <v>101</v>
      </c>
      <c r="R52" s="146" t="str">
        <f>IF(OR(ISNUMBER(SEARCH("FAIL",K52&amp;" "&amp;O52)),ISNUMBER(SEARCH("CLEAN RETEST REQUIRED",K52&amp;" "&amp;O52))),"Failed",IF(OR(ISNUMBER(SEARCH("NOT RUN",K52&amp;" "&amp;O52)),ISNUMBER(SEARCH("NOT IMPLEMENTED",K52&amp;" "&amp;O52))),"Not started",IF(OR(ISNUMBER(SEARCH("PARTIAL",K52&amp;" "&amp;O52)),ISNUMBER(SEARCH("PENDING",K52&amp;" "&amp;O52)),ISNUMBER(SEARCH("IN PROGRESS",K52&amp;" "&amp;O52)),ISNUMBER(SEARCH("OPEN",K52&amp;" "&amp;O52)),ISNUMBER(SEARCH("RETEST REQUIRED",K52&amp;" "&amp;O52)),ISNUMBER(SEARCH("IMPLEMENTATION UPDATED",K52&amp;" "&amp;O52)),ISNUMBER(SEARCH("REQUIRED EVERY SESSION",K52&amp;" "&amp;O52))),"Pending",IF(OR(O52="PASS",ISNUMBER(SEARCH("PASS",K52&amp;" "&amp;O52))),"Done","Pending"))))</f>
        <v>Done</v>
      </c>
      <c r="S52" s="146" t="str">
        <f>IF(OR(LEFT(A52,9)="OPERATOR-",LEFT(A52,8)="PAYMENT-",LEFT(A52,7)="DEPLOY-"),"External","Core")</f>
        <v>Core</v>
      </c>
    </row>
    <row r="53" customFormat="false" ht="15" hidden="false" customHeight="false" outlineLevel="0" collapsed="false">
      <c r="A53" s="135" t="s">
        <v>462</v>
      </c>
      <c r="B53" s="135" t="s">
        <v>228</v>
      </c>
      <c r="C53" s="256" t="s">
        <v>49</v>
      </c>
      <c r="D53" s="135" t="s">
        <v>463</v>
      </c>
      <c r="E53" s="135" t="s">
        <v>464</v>
      </c>
      <c r="F53" s="135" t="s">
        <v>4</v>
      </c>
      <c r="G53" s="135" t="s">
        <v>465</v>
      </c>
      <c r="H53" s="135" t="s">
        <v>4</v>
      </c>
      <c r="I53" s="135" t="s">
        <v>466</v>
      </c>
      <c r="J53" s="135" t="s">
        <v>467</v>
      </c>
      <c r="K53" s="135" t="s">
        <v>468</v>
      </c>
      <c r="L53" s="135" t="s">
        <v>469</v>
      </c>
      <c r="M53" s="135" t="s">
        <v>470</v>
      </c>
      <c r="N53" s="135" t="s">
        <v>471</v>
      </c>
      <c r="O53" s="135" t="s">
        <v>125</v>
      </c>
      <c r="P53" s="135" t="s">
        <v>472</v>
      </c>
      <c r="Q53" s="135" t="s">
        <v>261</v>
      </c>
      <c r="R53" s="146" t="str">
        <f>IF(OR(ISNUMBER(SEARCH("FAIL",K53&amp;" "&amp;O53)),ISNUMBER(SEARCH("CLEAN RETEST REQUIRED",K53&amp;" "&amp;O53))),"Failed",IF(OR(ISNUMBER(SEARCH("NOT RUN",K53&amp;" "&amp;O53)),ISNUMBER(SEARCH("NOT IMPLEMENTED",K53&amp;" "&amp;O53))),"Not started",IF(OR(ISNUMBER(SEARCH("PARTIAL",K53&amp;" "&amp;O53)),ISNUMBER(SEARCH("PENDING",K53&amp;" "&amp;O53)),ISNUMBER(SEARCH("IN PROGRESS",K53&amp;" "&amp;O53)),ISNUMBER(SEARCH("OPEN",K53&amp;" "&amp;O53)),ISNUMBER(SEARCH("RETEST REQUIRED",K53&amp;" "&amp;O53)),ISNUMBER(SEARCH("IMPLEMENTATION UPDATED",K53&amp;" "&amp;O53)),ISNUMBER(SEARCH("REQUIRED EVERY SESSION",K53&amp;" "&amp;O53))),"Pending",IF(OR(O53="PASS",ISNUMBER(SEARCH("PASS",K53&amp;" "&amp;O53))),"Done","Pending"))))</f>
        <v>Done</v>
      </c>
      <c r="S53" s="146" t="str">
        <f>IF(OR(LEFT(A53,9)="OPERATOR-",LEFT(A53,8)="PAYMENT-",LEFT(A53,7)="DEPLOY-"),"External","Core")</f>
        <v>Core</v>
      </c>
    </row>
    <row r="54" customFormat="false" ht="15" hidden="false" customHeight="false" outlineLevel="0" collapsed="false">
      <c r="A54" s="135" t="s">
        <v>473</v>
      </c>
      <c r="B54" s="135" t="s">
        <v>228</v>
      </c>
      <c r="C54" s="256" t="s">
        <v>49</v>
      </c>
      <c r="D54" s="135" t="s">
        <v>463</v>
      </c>
      <c r="E54" s="135" t="s">
        <v>474</v>
      </c>
      <c r="F54" s="135" t="s">
        <v>475</v>
      </c>
      <c r="G54" s="135" t="s">
        <v>476</v>
      </c>
      <c r="H54" s="135" t="s">
        <v>477</v>
      </c>
      <c r="I54" s="135" t="s">
        <v>478</v>
      </c>
      <c r="J54" s="135" t="s">
        <v>479</v>
      </c>
      <c r="K54" s="135" t="s">
        <v>155</v>
      </c>
      <c r="L54" s="135" t="s">
        <v>469</v>
      </c>
      <c r="M54" s="135" t="s">
        <v>480</v>
      </c>
      <c r="N54" s="135" t="s">
        <v>481</v>
      </c>
      <c r="O54" s="135" t="s">
        <v>125</v>
      </c>
      <c r="P54" s="135" t="s">
        <v>482</v>
      </c>
      <c r="Q54" s="135" t="s">
        <v>372</v>
      </c>
      <c r="R54" s="146" t="str">
        <f>IF(OR(ISNUMBER(SEARCH("FAIL",K54&amp;" "&amp;O54)),ISNUMBER(SEARCH("CLEAN RETEST REQUIRED",K54&amp;" "&amp;O54))),"Failed",IF(OR(ISNUMBER(SEARCH("NOT RUN",K54&amp;" "&amp;O54)),ISNUMBER(SEARCH("NOT IMPLEMENTED",K54&amp;" "&amp;O54))),"Not started",IF(OR(ISNUMBER(SEARCH("PARTIAL",K54&amp;" "&amp;O54)),ISNUMBER(SEARCH("PENDING",K54&amp;" "&amp;O54)),ISNUMBER(SEARCH("IN PROGRESS",K54&amp;" "&amp;O54)),ISNUMBER(SEARCH("OPEN",K54&amp;" "&amp;O54)),ISNUMBER(SEARCH("RETEST REQUIRED",K54&amp;" "&amp;O54)),ISNUMBER(SEARCH("IMPLEMENTATION UPDATED",K54&amp;" "&amp;O54)),ISNUMBER(SEARCH("REQUIRED EVERY SESSION",K54&amp;" "&amp;O54))),"Pending",IF(OR(O54="PASS",ISNUMBER(SEARCH("PASS",K54&amp;" "&amp;O54))),"Done","Pending"))))</f>
        <v>Done</v>
      </c>
      <c r="S54" s="146" t="str">
        <f>IF(OR(LEFT(A54,9)="OPERATOR-",LEFT(A54,8)="PAYMENT-",LEFT(A54,7)="DEPLOY-"),"External","Core")</f>
        <v>Core</v>
      </c>
    </row>
    <row r="55" customFormat="false" ht="15" hidden="false" customHeight="false" outlineLevel="0" collapsed="false">
      <c r="A55" s="135" t="s">
        <v>483</v>
      </c>
      <c r="B55" s="135" t="s">
        <v>228</v>
      </c>
      <c r="C55" s="256" t="s">
        <v>49</v>
      </c>
      <c r="D55" s="135" t="s">
        <v>484</v>
      </c>
      <c r="E55" s="135" t="s">
        <v>485</v>
      </c>
      <c r="F55" s="135" t="s">
        <v>4</v>
      </c>
      <c r="G55" s="135" t="s">
        <v>486</v>
      </c>
      <c r="H55" s="135" t="s">
        <v>4</v>
      </c>
      <c r="I55" s="135" t="s">
        <v>4</v>
      </c>
      <c r="J55" s="135" t="s">
        <v>487</v>
      </c>
      <c r="K55" s="135" t="s">
        <v>155</v>
      </c>
      <c r="L55" s="135" t="s">
        <v>469</v>
      </c>
      <c r="M55" s="135" t="s">
        <v>488</v>
      </c>
      <c r="N55" s="135" t="s">
        <v>489</v>
      </c>
      <c r="O55" s="135" t="s">
        <v>125</v>
      </c>
      <c r="P55" s="135" t="s">
        <v>490</v>
      </c>
      <c r="Q55" s="135" t="s">
        <v>329</v>
      </c>
      <c r="R55" s="146" t="str">
        <f>IF(OR(ISNUMBER(SEARCH("FAIL",K55&amp;" "&amp;O55)),ISNUMBER(SEARCH("CLEAN RETEST REQUIRED",K55&amp;" "&amp;O55))),"Failed",IF(OR(ISNUMBER(SEARCH("NOT RUN",K55&amp;" "&amp;O55)),ISNUMBER(SEARCH("NOT IMPLEMENTED",K55&amp;" "&amp;O55))),"Not started",IF(OR(ISNUMBER(SEARCH("PARTIAL",K55&amp;" "&amp;O55)),ISNUMBER(SEARCH("PENDING",K55&amp;" "&amp;O55)),ISNUMBER(SEARCH("IN PROGRESS",K55&amp;" "&amp;O55)),ISNUMBER(SEARCH("OPEN",K55&amp;" "&amp;O55)),ISNUMBER(SEARCH("RETEST REQUIRED",K55&amp;" "&amp;O55)),ISNUMBER(SEARCH("IMPLEMENTATION UPDATED",K55&amp;" "&amp;O55)),ISNUMBER(SEARCH("REQUIRED EVERY SESSION",K55&amp;" "&amp;O55))),"Pending",IF(OR(O55="PASS",ISNUMBER(SEARCH("PASS",K55&amp;" "&amp;O55))),"Done","Pending"))))</f>
        <v>Done</v>
      </c>
      <c r="S55" s="146" t="str">
        <f>IF(OR(LEFT(A55,9)="OPERATOR-",LEFT(A55,8)="PAYMENT-",LEFT(A55,7)="DEPLOY-"),"External","Core")</f>
        <v>Core</v>
      </c>
    </row>
    <row r="56" customFormat="false" ht="15" hidden="false" customHeight="false" outlineLevel="0" collapsed="false">
      <c r="A56" s="135" t="s">
        <v>491</v>
      </c>
      <c r="B56" s="135" t="s">
        <v>228</v>
      </c>
      <c r="C56" s="256" t="s">
        <v>49</v>
      </c>
      <c r="D56" s="135" t="s">
        <v>492</v>
      </c>
      <c r="E56" s="135" t="s">
        <v>493</v>
      </c>
      <c r="F56" s="135" t="s">
        <v>4</v>
      </c>
      <c r="G56" s="135" t="s">
        <v>494</v>
      </c>
      <c r="H56" s="135" t="s">
        <v>4</v>
      </c>
      <c r="I56" s="135" t="s">
        <v>4</v>
      </c>
      <c r="J56" s="135" t="s">
        <v>495</v>
      </c>
      <c r="K56" s="135" t="s">
        <v>236</v>
      </c>
      <c r="L56" s="135" t="s">
        <v>469</v>
      </c>
      <c r="M56" s="135" t="s">
        <v>496</v>
      </c>
      <c r="N56" s="135" t="s">
        <v>497</v>
      </c>
      <c r="O56" s="135" t="s">
        <v>125</v>
      </c>
      <c r="P56" s="135" t="s">
        <v>498</v>
      </c>
      <c r="Q56" s="135" t="s">
        <v>295</v>
      </c>
      <c r="R56" s="146" t="str">
        <f>IF(OR(ISNUMBER(SEARCH("FAIL",K56&amp;" "&amp;O56)),ISNUMBER(SEARCH("CLEAN RETEST REQUIRED",K56&amp;" "&amp;O56))),"Failed",IF(OR(ISNUMBER(SEARCH("NOT RUN",K56&amp;" "&amp;O56)),ISNUMBER(SEARCH("NOT IMPLEMENTED",K56&amp;" "&amp;O56))),"Not started",IF(OR(ISNUMBER(SEARCH("PARTIAL",K56&amp;" "&amp;O56)),ISNUMBER(SEARCH("PENDING",K56&amp;" "&amp;O56)),ISNUMBER(SEARCH("IN PROGRESS",K56&amp;" "&amp;O56)),ISNUMBER(SEARCH("OPEN",K56&amp;" "&amp;O56)),ISNUMBER(SEARCH("RETEST REQUIRED",K56&amp;" "&amp;O56)),ISNUMBER(SEARCH("IMPLEMENTATION UPDATED",K56&amp;" "&amp;O56)),ISNUMBER(SEARCH("REQUIRED EVERY SESSION",K56&amp;" "&amp;O56))),"Pending",IF(OR(O56="PASS",ISNUMBER(SEARCH("PASS",K56&amp;" "&amp;O56))),"Done","Pending"))))</f>
        <v>Done</v>
      </c>
      <c r="S56" s="146" t="str">
        <f>IF(OR(LEFT(A56,9)="OPERATOR-",LEFT(A56,8)="PAYMENT-",LEFT(A56,7)="DEPLOY-"),"External","Core")</f>
        <v>Core</v>
      </c>
    </row>
    <row r="57" customFormat="false" ht="15" hidden="false" customHeight="false" outlineLevel="0" collapsed="false">
      <c r="A57" s="135" t="s">
        <v>499</v>
      </c>
      <c r="B57" s="135" t="s">
        <v>228</v>
      </c>
      <c r="C57" s="256" t="s">
        <v>49</v>
      </c>
      <c r="D57" s="135" t="s">
        <v>500</v>
      </c>
      <c r="E57" s="135" t="s">
        <v>501</v>
      </c>
      <c r="F57" s="135" t="s">
        <v>4</v>
      </c>
      <c r="G57" s="135" t="s">
        <v>502</v>
      </c>
      <c r="H57" s="135" t="s">
        <v>503</v>
      </c>
      <c r="I57" s="135" t="s">
        <v>4</v>
      </c>
      <c r="J57" s="135" t="s">
        <v>504</v>
      </c>
      <c r="K57" s="135" t="s">
        <v>125</v>
      </c>
      <c r="L57" s="135" t="s">
        <v>469</v>
      </c>
      <c r="M57" s="135" t="s">
        <v>505</v>
      </c>
      <c r="N57" s="135" t="s">
        <v>506</v>
      </c>
      <c r="O57" s="135" t="s">
        <v>125</v>
      </c>
      <c r="P57" s="135" t="s">
        <v>507</v>
      </c>
      <c r="Q57" s="135" t="s">
        <v>295</v>
      </c>
      <c r="R57" s="146" t="str">
        <f>IF(OR(ISNUMBER(SEARCH("FAIL",K57&amp;" "&amp;O57)),ISNUMBER(SEARCH("CLEAN RETEST REQUIRED",K57&amp;" "&amp;O57))),"Failed",IF(OR(ISNUMBER(SEARCH("NOT RUN",K57&amp;" "&amp;O57)),ISNUMBER(SEARCH("NOT IMPLEMENTED",K57&amp;" "&amp;O57))),"Not started",IF(OR(ISNUMBER(SEARCH("PARTIAL",K57&amp;" "&amp;O57)),ISNUMBER(SEARCH("PENDING",K57&amp;" "&amp;O57)),ISNUMBER(SEARCH("IN PROGRESS",K57&amp;" "&amp;O57)),ISNUMBER(SEARCH("OPEN",K57&amp;" "&amp;O57)),ISNUMBER(SEARCH("RETEST REQUIRED",K57&amp;" "&amp;O57)),ISNUMBER(SEARCH("IMPLEMENTATION UPDATED",K57&amp;" "&amp;O57)),ISNUMBER(SEARCH("REQUIRED EVERY SESSION",K57&amp;" "&amp;O57))),"Pending",IF(OR(O57="PASS",ISNUMBER(SEARCH("PASS",K57&amp;" "&amp;O57))),"Done","Pending"))))</f>
        <v>Done</v>
      </c>
      <c r="S57" s="146" t="str">
        <f>IF(OR(LEFT(A57,9)="OPERATOR-",LEFT(A57,8)="PAYMENT-",LEFT(A57,7)="DEPLOY-"),"External","Core")</f>
        <v>Core</v>
      </c>
    </row>
    <row r="58" customFormat="false" ht="15" hidden="false" customHeight="false" outlineLevel="0" collapsed="false">
      <c r="A58" s="135" t="s">
        <v>508</v>
      </c>
      <c r="B58" s="135" t="s">
        <v>228</v>
      </c>
      <c r="C58" s="256" t="s">
        <v>49</v>
      </c>
      <c r="D58" s="135" t="s">
        <v>500</v>
      </c>
      <c r="E58" s="135" t="s">
        <v>509</v>
      </c>
      <c r="F58" s="135" t="s">
        <v>4</v>
      </c>
      <c r="G58" s="135" t="s">
        <v>502</v>
      </c>
      <c r="H58" s="135" t="s">
        <v>4</v>
      </c>
      <c r="I58" s="135" t="s">
        <v>4</v>
      </c>
      <c r="J58" s="135" t="s">
        <v>510</v>
      </c>
      <c r="K58" s="135" t="s">
        <v>155</v>
      </c>
      <c r="L58" s="135" t="s">
        <v>469</v>
      </c>
      <c r="M58" s="135" t="s">
        <v>511</v>
      </c>
      <c r="N58" s="135" t="s">
        <v>512</v>
      </c>
      <c r="O58" s="135" t="s">
        <v>125</v>
      </c>
      <c r="P58" s="135" t="s">
        <v>513</v>
      </c>
      <c r="Q58" s="135" t="s">
        <v>514</v>
      </c>
      <c r="R58" s="146" t="str">
        <f>IF(OR(ISNUMBER(SEARCH("FAIL",K58&amp;" "&amp;O58)),ISNUMBER(SEARCH("CLEAN RETEST REQUIRED",K58&amp;" "&amp;O58))),"Failed",IF(OR(ISNUMBER(SEARCH("NOT RUN",K58&amp;" "&amp;O58)),ISNUMBER(SEARCH("NOT IMPLEMENTED",K58&amp;" "&amp;O58))),"Not started",IF(OR(ISNUMBER(SEARCH("PARTIAL",K58&amp;" "&amp;O58)),ISNUMBER(SEARCH("PENDING",K58&amp;" "&amp;O58)),ISNUMBER(SEARCH("IN PROGRESS",K58&amp;" "&amp;O58)),ISNUMBER(SEARCH("OPEN",K58&amp;" "&amp;O58)),ISNUMBER(SEARCH("RETEST REQUIRED",K58&amp;" "&amp;O58)),ISNUMBER(SEARCH("IMPLEMENTATION UPDATED",K58&amp;" "&amp;O58)),ISNUMBER(SEARCH("REQUIRED EVERY SESSION",K58&amp;" "&amp;O58))),"Pending",IF(OR(O58="PASS",ISNUMBER(SEARCH("PASS",K58&amp;" "&amp;O58))),"Done","Pending"))))</f>
        <v>Done</v>
      </c>
      <c r="S58" s="146" t="str">
        <f>IF(OR(LEFT(A58,9)="OPERATOR-",LEFT(A58,8)="PAYMENT-",LEFT(A58,7)="DEPLOY-"),"External","Core")</f>
        <v>Core</v>
      </c>
    </row>
    <row r="59" customFormat="false" ht="15" hidden="false" customHeight="false" outlineLevel="0" collapsed="false">
      <c r="A59" s="135" t="s">
        <v>515</v>
      </c>
      <c r="B59" s="135" t="s">
        <v>228</v>
      </c>
      <c r="C59" s="256" t="s">
        <v>49</v>
      </c>
      <c r="D59" s="135" t="s">
        <v>516</v>
      </c>
      <c r="E59" s="135" t="s">
        <v>517</v>
      </c>
      <c r="F59" s="135" t="s">
        <v>518</v>
      </c>
      <c r="G59" s="135" t="s">
        <v>519</v>
      </c>
      <c r="H59" s="135" t="s">
        <v>233</v>
      </c>
      <c r="I59" s="135" t="s">
        <v>520</v>
      </c>
      <c r="J59" s="135" t="s">
        <v>521</v>
      </c>
      <c r="K59" s="135" t="s">
        <v>155</v>
      </c>
      <c r="L59" s="135" t="s">
        <v>522</v>
      </c>
      <c r="M59" s="135" t="s">
        <v>523</v>
      </c>
      <c r="N59" s="135" t="s">
        <v>524</v>
      </c>
      <c r="O59" s="135" t="s">
        <v>125</v>
      </c>
      <c r="P59" s="135" t="s">
        <v>525</v>
      </c>
      <c r="Q59" s="135" t="s">
        <v>361</v>
      </c>
      <c r="R59" s="146" t="str">
        <f>IF(OR(ISNUMBER(SEARCH("FAIL",K59&amp;" "&amp;O59)),ISNUMBER(SEARCH("CLEAN RETEST REQUIRED",K59&amp;" "&amp;O59))),"Failed",IF(OR(ISNUMBER(SEARCH("NOT RUN",K59&amp;" "&amp;O59)),ISNUMBER(SEARCH("NOT IMPLEMENTED",K59&amp;" "&amp;O59))),"Not started",IF(OR(ISNUMBER(SEARCH("PARTIAL",K59&amp;" "&amp;O59)),ISNUMBER(SEARCH("PENDING",K59&amp;" "&amp;O59)),ISNUMBER(SEARCH("IN PROGRESS",K59&amp;" "&amp;O59)),ISNUMBER(SEARCH("OPEN",K59&amp;" "&amp;O59)),ISNUMBER(SEARCH("RETEST REQUIRED",K59&amp;" "&amp;O59)),ISNUMBER(SEARCH("IMPLEMENTATION UPDATED",K59&amp;" "&amp;O59)),ISNUMBER(SEARCH("REQUIRED EVERY SESSION",K59&amp;" "&amp;O59))),"Pending",IF(OR(O59="PASS",ISNUMBER(SEARCH("PASS",K59&amp;" "&amp;O59))),"Done","Pending"))))</f>
        <v>Done</v>
      </c>
      <c r="S59" s="146" t="str">
        <f>IF(OR(LEFT(A59,9)="OPERATOR-",LEFT(A59,8)="PAYMENT-",LEFT(A59,7)="DEPLOY-"),"External","Core")</f>
        <v>Core</v>
      </c>
    </row>
    <row r="60" customFormat="false" ht="15" hidden="false" customHeight="false" outlineLevel="0" collapsed="false">
      <c r="A60" s="135" t="s">
        <v>526</v>
      </c>
      <c r="B60" s="135" t="s">
        <v>228</v>
      </c>
      <c r="C60" s="256" t="s">
        <v>49</v>
      </c>
      <c r="D60" s="135" t="s">
        <v>516</v>
      </c>
      <c r="E60" s="135" t="s">
        <v>527</v>
      </c>
      <c r="F60" s="135" t="s">
        <v>4</v>
      </c>
      <c r="G60" s="135" t="s">
        <v>528</v>
      </c>
      <c r="H60" s="135" t="s">
        <v>529</v>
      </c>
      <c r="I60" s="135" t="s">
        <v>530</v>
      </c>
      <c r="J60" s="135" t="s">
        <v>531</v>
      </c>
      <c r="K60" s="135" t="s">
        <v>155</v>
      </c>
      <c r="L60" s="135" t="s">
        <v>522</v>
      </c>
      <c r="M60" s="135" t="s">
        <v>532</v>
      </c>
      <c r="N60" s="135" t="s">
        <v>533</v>
      </c>
      <c r="O60" s="135" t="s">
        <v>125</v>
      </c>
      <c r="P60" s="135" t="s">
        <v>534</v>
      </c>
      <c r="Q60" s="135" t="s">
        <v>101</v>
      </c>
      <c r="R60" s="146" t="str">
        <f>IF(OR(ISNUMBER(SEARCH("FAIL",K60&amp;" "&amp;O60)),ISNUMBER(SEARCH("CLEAN RETEST REQUIRED",K60&amp;" "&amp;O60))),"Failed",IF(OR(ISNUMBER(SEARCH("NOT RUN",K60&amp;" "&amp;O60)),ISNUMBER(SEARCH("NOT IMPLEMENTED",K60&amp;" "&amp;O60))),"Not started",IF(OR(ISNUMBER(SEARCH("PARTIAL",K60&amp;" "&amp;O60)),ISNUMBER(SEARCH("PENDING",K60&amp;" "&amp;O60)),ISNUMBER(SEARCH("IN PROGRESS",K60&amp;" "&amp;O60)),ISNUMBER(SEARCH("OPEN",K60&amp;" "&amp;O60)),ISNUMBER(SEARCH("RETEST REQUIRED",K60&amp;" "&amp;O60)),ISNUMBER(SEARCH("IMPLEMENTATION UPDATED",K60&amp;" "&amp;O60)),ISNUMBER(SEARCH("REQUIRED EVERY SESSION",K60&amp;" "&amp;O60))),"Pending",IF(OR(O60="PASS",ISNUMBER(SEARCH("PASS",K60&amp;" "&amp;O60))),"Done","Pending"))))</f>
        <v>Done</v>
      </c>
      <c r="S60" s="146" t="str">
        <f>IF(OR(LEFT(A60,9)="OPERATOR-",LEFT(A60,8)="PAYMENT-",LEFT(A60,7)="DEPLOY-"),"External","Core")</f>
        <v>Core</v>
      </c>
    </row>
    <row r="61" customFormat="false" ht="15" hidden="false" customHeight="false" outlineLevel="0" collapsed="false">
      <c r="A61" s="135" t="s">
        <v>535</v>
      </c>
      <c r="B61" s="135" t="s">
        <v>228</v>
      </c>
      <c r="C61" s="256" t="s">
        <v>49</v>
      </c>
      <c r="D61" s="135" t="s">
        <v>536</v>
      </c>
      <c r="E61" s="135" t="s">
        <v>537</v>
      </c>
      <c r="F61" s="135" t="s">
        <v>4</v>
      </c>
      <c r="G61" s="135" t="s">
        <v>538</v>
      </c>
      <c r="H61" s="135" t="s">
        <v>4</v>
      </c>
      <c r="I61" s="135" t="s">
        <v>539</v>
      </c>
      <c r="J61" s="135" t="s">
        <v>540</v>
      </c>
      <c r="K61" s="135" t="s">
        <v>155</v>
      </c>
      <c r="L61" s="135" t="s">
        <v>522</v>
      </c>
      <c r="M61" s="135" t="s">
        <v>541</v>
      </c>
      <c r="N61" s="135" t="s">
        <v>542</v>
      </c>
      <c r="O61" s="135" t="s">
        <v>125</v>
      </c>
      <c r="P61" s="135" t="s">
        <v>543</v>
      </c>
      <c r="Q61" s="135" t="s">
        <v>101</v>
      </c>
      <c r="R61" s="146" t="str">
        <f>IF(OR(ISNUMBER(SEARCH("FAIL",K61&amp;" "&amp;O61)),ISNUMBER(SEARCH("CLEAN RETEST REQUIRED",K61&amp;" "&amp;O61))),"Failed",IF(OR(ISNUMBER(SEARCH("NOT RUN",K61&amp;" "&amp;O61)),ISNUMBER(SEARCH("NOT IMPLEMENTED",K61&amp;" "&amp;O61))),"Not started",IF(OR(ISNUMBER(SEARCH("PARTIAL",K61&amp;" "&amp;O61)),ISNUMBER(SEARCH("PENDING",K61&amp;" "&amp;O61)),ISNUMBER(SEARCH("IN PROGRESS",K61&amp;" "&amp;O61)),ISNUMBER(SEARCH("OPEN",K61&amp;" "&amp;O61)),ISNUMBER(SEARCH("RETEST REQUIRED",K61&amp;" "&amp;O61)),ISNUMBER(SEARCH("IMPLEMENTATION UPDATED",K61&amp;" "&amp;O61)),ISNUMBER(SEARCH("REQUIRED EVERY SESSION",K61&amp;" "&amp;O61))),"Pending",IF(OR(O61="PASS",ISNUMBER(SEARCH("PASS",K61&amp;" "&amp;O61))),"Done","Pending"))))</f>
        <v>Done</v>
      </c>
      <c r="S61" s="146" t="str">
        <f>IF(OR(LEFT(A61,9)="OPERATOR-",LEFT(A61,8)="PAYMENT-",LEFT(A61,7)="DEPLOY-"),"External","Core")</f>
        <v>Core</v>
      </c>
    </row>
    <row r="62" customFormat="false" ht="15" hidden="false" customHeight="false" outlineLevel="0" collapsed="false">
      <c r="A62" s="135" t="s">
        <v>544</v>
      </c>
      <c r="B62" s="135" t="s">
        <v>228</v>
      </c>
      <c r="C62" s="256" t="s">
        <v>49</v>
      </c>
      <c r="D62" s="135" t="s">
        <v>516</v>
      </c>
      <c r="E62" s="135" t="s">
        <v>545</v>
      </c>
      <c r="F62" s="135" t="s">
        <v>546</v>
      </c>
      <c r="G62" s="135" t="s">
        <v>4</v>
      </c>
      <c r="H62" s="135" t="s">
        <v>4</v>
      </c>
      <c r="I62" s="135" t="s">
        <v>4</v>
      </c>
      <c r="J62" s="135" t="s">
        <v>547</v>
      </c>
      <c r="K62" s="135" t="s">
        <v>155</v>
      </c>
      <c r="L62" s="135" t="s">
        <v>522</v>
      </c>
      <c r="M62" s="135" t="s">
        <v>548</v>
      </c>
      <c r="N62" s="135" t="s">
        <v>549</v>
      </c>
      <c r="O62" s="135" t="s">
        <v>125</v>
      </c>
      <c r="P62" s="135" t="s">
        <v>550</v>
      </c>
      <c r="Q62" s="135" t="s">
        <v>127</v>
      </c>
      <c r="R62" s="146" t="str">
        <f>IF(OR(ISNUMBER(SEARCH("FAIL",K62&amp;" "&amp;O62)),ISNUMBER(SEARCH("CLEAN RETEST REQUIRED",K62&amp;" "&amp;O62))),"Failed",IF(OR(ISNUMBER(SEARCH("NOT RUN",K62&amp;" "&amp;O62)),ISNUMBER(SEARCH("NOT IMPLEMENTED",K62&amp;" "&amp;O62))),"Not started",IF(OR(ISNUMBER(SEARCH("PARTIAL",K62&amp;" "&amp;O62)),ISNUMBER(SEARCH("PENDING",K62&amp;" "&amp;O62)),ISNUMBER(SEARCH("IN PROGRESS",K62&amp;" "&amp;O62)),ISNUMBER(SEARCH("OPEN",K62&amp;" "&amp;O62)),ISNUMBER(SEARCH("RETEST REQUIRED",K62&amp;" "&amp;O62)),ISNUMBER(SEARCH("IMPLEMENTATION UPDATED",K62&amp;" "&amp;O62)),ISNUMBER(SEARCH("REQUIRED EVERY SESSION",K62&amp;" "&amp;O62))),"Pending",IF(OR(O62="PASS",ISNUMBER(SEARCH("PASS",K62&amp;" "&amp;O62))),"Done","Pending"))))</f>
        <v>Done</v>
      </c>
      <c r="S62" s="146" t="str">
        <f>IF(OR(LEFT(A62,9)="OPERATOR-",LEFT(A62,8)="PAYMENT-",LEFT(A62,7)="DEPLOY-"),"External","Core")</f>
        <v>Core</v>
      </c>
    </row>
    <row r="63" customFormat="false" ht="15" hidden="false" customHeight="false" outlineLevel="0" collapsed="false">
      <c r="A63" s="135" t="s">
        <v>551</v>
      </c>
      <c r="B63" s="135" t="s">
        <v>228</v>
      </c>
      <c r="C63" s="256" t="s">
        <v>49</v>
      </c>
      <c r="D63" s="135" t="s">
        <v>552</v>
      </c>
      <c r="E63" s="135" t="s">
        <v>553</v>
      </c>
      <c r="F63" s="135" t="s">
        <v>554</v>
      </c>
      <c r="G63" s="135" t="s">
        <v>555</v>
      </c>
      <c r="H63" s="135" t="s">
        <v>556</v>
      </c>
      <c r="I63" s="135" t="s">
        <v>557</v>
      </c>
      <c r="J63" s="135" t="s">
        <v>558</v>
      </c>
      <c r="K63" s="135" t="s">
        <v>155</v>
      </c>
      <c r="L63" s="135" t="s">
        <v>522</v>
      </c>
      <c r="M63" s="135" t="s">
        <v>559</v>
      </c>
      <c r="N63" s="135" t="s">
        <v>560</v>
      </c>
      <c r="O63" s="135" t="s">
        <v>125</v>
      </c>
      <c r="P63" s="135" t="s">
        <v>561</v>
      </c>
      <c r="Q63" s="135" t="s">
        <v>101</v>
      </c>
      <c r="R63" s="146" t="str">
        <f>IF(OR(ISNUMBER(SEARCH("FAIL",K63&amp;" "&amp;O63)),ISNUMBER(SEARCH("CLEAN RETEST REQUIRED",K63&amp;" "&amp;O63))),"Failed",IF(OR(ISNUMBER(SEARCH("NOT RUN",K63&amp;" "&amp;O63)),ISNUMBER(SEARCH("NOT IMPLEMENTED",K63&amp;" "&amp;O63))),"Not started",IF(OR(ISNUMBER(SEARCH("PARTIAL",K63&amp;" "&amp;O63)),ISNUMBER(SEARCH("PENDING",K63&amp;" "&amp;O63)),ISNUMBER(SEARCH("IN PROGRESS",K63&amp;" "&amp;O63)),ISNUMBER(SEARCH("OPEN",K63&amp;" "&amp;O63)),ISNUMBER(SEARCH("RETEST REQUIRED",K63&amp;" "&amp;O63)),ISNUMBER(SEARCH("IMPLEMENTATION UPDATED",K63&amp;" "&amp;O63)),ISNUMBER(SEARCH("REQUIRED EVERY SESSION",K63&amp;" "&amp;O63))),"Pending",IF(OR(O63="PASS",ISNUMBER(SEARCH("PASS",K63&amp;" "&amp;O63))),"Done","Pending"))))</f>
        <v>Done</v>
      </c>
      <c r="S63" s="146" t="str">
        <f>IF(OR(LEFT(A63,9)="OPERATOR-",LEFT(A63,8)="PAYMENT-",LEFT(A63,7)="DEPLOY-"),"External","Core")</f>
        <v>Core</v>
      </c>
    </row>
    <row r="64" customFormat="false" ht="180" hidden="false" customHeight="true" outlineLevel="0" collapsed="false">
      <c r="A64" s="135" t="s">
        <v>562</v>
      </c>
      <c r="B64" s="135" t="s">
        <v>228</v>
      </c>
      <c r="C64" s="256" t="s">
        <v>49</v>
      </c>
      <c r="D64" s="135" t="s">
        <v>563</v>
      </c>
      <c r="E64" s="135" t="s">
        <v>564</v>
      </c>
      <c r="F64" s="135" t="s">
        <v>565</v>
      </c>
      <c r="G64" s="135" t="s">
        <v>566</v>
      </c>
      <c r="H64" s="135" t="s">
        <v>567</v>
      </c>
      <c r="I64" s="135" t="s">
        <v>568</v>
      </c>
      <c r="J64" s="135" t="s">
        <v>569</v>
      </c>
      <c r="K64" s="135" t="s">
        <v>570</v>
      </c>
      <c r="L64" s="135" t="s">
        <v>571</v>
      </c>
      <c r="M64" s="135" t="s">
        <v>572</v>
      </c>
      <c r="N64" s="135" t="s">
        <v>573</v>
      </c>
      <c r="O64" s="135" t="s">
        <v>125</v>
      </c>
      <c r="P64" s="135" t="s">
        <v>574</v>
      </c>
      <c r="Q64" s="135" t="s">
        <v>101</v>
      </c>
      <c r="R64" s="146" t="str">
        <f>IF(OR(ISNUMBER(SEARCH("FAIL",K64&amp;" "&amp;O64)),ISNUMBER(SEARCH("CLEAN RETEST REQUIRED",K64&amp;" "&amp;O64))),"Failed",IF(OR(ISNUMBER(SEARCH("NOT RUN",K64&amp;" "&amp;O64)),ISNUMBER(SEARCH("NOT IMPLEMENTED",K64&amp;" "&amp;O64))),"Not started",IF(OR(ISNUMBER(SEARCH("PARTIAL",K64&amp;" "&amp;O64)),ISNUMBER(SEARCH("PENDING",K64&amp;" "&amp;O64)),ISNUMBER(SEARCH("IN PROGRESS",K64&amp;" "&amp;O64)),ISNUMBER(SEARCH("OPEN",K64&amp;" "&amp;O64)),ISNUMBER(SEARCH("RETEST REQUIRED",K64&amp;" "&amp;O64)),ISNUMBER(SEARCH("IMPLEMENTATION UPDATED",K64&amp;" "&amp;O64)),ISNUMBER(SEARCH("REQUIRED EVERY SESSION",K64&amp;" "&amp;O64))),"Pending",IF(OR(O64="PASS",ISNUMBER(SEARCH("PASS",K64&amp;" "&amp;O64))),"Done","Pending"))))</f>
        <v>Done</v>
      </c>
      <c r="S64" s="146" t="str">
        <f>IF(OR(LEFT(A64,9)="OPERATOR-",LEFT(A64,8)="PAYMENT-",LEFT(A64,7)="DEPLOY-"),"External","Core")</f>
        <v>Core</v>
      </c>
    </row>
    <row r="65" customFormat="false" ht="90" hidden="false" customHeight="true" outlineLevel="0" collapsed="false">
      <c r="A65" s="135" t="s">
        <v>575</v>
      </c>
      <c r="B65" s="135" t="s">
        <v>228</v>
      </c>
      <c r="C65" s="256" t="s">
        <v>49</v>
      </c>
      <c r="D65" s="135" t="s">
        <v>576</v>
      </c>
      <c r="E65" s="135" t="s">
        <v>577</v>
      </c>
      <c r="F65" s="135" t="s">
        <v>4</v>
      </c>
      <c r="G65" s="135" t="s">
        <v>4</v>
      </c>
      <c r="H65" s="135" t="s">
        <v>578</v>
      </c>
      <c r="I65" s="135" t="s">
        <v>579</v>
      </c>
      <c r="J65" s="135" t="s">
        <v>580</v>
      </c>
      <c r="K65" s="135" t="s">
        <v>155</v>
      </c>
      <c r="L65" s="135" t="s">
        <v>571</v>
      </c>
      <c r="M65" s="135" t="s">
        <v>581</v>
      </c>
      <c r="N65" s="135" t="s">
        <v>582</v>
      </c>
      <c r="O65" s="135" t="s">
        <v>125</v>
      </c>
      <c r="P65" s="135" t="s">
        <v>583</v>
      </c>
      <c r="Q65" s="135" t="s">
        <v>101</v>
      </c>
      <c r="R65" s="146" t="str">
        <f>IF(OR(ISNUMBER(SEARCH("FAIL",K65&amp;" "&amp;O65)),ISNUMBER(SEARCH("CLEAN RETEST REQUIRED",K65&amp;" "&amp;O65))),"Failed",IF(OR(ISNUMBER(SEARCH("NOT RUN",K65&amp;" "&amp;O65)),ISNUMBER(SEARCH("NOT IMPLEMENTED",K65&amp;" "&amp;O65))),"Not started",IF(OR(ISNUMBER(SEARCH("PARTIAL",K65&amp;" "&amp;O65)),ISNUMBER(SEARCH("PENDING",K65&amp;" "&amp;O65)),ISNUMBER(SEARCH("IN PROGRESS",K65&amp;" "&amp;O65)),ISNUMBER(SEARCH("OPEN",K65&amp;" "&amp;O65)),ISNUMBER(SEARCH("RETEST REQUIRED",K65&amp;" "&amp;O65)),ISNUMBER(SEARCH("IMPLEMENTATION UPDATED",K65&amp;" "&amp;O65)),ISNUMBER(SEARCH("REQUIRED EVERY SESSION",K65&amp;" "&amp;O65))),"Pending",IF(OR(O65="PASS",ISNUMBER(SEARCH("PASS",K65&amp;" "&amp;O65))),"Done","Pending"))))</f>
        <v>Done</v>
      </c>
      <c r="S65" s="146" t="str">
        <f>IF(OR(LEFT(A65,9)="OPERATOR-",LEFT(A65,8)="PAYMENT-",LEFT(A65,7)="DEPLOY-"),"External","Core")</f>
        <v>Core</v>
      </c>
    </row>
    <row r="66" customFormat="false" ht="180" hidden="false" customHeight="true" outlineLevel="0" collapsed="false">
      <c r="A66" s="135" t="s">
        <v>584</v>
      </c>
      <c r="B66" s="135" t="s">
        <v>228</v>
      </c>
      <c r="C66" s="256" t="s">
        <v>49</v>
      </c>
      <c r="D66" s="135" t="s">
        <v>585</v>
      </c>
      <c r="E66" s="135" t="s">
        <v>586</v>
      </c>
      <c r="F66" s="135" t="s">
        <v>587</v>
      </c>
      <c r="G66" s="135" t="s">
        <v>588</v>
      </c>
      <c r="H66" s="135" t="s">
        <v>589</v>
      </c>
      <c r="I66" s="135" t="s">
        <v>590</v>
      </c>
      <c r="J66" s="135" t="s">
        <v>591</v>
      </c>
      <c r="K66" s="135" t="s">
        <v>155</v>
      </c>
      <c r="L66" s="135" t="s">
        <v>571</v>
      </c>
      <c r="M66" s="135" t="s">
        <v>592</v>
      </c>
      <c r="N66" s="135" t="s">
        <v>593</v>
      </c>
      <c r="O66" s="135" t="s">
        <v>125</v>
      </c>
      <c r="P66" s="135" t="s">
        <v>594</v>
      </c>
      <c r="Q66" s="135" t="s">
        <v>101</v>
      </c>
      <c r="R66" s="146" t="str">
        <f>IF(OR(ISNUMBER(SEARCH("FAIL",K66&amp;" "&amp;O66)),ISNUMBER(SEARCH("CLEAN RETEST REQUIRED",K66&amp;" "&amp;O66))),"Failed",IF(OR(ISNUMBER(SEARCH("NOT RUN",K66&amp;" "&amp;O66)),ISNUMBER(SEARCH("NOT IMPLEMENTED",K66&amp;" "&amp;O66))),"Not started",IF(OR(ISNUMBER(SEARCH("PARTIAL",K66&amp;" "&amp;O66)),ISNUMBER(SEARCH("PENDING",K66&amp;" "&amp;O66)),ISNUMBER(SEARCH("IN PROGRESS",K66&amp;" "&amp;O66)),ISNUMBER(SEARCH("OPEN",K66&amp;" "&amp;O66)),ISNUMBER(SEARCH("RETEST REQUIRED",K66&amp;" "&amp;O66)),ISNUMBER(SEARCH("IMPLEMENTATION UPDATED",K66&amp;" "&amp;O66)),ISNUMBER(SEARCH("REQUIRED EVERY SESSION",K66&amp;" "&amp;O66))),"Pending",IF(OR(O66="PASS",ISNUMBER(SEARCH("PASS",K66&amp;" "&amp;O66))),"Done","Pending"))))</f>
        <v>Done</v>
      </c>
      <c r="S66" s="146" t="str">
        <f>IF(OR(LEFT(A66,9)="OPERATOR-",LEFT(A66,8)="PAYMENT-",LEFT(A66,7)="DEPLOY-"),"External","Core")</f>
        <v>Core</v>
      </c>
    </row>
    <row r="67" customFormat="false" ht="180" hidden="false" customHeight="true" outlineLevel="0" collapsed="false">
      <c r="A67" s="135" t="s">
        <v>595</v>
      </c>
      <c r="B67" s="135" t="s">
        <v>228</v>
      </c>
      <c r="C67" s="256" t="s">
        <v>49</v>
      </c>
      <c r="D67" s="135" t="s">
        <v>596</v>
      </c>
      <c r="E67" s="135" t="s">
        <v>597</v>
      </c>
      <c r="F67" s="135" t="s">
        <v>598</v>
      </c>
      <c r="G67" s="135" t="s">
        <v>599</v>
      </c>
      <c r="H67" s="135" t="s">
        <v>600</v>
      </c>
      <c r="I67" s="135" t="s">
        <v>601</v>
      </c>
      <c r="J67" s="135" t="s">
        <v>602</v>
      </c>
      <c r="K67" s="135" t="s">
        <v>155</v>
      </c>
      <c r="L67" s="135" t="s">
        <v>122</v>
      </c>
      <c r="M67" s="135" t="s">
        <v>603</v>
      </c>
      <c r="N67" s="135" t="s">
        <v>604</v>
      </c>
      <c r="O67" s="135" t="s">
        <v>125</v>
      </c>
      <c r="P67" s="135" t="s">
        <v>605</v>
      </c>
      <c r="Q67" s="135" t="s">
        <v>101</v>
      </c>
      <c r="R67" s="146" t="str">
        <f>IF(OR(ISNUMBER(SEARCH("FAIL",K67&amp;" "&amp;O67)),ISNUMBER(SEARCH("CLEAN RETEST REQUIRED",K67&amp;" "&amp;O67))),"Failed",IF(OR(ISNUMBER(SEARCH("NOT RUN",K67&amp;" "&amp;O67)),ISNUMBER(SEARCH("NOT IMPLEMENTED",K67&amp;" "&amp;O67))),"Not started",IF(OR(ISNUMBER(SEARCH("PARTIAL",K67&amp;" "&amp;O67)),ISNUMBER(SEARCH("PENDING",K67&amp;" "&amp;O67)),ISNUMBER(SEARCH("IN PROGRESS",K67&amp;" "&amp;O67)),ISNUMBER(SEARCH("OPEN",K67&amp;" "&amp;O67)),ISNUMBER(SEARCH("RETEST REQUIRED",K67&amp;" "&amp;O67)),ISNUMBER(SEARCH("IMPLEMENTATION UPDATED",K67&amp;" "&amp;O67)),ISNUMBER(SEARCH("REQUIRED EVERY SESSION",K67&amp;" "&amp;O67))),"Pending",IF(OR(O67="PASS",ISNUMBER(SEARCH("PASS",K67&amp;" "&amp;O67))),"Done","Pending"))))</f>
        <v>Done</v>
      </c>
      <c r="S67" s="146" t="str">
        <f>IF(OR(LEFT(A67,9)="OPERATOR-",LEFT(A67,8)="PAYMENT-",LEFT(A67,7)="DEPLOY-"),"External","Core")</f>
        <v>Core</v>
      </c>
    </row>
    <row r="68" customFormat="false" ht="135" hidden="false" customHeight="true" outlineLevel="0" collapsed="false">
      <c r="A68" s="135" t="s">
        <v>606</v>
      </c>
      <c r="B68" s="135" t="s">
        <v>228</v>
      </c>
      <c r="C68" s="256" t="s">
        <v>49</v>
      </c>
      <c r="D68" s="135" t="s">
        <v>607</v>
      </c>
      <c r="E68" s="135" t="s">
        <v>608</v>
      </c>
      <c r="F68" s="135" t="s">
        <v>4</v>
      </c>
      <c r="G68" s="135" t="s">
        <v>609</v>
      </c>
      <c r="H68" s="135" t="s">
        <v>4</v>
      </c>
      <c r="I68" s="135" t="s">
        <v>610</v>
      </c>
      <c r="J68" s="135" t="s">
        <v>611</v>
      </c>
      <c r="K68" s="135" t="s">
        <v>155</v>
      </c>
      <c r="L68" s="135" t="s">
        <v>122</v>
      </c>
      <c r="M68" s="135" t="s">
        <v>612</v>
      </c>
      <c r="N68" s="135" t="s">
        <v>613</v>
      </c>
      <c r="O68" s="135" t="s">
        <v>125</v>
      </c>
      <c r="P68" s="135" t="s">
        <v>614</v>
      </c>
      <c r="Q68" s="135" t="s">
        <v>101</v>
      </c>
      <c r="R68" s="146" t="str">
        <f>IF(OR(ISNUMBER(SEARCH("FAIL",K68&amp;" "&amp;O68)),ISNUMBER(SEARCH("CLEAN RETEST REQUIRED",K68&amp;" "&amp;O68))),"Failed",IF(OR(ISNUMBER(SEARCH("NOT RUN",K68&amp;" "&amp;O68)),ISNUMBER(SEARCH("NOT IMPLEMENTED",K68&amp;" "&amp;O68))),"Not started",IF(OR(ISNUMBER(SEARCH("PARTIAL",K68&amp;" "&amp;O68)),ISNUMBER(SEARCH("PENDING",K68&amp;" "&amp;O68)),ISNUMBER(SEARCH("IN PROGRESS",K68&amp;" "&amp;O68)),ISNUMBER(SEARCH("OPEN",K68&amp;" "&amp;O68)),ISNUMBER(SEARCH("RETEST REQUIRED",K68&amp;" "&amp;O68)),ISNUMBER(SEARCH("IMPLEMENTATION UPDATED",K68&amp;" "&amp;O68)),ISNUMBER(SEARCH("REQUIRED EVERY SESSION",K68&amp;" "&amp;O68))),"Pending",IF(OR(O68="PASS",ISNUMBER(SEARCH("PASS",K68&amp;" "&amp;O68))),"Done","Pending"))))</f>
        <v>Done</v>
      </c>
      <c r="S68" s="146" t="str">
        <f>IF(OR(LEFT(A68,9)="OPERATOR-",LEFT(A68,8)="PAYMENT-",LEFT(A68,7)="DEPLOY-"),"External","Core")</f>
        <v>Core</v>
      </c>
    </row>
    <row r="69" customFormat="false" ht="15" hidden="false" customHeight="false" outlineLevel="0" collapsed="false">
      <c r="A69" s="135" t="s">
        <v>615</v>
      </c>
      <c r="B69" s="135" t="s">
        <v>228</v>
      </c>
      <c r="C69" s="256" t="s">
        <v>49</v>
      </c>
      <c r="D69" s="135" t="s">
        <v>616</v>
      </c>
      <c r="E69" s="135" t="s">
        <v>617</v>
      </c>
      <c r="F69" s="135" t="s">
        <v>4</v>
      </c>
      <c r="G69" s="135" t="s">
        <v>618</v>
      </c>
      <c r="H69" s="135" t="s">
        <v>4</v>
      </c>
      <c r="I69" s="135" t="s">
        <v>619</v>
      </c>
      <c r="J69" s="135" t="s">
        <v>620</v>
      </c>
      <c r="K69" s="135" t="s">
        <v>155</v>
      </c>
      <c r="L69" s="135" t="s">
        <v>522</v>
      </c>
      <c r="M69" s="135" t="s">
        <v>621</v>
      </c>
      <c r="N69" s="135" t="s">
        <v>622</v>
      </c>
      <c r="O69" s="135" t="s">
        <v>125</v>
      </c>
      <c r="P69" s="135" t="s">
        <v>623</v>
      </c>
      <c r="Q69" s="135" t="s">
        <v>101</v>
      </c>
      <c r="R69" s="146" t="str">
        <f>IF(OR(ISNUMBER(SEARCH("FAIL",K69&amp;" "&amp;O69)),ISNUMBER(SEARCH("CLEAN RETEST REQUIRED",K69&amp;" "&amp;O69))),"Failed",IF(OR(ISNUMBER(SEARCH("NOT RUN",K69&amp;" "&amp;O69)),ISNUMBER(SEARCH("NOT IMPLEMENTED",K69&amp;" "&amp;O69))),"Not started",IF(OR(ISNUMBER(SEARCH("PARTIAL",K69&amp;" "&amp;O69)),ISNUMBER(SEARCH("PENDING",K69&amp;" "&amp;O69)),ISNUMBER(SEARCH("IN PROGRESS",K69&amp;" "&amp;O69)),ISNUMBER(SEARCH("OPEN",K69&amp;" "&amp;O69)),ISNUMBER(SEARCH("RETEST REQUIRED",K69&amp;" "&amp;O69)),ISNUMBER(SEARCH("IMPLEMENTATION UPDATED",K69&amp;" "&amp;O69)),ISNUMBER(SEARCH("REQUIRED EVERY SESSION",K69&amp;" "&amp;O69))),"Pending",IF(OR(O69="PASS",ISNUMBER(SEARCH("PASS",K69&amp;" "&amp;O69))),"Done","Pending"))))</f>
        <v>Done</v>
      </c>
      <c r="S69" s="146" t="str">
        <f>IF(OR(LEFT(A69,9)="OPERATOR-",LEFT(A69,8)="PAYMENT-",LEFT(A69,7)="DEPLOY-"),"External","Core")</f>
        <v>Core</v>
      </c>
    </row>
    <row r="70" customFormat="false" ht="15" hidden="false" customHeight="false" outlineLevel="0" collapsed="false">
      <c r="A70" s="135" t="s">
        <v>624</v>
      </c>
      <c r="B70" s="135" t="s">
        <v>625</v>
      </c>
      <c r="C70" s="256" t="s">
        <v>49</v>
      </c>
      <c r="D70" s="135" t="s">
        <v>626</v>
      </c>
      <c r="E70" s="135" t="s">
        <v>627</v>
      </c>
      <c r="F70" s="135" t="s">
        <v>628</v>
      </c>
      <c r="G70" s="135" t="s">
        <v>629</v>
      </c>
      <c r="H70" s="135" t="s">
        <v>630</v>
      </c>
      <c r="I70" s="135" t="s">
        <v>631</v>
      </c>
      <c r="J70" s="135" t="s">
        <v>632</v>
      </c>
      <c r="K70" s="135" t="s">
        <v>155</v>
      </c>
      <c r="L70" s="135" t="s">
        <v>122</v>
      </c>
      <c r="M70" s="135" t="s">
        <v>633</v>
      </c>
      <c r="N70" s="135" t="s">
        <v>634</v>
      </c>
      <c r="O70" s="135" t="s">
        <v>125</v>
      </c>
      <c r="P70" s="135" t="s">
        <v>635</v>
      </c>
      <c r="Q70" s="135" t="s">
        <v>101</v>
      </c>
      <c r="R70" s="146" t="str">
        <f>IF(OR(ISNUMBER(SEARCH("FAIL",K70&amp;" "&amp;O70)),ISNUMBER(SEARCH("CLEAN RETEST REQUIRED",K70&amp;" "&amp;O70))),"Failed",IF(OR(ISNUMBER(SEARCH("NOT RUN",K70&amp;" "&amp;O70)),ISNUMBER(SEARCH("NOT IMPLEMENTED",K70&amp;" "&amp;O70))),"Not started",IF(OR(ISNUMBER(SEARCH("PARTIAL",K70&amp;" "&amp;O70)),ISNUMBER(SEARCH("PENDING",K70&amp;" "&amp;O70)),ISNUMBER(SEARCH("IN PROGRESS",K70&amp;" "&amp;O70)),ISNUMBER(SEARCH("OPEN",K70&amp;" "&amp;O70)),ISNUMBER(SEARCH("RETEST REQUIRED",K70&amp;" "&amp;O70)),ISNUMBER(SEARCH("IMPLEMENTATION UPDATED",K70&amp;" "&amp;O70)),ISNUMBER(SEARCH("REQUIRED EVERY SESSION",K70&amp;" "&amp;O70))),"Pending",IF(OR(O70="PASS",ISNUMBER(SEARCH("PASS",K70&amp;" "&amp;O70))),"Done","Pending"))))</f>
        <v>Done</v>
      </c>
      <c r="S70" s="146" t="str">
        <f>IF(OR(LEFT(A70,9)="OPERATOR-",LEFT(A70,8)="PAYMENT-",LEFT(A70,7)="DEPLOY-"),"External","Core")</f>
        <v>Core</v>
      </c>
    </row>
    <row r="71" customFormat="false" ht="15" hidden="false" customHeight="false" outlineLevel="0" collapsed="false">
      <c r="A71" s="135" t="s">
        <v>636</v>
      </c>
      <c r="B71" s="135" t="s">
        <v>228</v>
      </c>
      <c r="C71" s="256" t="s">
        <v>49</v>
      </c>
      <c r="D71" s="135" t="s">
        <v>637</v>
      </c>
      <c r="E71" s="135" t="s">
        <v>638</v>
      </c>
      <c r="F71" s="135" t="s">
        <v>4</v>
      </c>
      <c r="G71" s="135" t="s">
        <v>639</v>
      </c>
      <c r="H71" s="135" t="s">
        <v>4</v>
      </c>
      <c r="I71" s="135" t="s">
        <v>640</v>
      </c>
      <c r="J71" s="135" t="s">
        <v>641</v>
      </c>
      <c r="K71" s="135" t="s">
        <v>155</v>
      </c>
      <c r="L71" s="135" t="s">
        <v>522</v>
      </c>
      <c r="M71" s="135" t="s">
        <v>642</v>
      </c>
      <c r="N71" s="135" t="s">
        <v>643</v>
      </c>
      <c r="O71" s="135" t="s">
        <v>125</v>
      </c>
      <c r="P71" s="135" t="s">
        <v>644</v>
      </c>
      <c r="Q71" s="135" t="s">
        <v>101</v>
      </c>
      <c r="R71" s="146" t="str">
        <f>IF(OR(ISNUMBER(SEARCH("FAIL",K71&amp;" "&amp;O71)),ISNUMBER(SEARCH("CLEAN RETEST REQUIRED",K71&amp;" "&amp;O71))),"Failed",IF(OR(ISNUMBER(SEARCH("NOT RUN",K71&amp;" "&amp;O71)),ISNUMBER(SEARCH("NOT IMPLEMENTED",K71&amp;" "&amp;O71))),"Not started",IF(OR(ISNUMBER(SEARCH("PARTIAL",K71&amp;" "&amp;O71)),ISNUMBER(SEARCH("PENDING",K71&amp;" "&amp;O71)),ISNUMBER(SEARCH("IN PROGRESS",K71&amp;" "&amp;O71)),ISNUMBER(SEARCH("OPEN",K71&amp;" "&amp;O71)),ISNUMBER(SEARCH("RETEST REQUIRED",K71&amp;" "&amp;O71)),ISNUMBER(SEARCH("IMPLEMENTATION UPDATED",K71&amp;" "&amp;O71)),ISNUMBER(SEARCH("REQUIRED EVERY SESSION",K71&amp;" "&amp;O71))),"Pending",IF(OR(O71="PASS",ISNUMBER(SEARCH("PASS",K71&amp;" "&amp;O71))),"Done","Pending"))))</f>
        <v>Done</v>
      </c>
      <c r="S71" s="146" t="str">
        <f>IF(OR(LEFT(A71,9)="OPERATOR-",LEFT(A71,8)="PAYMENT-",LEFT(A71,7)="DEPLOY-"),"External","Core")</f>
        <v>Core</v>
      </c>
    </row>
    <row r="72" customFormat="false" ht="15" hidden="false" customHeight="false" outlineLevel="0" collapsed="false">
      <c r="A72" s="135" t="s">
        <v>645</v>
      </c>
      <c r="B72" s="135" t="s">
        <v>625</v>
      </c>
      <c r="C72" s="256" t="s">
        <v>49</v>
      </c>
      <c r="D72" s="135" t="s">
        <v>646</v>
      </c>
      <c r="E72" s="135" t="s">
        <v>647</v>
      </c>
      <c r="F72" s="135" t="s">
        <v>4</v>
      </c>
      <c r="G72" s="135" t="s">
        <v>648</v>
      </c>
      <c r="H72" s="135" t="s">
        <v>4</v>
      </c>
      <c r="I72" s="135" t="s">
        <v>649</v>
      </c>
      <c r="J72" s="135" t="s">
        <v>650</v>
      </c>
      <c r="K72" s="135" t="s">
        <v>155</v>
      </c>
      <c r="L72" s="135" t="s">
        <v>522</v>
      </c>
      <c r="M72" s="135" t="s">
        <v>651</v>
      </c>
      <c r="N72" s="135" t="s">
        <v>652</v>
      </c>
      <c r="O72" s="135" t="s">
        <v>125</v>
      </c>
      <c r="P72" s="135" t="s">
        <v>653</v>
      </c>
      <c r="Q72" s="135" t="s">
        <v>101</v>
      </c>
      <c r="R72" s="146" t="str">
        <f>IF(OR(ISNUMBER(SEARCH("FAIL",K72&amp;" "&amp;O72)),ISNUMBER(SEARCH("CLEAN RETEST REQUIRED",K72&amp;" "&amp;O72))),"Failed",IF(OR(ISNUMBER(SEARCH("NOT RUN",K72&amp;" "&amp;O72)),ISNUMBER(SEARCH("NOT IMPLEMENTED",K72&amp;" "&amp;O72))),"Not started",IF(OR(ISNUMBER(SEARCH("PARTIAL",K72&amp;" "&amp;O72)),ISNUMBER(SEARCH("PENDING",K72&amp;" "&amp;O72)),ISNUMBER(SEARCH("IN PROGRESS",K72&amp;" "&amp;O72)),ISNUMBER(SEARCH("OPEN",K72&amp;" "&amp;O72)),ISNUMBER(SEARCH("RETEST REQUIRED",K72&amp;" "&amp;O72)),ISNUMBER(SEARCH("IMPLEMENTATION UPDATED",K72&amp;" "&amp;O72)),ISNUMBER(SEARCH("REQUIRED EVERY SESSION",K72&amp;" "&amp;O72))),"Pending",IF(OR(O72="PASS",ISNUMBER(SEARCH("PASS",K72&amp;" "&amp;O72))),"Done","Pending"))))</f>
        <v>Done</v>
      </c>
      <c r="S72" s="146" t="str">
        <f>IF(OR(LEFT(A72,9)="OPERATOR-",LEFT(A72,8)="PAYMENT-",LEFT(A72,7)="DEPLOY-"),"External","Core")</f>
        <v>Core</v>
      </c>
    </row>
    <row r="73" customFormat="false" ht="15" hidden="false" customHeight="false" outlineLevel="0" collapsed="false">
      <c r="A73" s="146" t="s">
        <v>654</v>
      </c>
      <c r="B73" s="146" t="s">
        <v>625</v>
      </c>
      <c r="C73" s="256" t="s">
        <v>49</v>
      </c>
      <c r="D73" s="146" t="s">
        <v>655</v>
      </c>
      <c r="E73" s="146" t="s">
        <v>656</v>
      </c>
      <c r="F73" s="146" t="s">
        <v>4</v>
      </c>
      <c r="G73" s="146" t="s">
        <v>657</v>
      </c>
      <c r="H73" s="146" t="s">
        <v>4</v>
      </c>
      <c r="I73" s="146" t="s">
        <v>658</v>
      </c>
      <c r="J73" s="146" t="s">
        <v>659</v>
      </c>
      <c r="K73" s="146" t="s">
        <v>125</v>
      </c>
      <c r="L73" s="146" t="s">
        <v>522</v>
      </c>
      <c r="M73" s="146" t="s">
        <v>660</v>
      </c>
      <c r="N73" s="146" t="s">
        <v>661</v>
      </c>
      <c r="O73" s="146" t="s">
        <v>155</v>
      </c>
      <c r="P73" s="146" t="s">
        <v>662</v>
      </c>
      <c r="Q73" s="146" t="s">
        <v>101</v>
      </c>
      <c r="R73" s="146" t="str">
        <f>IF(OR(ISNUMBER(SEARCH("FAIL",K73&amp;" "&amp;O73)),ISNUMBER(SEARCH("CLEAN RETEST REQUIRED",K73&amp;" "&amp;O73))),"Failed",IF(OR(ISNUMBER(SEARCH("NOT RUN",K73&amp;" "&amp;O73)),ISNUMBER(SEARCH("NOT IMPLEMENTED",K73&amp;" "&amp;O73))),"Not started",IF(OR(ISNUMBER(SEARCH("PARTIAL",K73&amp;" "&amp;O73)),ISNUMBER(SEARCH("PENDING",K73&amp;" "&amp;O73)),ISNUMBER(SEARCH("IN PROGRESS",K73&amp;" "&amp;O73)),ISNUMBER(SEARCH("OPEN",K73&amp;" "&amp;O73)),ISNUMBER(SEARCH("RETEST REQUIRED",K73&amp;" "&amp;O73)),ISNUMBER(SEARCH("IMPLEMENTATION UPDATED",K73&amp;" "&amp;O73)),ISNUMBER(SEARCH("REQUIRED EVERY SESSION",K73&amp;" "&amp;O73))),"Pending",IF(OR(O73="PASS",ISNUMBER(SEARCH("PASS",K73&amp;" "&amp;O73))),"Done","Pending"))))</f>
        <v>Done</v>
      </c>
      <c r="S73" s="146" t="str">
        <f>IF(OR(LEFT(A73,9)="OPERATOR-",LEFT(A73,8)="PAYMENT-",LEFT(A73,7)="DEPLOY-"),"External","Core")</f>
        <v>Core</v>
      </c>
    </row>
    <row r="74" customFormat="false" ht="15" hidden="false" customHeight="false" outlineLevel="0" collapsed="false">
      <c r="A74" s="138" t="s">
        <v>663</v>
      </c>
      <c r="B74" s="138" t="s">
        <v>228</v>
      </c>
      <c r="C74" s="256" t="s">
        <v>49</v>
      </c>
      <c r="D74" s="138" t="s">
        <v>664</v>
      </c>
      <c r="E74" s="138" t="s">
        <v>665</v>
      </c>
      <c r="F74" s="138" t="s">
        <v>666</v>
      </c>
      <c r="G74" s="138" t="s">
        <v>667</v>
      </c>
      <c r="H74" s="138" t="s">
        <v>556</v>
      </c>
      <c r="I74" s="138" t="s">
        <v>668</v>
      </c>
      <c r="J74" s="138" t="s">
        <v>669</v>
      </c>
      <c r="K74" s="138" t="s">
        <v>337</v>
      </c>
      <c r="L74" s="138" t="s">
        <v>1</v>
      </c>
      <c r="M74" s="138" t="s">
        <v>670</v>
      </c>
      <c r="N74" s="138" t="s">
        <v>671</v>
      </c>
      <c r="O74" s="138" t="s">
        <v>1</v>
      </c>
      <c r="P74" s="138" t="s">
        <v>672</v>
      </c>
      <c r="Q74" s="138" t="s">
        <v>295</v>
      </c>
      <c r="R74" s="146" t="str">
        <f>IF(OR(ISNUMBER(SEARCH("FAIL",K74&amp;" "&amp;O74)),ISNUMBER(SEARCH("CLEAN RETEST REQUIRED",K74&amp;" "&amp;O74))),"Failed",IF(OR(ISNUMBER(SEARCH("NOT RUN",K74&amp;" "&amp;O74)),ISNUMBER(SEARCH("NOT IMPLEMENTED",K74&amp;" "&amp;O74))),"Not started",IF(OR(ISNUMBER(SEARCH("PARTIAL",K74&amp;" "&amp;O74)),ISNUMBER(SEARCH("PENDING",K74&amp;" "&amp;O74)),ISNUMBER(SEARCH("IN PROGRESS",K74&amp;" "&amp;O74)),ISNUMBER(SEARCH("OPEN",K74&amp;" "&amp;O74)),ISNUMBER(SEARCH("RETEST REQUIRED",K74&amp;" "&amp;O74)),ISNUMBER(SEARCH("IMPLEMENTATION UPDATED",K74&amp;" "&amp;O74)),ISNUMBER(SEARCH("REQUIRED EVERY SESSION",K74&amp;" "&amp;O74))),"Pending",IF(OR(O74="PASS",ISNUMBER(SEARCH("PASS",K74&amp;" "&amp;O74))),"Done","Pending"))))</f>
        <v>Not started</v>
      </c>
      <c r="S74" s="146" t="str">
        <f>IF(OR(LEFT(A74,9)="OPERATOR-",LEFT(A74,8)="PAYMENT-",LEFT(A74,7)="DEPLOY-"),"External","Core")</f>
        <v>Core</v>
      </c>
    </row>
    <row r="75" customFormat="false" ht="15" hidden="false" customHeight="false" outlineLevel="0" collapsed="false">
      <c r="A75" s="138" t="s">
        <v>673</v>
      </c>
      <c r="B75" s="138" t="s">
        <v>228</v>
      </c>
      <c r="C75" s="256" t="s">
        <v>49</v>
      </c>
      <c r="D75" s="138" t="s">
        <v>674</v>
      </c>
      <c r="E75" s="138" t="s">
        <v>675</v>
      </c>
      <c r="F75" s="138" t="s">
        <v>4</v>
      </c>
      <c r="G75" s="138" t="s">
        <v>4</v>
      </c>
      <c r="H75" s="138" t="s">
        <v>4</v>
      </c>
      <c r="I75" s="138" t="s">
        <v>4</v>
      </c>
      <c r="J75" s="138" t="s">
        <v>676</v>
      </c>
      <c r="K75" s="138" t="s">
        <v>337</v>
      </c>
      <c r="L75" s="138" t="s">
        <v>1</v>
      </c>
      <c r="M75" s="138" t="s">
        <v>677</v>
      </c>
      <c r="N75" s="138" t="s">
        <v>678</v>
      </c>
      <c r="O75" s="138" t="s">
        <v>1</v>
      </c>
      <c r="P75" s="138" t="s">
        <v>679</v>
      </c>
      <c r="Q75" s="138" t="s">
        <v>372</v>
      </c>
      <c r="R75" s="146" t="str">
        <f>IF(OR(ISNUMBER(SEARCH("FAIL",K75&amp;" "&amp;O75)),ISNUMBER(SEARCH("CLEAN RETEST REQUIRED",K75&amp;" "&amp;O75))),"Failed",IF(OR(ISNUMBER(SEARCH("NOT RUN",K75&amp;" "&amp;O75)),ISNUMBER(SEARCH("NOT IMPLEMENTED",K75&amp;" "&amp;O75))),"Not started",IF(OR(ISNUMBER(SEARCH("PARTIAL",K75&amp;" "&amp;O75)),ISNUMBER(SEARCH("PENDING",K75&amp;" "&amp;O75)),ISNUMBER(SEARCH("IN PROGRESS",K75&amp;" "&amp;O75)),ISNUMBER(SEARCH("OPEN",K75&amp;" "&amp;O75)),ISNUMBER(SEARCH("RETEST REQUIRED",K75&amp;" "&amp;O75)),ISNUMBER(SEARCH("IMPLEMENTATION UPDATED",K75&amp;" "&amp;O75)),ISNUMBER(SEARCH("REQUIRED EVERY SESSION",K75&amp;" "&amp;O75))),"Pending",IF(OR(O75="PASS",ISNUMBER(SEARCH("PASS",K75&amp;" "&amp;O75))),"Done","Pending"))))</f>
        <v>Not started</v>
      </c>
      <c r="S75" s="146" t="str">
        <f>IF(OR(LEFT(A75,9)="OPERATOR-",LEFT(A75,8)="PAYMENT-",LEFT(A75,7)="DEPLOY-"),"External","Core")</f>
        <v>Core</v>
      </c>
    </row>
    <row r="76" customFormat="false" ht="15" hidden="false" customHeight="false" outlineLevel="0" collapsed="false">
      <c r="A76" s="138" t="s">
        <v>680</v>
      </c>
      <c r="B76" s="138" t="s">
        <v>228</v>
      </c>
      <c r="C76" s="256" t="s">
        <v>49</v>
      </c>
      <c r="D76" s="138" t="s">
        <v>681</v>
      </c>
      <c r="E76" s="138" t="s">
        <v>682</v>
      </c>
      <c r="F76" s="138" t="s">
        <v>683</v>
      </c>
      <c r="G76" s="138" t="s">
        <v>684</v>
      </c>
      <c r="H76" s="138" t="s">
        <v>233</v>
      </c>
      <c r="I76" s="138" t="s">
        <v>685</v>
      </c>
      <c r="J76" s="138" t="s">
        <v>686</v>
      </c>
      <c r="K76" s="138" t="s">
        <v>337</v>
      </c>
      <c r="L76" s="138" t="s">
        <v>1</v>
      </c>
      <c r="M76" s="138" t="s">
        <v>687</v>
      </c>
      <c r="N76" s="138" t="s">
        <v>688</v>
      </c>
      <c r="O76" s="138" t="s">
        <v>1</v>
      </c>
      <c r="P76" s="138" t="s">
        <v>689</v>
      </c>
      <c r="Q76" s="138" t="s">
        <v>127</v>
      </c>
      <c r="R76" s="146" t="str">
        <f>IF(OR(ISNUMBER(SEARCH("FAIL",K76&amp;" "&amp;O76)),ISNUMBER(SEARCH("CLEAN RETEST REQUIRED",K76&amp;" "&amp;O76))),"Failed",IF(OR(ISNUMBER(SEARCH("NOT RUN",K76&amp;" "&amp;O76)),ISNUMBER(SEARCH("NOT IMPLEMENTED",K76&amp;" "&amp;O76))),"Not started",IF(OR(ISNUMBER(SEARCH("PARTIAL",K76&amp;" "&amp;O76)),ISNUMBER(SEARCH("PENDING",K76&amp;" "&amp;O76)),ISNUMBER(SEARCH("IN PROGRESS",K76&amp;" "&amp;O76)),ISNUMBER(SEARCH("OPEN",K76&amp;" "&amp;O76)),ISNUMBER(SEARCH("RETEST REQUIRED",K76&amp;" "&amp;O76)),ISNUMBER(SEARCH("IMPLEMENTATION UPDATED",K76&amp;" "&amp;O76)),ISNUMBER(SEARCH("REQUIRED EVERY SESSION",K76&amp;" "&amp;O76))),"Pending",IF(OR(O76="PASS",ISNUMBER(SEARCH("PASS",K76&amp;" "&amp;O76))),"Done","Pending"))))</f>
        <v>Not started</v>
      </c>
      <c r="S76" s="146" t="str">
        <f>IF(OR(LEFT(A76,9)="OPERATOR-",LEFT(A76,8)="PAYMENT-",LEFT(A76,7)="DEPLOY-"),"External","Core")</f>
        <v>Core</v>
      </c>
    </row>
    <row r="77" customFormat="false" ht="15" hidden="false" customHeight="false" outlineLevel="0" collapsed="false">
      <c r="A77" s="138" t="s">
        <v>690</v>
      </c>
      <c r="B77" s="138" t="s">
        <v>228</v>
      </c>
      <c r="C77" s="256" t="s">
        <v>49</v>
      </c>
      <c r="D77" s="138" t="s">
        <v>691</v>
      </c>
      <c r="E77" s="138" t="s">
        <v>692</v>
      </c>
      <c r="F77" s="138" t="s">
        <v>693</v>
      </c>
      <c r="G77" s="138" t="s">
        <v>694</v>
      </c>
      <c r="H77" s="138" t="s">
        <v>233</v>
      </c>
      <c r="I77" s="138" t="s">
        <v>695</v>
      </c>
      <c r="J77" s="138" t="s">
        <v>696</v>
      </c>
      <c r="K77" s="138" t="s">
        <v>337</v>
      </c>
      <c r="L77" s="138" t="s">
        <v>1</v>
      </c>
      <c r="M77" s="138" t="s">
        <v>697</v>
      </c>
      <c r="N77" s="138" t="s">
        <v>698</v>
      </c>
      <c r="O77" s="138" t="s">
        <v>1</v>
      </c>
      <c r="P77" s="138" t="s">
        <v>699</v>
      </c>
      <c r="Q77" s="138" t="s">
        <v>127</v>
      </c>
      <c r="R77" s="146" t="str">
        <f>IF(OR(ISNUMBER(SEARCH("FAIL",K77&amp;" "&amp;O77)),ISNUMBER(SEARCH("CLEAN RETEST REQUIRED",K77&amp;" "&amp;O77))),"Failed",IF(OR(ISNUMBER(SEARCH("NOT RUN",K77&amp;" "&amp;O77)),ISNUMBER(SEARCH("NOT IMPLEMENTED",K77&amp;" "&amp;O77))),"Not started",IF(OR(ISNUMBER(SEARCH("PARTIAL",K77&amp;" "&amp;O77)),ISNUMBER(SEARCH("PENDING",K77&amp;" "&amp;O77)),ISNUMBER(SEARCH("IN PROGRESS",K77&amp;" "&amp;O77)),ISNUMBER(SEARCH("OPEN",K77&amp;" "&amp;O77)),ISNUMBER(SEARCH("RETEST REQUIRED",K77&amp;" "&amp;O77)),ISNUMBER(SEARCH("IMPLEMENTATION UPDATED",K77&amp;" "&amp;O77)),ISNUMBER(SEARCH("REQUIRED EVERY SESSION",K77&amp;" "&amp;O77))),"Pending",IF(OR(O77="PASS",ISNUMBER(SEARCH("PASS",K77&amp;" "&amp;O77))),"Done","Pending"))))</f>
        <v>Not started</v>
      </c>
      <c r="S77" s="146" t="str">
        <f>IF(OR(LEFT(A77,9)="OPERATOR-",LEFT(A77,8)="PAYMENT-",LEFT(A77,7)="DEPLOY-"),"External","Core")</f>
        <v>Core</v>
      </c>
    </row>
    <row r="78" customFormat="false" ht="15" hidden="false" customHeight="false" outlineLevel="0" collapsed="false">
      <c r="A78" s="135" t="s">
        <v>700</v>
      </c>
      <c r="B78" s="135" t="s">
        <v>701</v>
      </c>
      <c r="C78" s="256" t="s">
        <v>49</v>
      </c>
      <c r="D78" s="135" t="s">
        <v>229</v>
      </c>
      <c r="E78" s="135" t="s">
        <v>702</v>
      </c>
      <c r="F78" s="135" t="s">
        <v>4</v>
      </c>
      <c r="G78" s="135" t="s">
        <v>4</v>
      </c>
      <c r="H78" s="135" t="s">
        <v>4</v>
      </c>
      <c r="I78" s="135" t="s">
        <v>4</v>
      </c>
      <c r="J78" s="135" t="s">
        <v>703</v>
      </c>
      <c r="K78" s="135" t="s">
        <v>704</v>
      </c>
      <c r="L78" s="135" t="s">
        <v>469</v>
      </c>
      <c r="M78" s="135" t="s">
        <v>705</v>
      </c>
      <c r="N78" s="135" t="s">
        <v>706</v>
      </c>
      <c r="O78" s="135" t="s">
        <v>125</v>
      </c>
      <c r="P78" s="135" t="s">
        <v>707</v>
      </c>
      <c r="Q78" s="135" t="s">
        <v>372</v>
      </c>
      <c r="R78" s="146" t="str">
        <f>IF(OR(ISNUMBER(SEARCH("FAIL",K78&amp;" "&amp;O78)),ISNUMBER(SEARCH("CLEAN RETEST REQUIRED",K78&amp;" "&amp;O78))),"Failed",IF(OR(ISNUMBER(SEARCH("NOT RUN",K78&amp;" "&amp;O78)),ISNUMBER(SEARCH("NOT IMPLEMENTED",K78&amp;" "&amp;O78))),"Not started",IF(OR(ISNUMBER(SEARCH("PARTIAL",K78&amp;" "&amp;O78)),ISNUMBER(SEARCH("PENDING",K78&amp;" "&amp;O78)),ISNUMBER(SEARCH("IN PROGRESS",K78&amp;" "&amp;O78)),ISNUMBER(SEARCH("OPEN",K78&amp;" "&amp;O78)),ISNUMBER(SEARCH("RETEST REQUIRED",K78&amp;" "&amp;O78)),ISNUMBER(SEARCH("IMPLEMENTATION UPDATED",K78&amp;" "&amp;O78)),ISNUMBER(SEARCH("REQUIRED EVERY SESSION",K78&amp;" "&amp;O78))),"Pending",IF(OR(O78="PASS",ISNUMBER(SEARCH("PASS",K78&amp;" "&amp;O78))),"Done","Pending"))))</f>
        <v>Done</v>
      </c>
      <c r="S78" s="146" t="str">
        <f>IF(OR(LEFT(A78,9)="OPERATOR-",LEFT(A78,8)="PAYMENT-",LEFT(A78,7)="DEPLOY-"),"External","Core")</f>
        <v>Core</v>
      </c>
    </row>
    <row r="79" customFormat="false" ht="15" hidden="false" customHeight="false" outlineLevel="0" collapsed="false">
      <c r="A79" s="135" t="s">
        <v>708</v>
      </c>
      <c r="B79" s="135" t="s">
        <v>228</v>
      </c>
      <c r="C79" s="257" t="s">
        <v>58</v>
      </c>
      <c r="D79" s="135" t="s">
        <v>58</v>
      </c>
      <c r="E79" s="135" t="s">
        <v>709</v>
      </c>
      <c r="F79" s="135" t="s">
        <v>710</v>
      </c>
      <c r="G79" s="135" t="s">
        <v>711</v>
      </c>
      <c r="H79" s="135" t="s">
        <v>556</v>
      </c>
      <c r="I79" s="135" t="s">
        <v>712</v>
      </c>
      <c r="J79" s="135" t="s">
        <v>713</v>
      </c>
      <c r="K79" s="135" t="s">
        <v>714</v>
      </c>
      <c r="L79" s="135" t="s">
        <v>176</v>
      </c>
      <c r="M79" s="135" t="s">
        <v>715</v>
      </c>
      <c r="N79" s="135" t="s">
        <v>716</v>
      </c>
      <c r="O79" s="135" t="s">
        <v>125</v>
      </c>
      <c r="P79" s="135" t="s">
        <v>717</v>
      </c>
      <c r="Q79" s="135" t="s">
        <v>261</v>
      </c>
      <c r="R79" s="146" t="str">
        <f>IF(OR(ISNUMBER(SEARCH("FAIL",K79&amp;" "&amp;O79)),ISNUMBER(SEARCH("CLEAN RETEST REQUIRED",K79&amp;" "&amp;O79))),"Failed",IF(OR(ISNUMBER(SEARCH("NOT RUN",K79&amp;" "&amp;O79)),ISNUMBER(SEARCH("NOT IMPLEMENTED",K79&amp;" "&amp;O79))),"Not started",IF(OR(ISNUMBER(SEARCH("PARTIAL",K79&amp;" "&amp;O79)),ISNUMBER(SEARCH("PENDING",K79&amp;" "&amp;O79)),ISNUMBER(SEARCH("IN PROGRESS",K79&amp;" "&amp;O79)),ISNUMBER(SEARCH("OPEN",K79&amp;" "&amp;O79)),ISNUMBER(SEARCH("RETEST REQUIRED",K79&amp;" "&amp;O79)),ISNUMBER(SEARCH("IMPLEMENTATION UPDATED",K79&amp;" "&amp;O79)),ISNUMBER(SEARCH("REQUIRED EVERY SESSION",K79&amp;" "&amp;O79))),"Pending",IF(OR(O79="PASS",ISNUMBER(SEARCH("PASS",K79&amp;" "&amp;O79))),"Done","Pending"))))</f>
        <v>Done</v>
      </c>
      <c r="S79" s="146" t="str">
        <f>IF(OR(LEFT(A79,9)="OPERATOR-",LEFT(A79,8)="PAYMENT-",LEFT(A79,7)="DEPLOY-"),"External","Core")</f>
        <v>Core</v>
      </c>
    </row>
    <row r="80" customFormat="false" ht="15" hidden="false" customHeight="false" outlineLevel="0" collapsed="false">
      <c r="A80" s="135" t="s">
        <v>718</v>
      </c>
      <c r="B80" s="135" t="s">
        <v>228</v>
      </c>
      <c r="C80" s="257" t="s">
        <v>58</v>
      </c>
      <c r="D80" s="135" t="s">
        <v>58</v>
      </c>
      <c r="E80" s="135" t="s">
        <v>719</v>
      </c>
      <c r="F80" s="135" t="s">
        <v>287</v>
      </c>
      <c r="G80" s="135" t="s">
        <v>720</v>
      </c>
      <c r="H80" s="135" t="s">
        <v>721</v>
      </c>
      <c r="I80" s="135" t="s">
        <v>722</v>
      </c>
      <c r="J80" s="135" t="s">
        <v>723</v>
      </c>
      <c r="K80" s="135" t="s">
        <v>155</v>
      </c>
      <c r="L80" s="135" t="s">
        <v>176</v>
      </c>
      <c r="M80" s="135" t="s">
        <v>724</v>
      </c>
      <c r="N80" s="135" t="s">
        <v>725</v>
      </c>
      <c r="O80" s="135" t="s">
        <v>125</v>
      </c>
      <c r="P80" s="135" t="s">
        <v>726</v>
      </c>
      <c r="Q80" s="135" t="s">
        <v>372</v>
      </c>
      <c r="R80" s="146" t="str">
        <f>IF(OR(ISNUMBER(SEARCH("FAIL",K80&amp;" "&amp;O80)),ISNUMBER(SEARCH("CLEAN RETEST REQUIRED",K80&amp;" "&amp;O80))),"Failed",IF(OR(ISNUMBER(SEARCH("NOT RUN",K80&amp;" "&amp;O80)),ISNUMBER(SEARCH("NOT IMPLEMENTED",K80&amp;" "&amp;O80))),"Not started",IF(OR(ISNUMBER(SEARCH("PARTIAL",K80&amp;" "&amp;O80)),ISNUMBER(SEARCH("PENDING",K80&amp;" "&amp;O80)),ISNUMBER(SEARCH("IN PROGRESS",K80&amp;" "&amp;O80)),ISNUMBER(SEARCH("OPEN",K80&amp;" "&amp;O80)),ISNUMBER(SEARCH("RETEST REQUIRED",K80&amp;" "&amp;O80)),ISNUMBER(SEARCH("IMPLEMENTATION UPDATED",K80&amp;" "&amp;O80)),ISNUMBER(SEARCH("REQUIRED EVERY SESSION",K80&amp;" "&amp;O80))),"Pending",IF(OR(O80="PASS",ISNUMBER(SEARCH("PASS",K80&amp;" "&amp;O80))),"Done","Pending"))))</f>
        <v>Done</v>
      </c>
      <c r="S80" s="146" t="str">
        <f>IF(OR(LEFT(A80,9)="OPERATOR-",LEFT(A80,8)="PAYMENT-",LEFT(A80,7)="DEPLOY-"),"External","Core")</f>
        <v>Core</v>
      </c>
    </row>
    <row r="81" customFormat="false" ht="15" hidden="false" customHeight="false" outlineLevel="0" collapsed="false">
      <c r="A81" s="135" t="s">
        <v>727</v>
      </c>
      <c r="B81" s="135" t="s">
        <v>228</v>
      </c>
      <c r="C81" s="257" t="s">
        <v>58</v>
      </c>
      <c r="D81" s="135" t="s">
        <v>58</v>
      </c>
      <c r="E81" s="135" t="s">
        <v>728</v>
      </c>
      <c r="F81" s="135" t="s">
        <v>729</v>
      </c>
      <c r="G81" s="135" t="s">
        <v>730</v>
      </c>
      <c r="H81" s="135" t="s">
        <v>731</v>
      </c>
      <c r="I81" s="135" t="s">
        <v>732</v>
      </c>
      <c r="J81" s="135" t="s">
        <v>733</v>
      </c>
      <c r="K81" s="135" t="s">
        <v>155</v>
      </c>
      <c r="L81" s="135" t="s">
        <v>176</v>
      </c>
      <c r="M81" s="135" t="s">
        <v>734</v>
      </c>
      <c r="N81" s="135" t="s">
        <v>735</v>
      </c>
      <c r="O81" s="135" t="s">
        <v>125</v>
      </c>
      <c r="P81" s="135" t="s">
        <v>736</v>
      </c>
      <c r="Q81" s="135" t="s">
        <v>127</v>
      </c>
      <c r="R81" s="146" t="str">
        <f>IF(OR(ISNUMBER(SEARCH("FAIL",K81&amp;" "&amp;O81)),ISNUMBER(SEARCH("CLEAN RETEST REQUIRED",K81&amp;" "&amp;O81))),"Failed",IF(OR(ISNUMBER(SEARCH("NOT RUN",K81&amp;" "&amp;O81)),ISNUMBER(SEARCH("NOT IMPLEMENTED",K81&amp;" "&amp;O81))),"Not started",IF(OR(ISNUMBER(SEARCH("PARTIAL",K81&amp;" "&amp;O81)),ISNUMBER(SEARCH("PENDING",K81&amp;" "&amp;O81)),ISNUMBER(SEARCH("IN PROGRESS",K81&amp;" "&amp;O81)),ISNUMBER(SEARCH("OPEN",K81&amp;" "&amp;O81)),ISNUMBER(SEARCH("RETEST REQUIRED",K81&amp;" "&amp;O81)),ISNUMBER(SEARCH("IMPLEMENTATION UPDATED",K81&amp;" "&amp;O81)),ISNUMBER(SEARCH("REQUIRED EVERY SESSION",K81&amp;" "&amp;O81))),"Pending",IF(OR(O81="PASS",ISNUMBER(SEARCH("PASS",K81&amp;" "&amp;O81))),"Done","Pending"))))</f>
        <v>Done</v>
      </c>
      <c r="S81" s="146" t="str">
        <f>IF(OR(LEFT(A81,9)="OPERATOR-",LEFT(A81,8)="PAYMENT-",LEFT(A81,7)="DEPLOY-"),"External","Core")</f>
        <v>Core</v>
      </c>
    </row>
    <row r="82" customFormat="false" ht="75" hidden="false" customHeight="true" outlineLevel="0" collapsed="false">
      <c r="A82" s="135" t="s">
        <v>737</v>
      </c>
      <c r="B82" s="135" t="s">
        <v>738</v>
      </c>
      <c r="C82" s="257" t="s">
        <v>58</v>
      </c>
      <c r="D82" s="135" t="s">
        <v>739</v>
      </c>
      <c r="E82" s="135" t="s">
        <v>740</v>
      </c>
      <c r="F82" s="135" t="s">
        <v>741</v>
      </c>
      <c r="G82" s="135" t="s">
        <v>742</v>
      </c>
      <c r="H82" s="135" t="s">
        <v>4</v>
      </c>
      <c r="I82" s="135" t="s">
        <v>743</v>
      </c>
      <c r="J82" s="135" t="s">
        <v>744</v>
      </c>
      <c r="K82" s="135" t="s">
        <v>155</v>
      </c>
      <c r="L82" s="135" t="s">
        <v>745</v>
      </c>
      <c r="M82" s="135" t="s">
        <v>746</v>
      </c>
      <c r="N82" s="135" t="s">
        <v>747</v>
      </c>
      <c r="O82" s="135" t="s">
        <v>125</v>
      </c>
      <c r="P82" s="135" t="s">
        <v>748</v>
      </c>
      <c r="Q82" s="135" t="s">
        <v>320</v>
      </c>
      <c r="R82" s="146" t="str">
        <f>IF(OR(ISNUMBER(SEARCH("FAIL",K82&amp;" "&amp;O82)),ISNUMBER(SEARCH("CLEAN RETEST REQUIRED",K82&amp;" "&amp;O82))),"Failed",IF(OR(ISNUMBER(SEARCH("NOT RUN",K82&amp;" "&amp;O82)),ISNUMBER(SEARCH("NOT IMPLEMENTED",K82&amp;" "&amp;O82))),"Not started",IF(OR(ISNUMBER(SEARCH("PARTIAL",K82&amp;" "&amp;O82)),ISNUMBER(SEARCH("PENDING",K82&amp;" "&amp;O82)),ISNUMBER(SEARCH("IN PROGRESS",K82&amp;" "&amp;O82)),ISNUMBER(SEARCH("OPEN",K82&amp;" "&amp;O82)),ISNUMBER(SEARCH("RETEST REQUIRED",K82&amp;" "&amp;O82)),ISNUMBER(SEARCH("IMPLEMENTATION UPDATED",K82&amp;" "&amp;O82)),ISNUMBER(SEARCH("REQUIRED EVERY SESSION",K82&amp;" "&amp;O82))),"Pending",IF(OR(O82="PASS",ISNUMBER(SEARCH("PASS",K82&amp;" "&amp;O82))),"Done","Pending"))))</f>
        <v>Done</v>
      </c>
      <c r="S82" s="146" t="str">
        <f>IF(OR(LEFT(A82,9)="OPERATOR-",LEFT(A82,8)="PAYMENT-",LEFT(A82,7)="DEPLOY-"),"External","Core")</f>
        <v>Core</v>
      </c>
    </row>
    <row r="83" customFormat="false" ht="15" hidden="false" customHeight="false" outlineLevel="0" collapsed="false">
      <c r="A83" s="135" t="s">
        <v>749</v>
      </c>
      <c r="B83" s="135" t="s">
        <v>738</v>
      </c>
      <c r="C83" s="257" t="s">
        <v>58</v>
      </c>
      <c r="D83" s="135" t="s">
        <v>750</v>
      </c>
      <c r="E83" s="135" t="s">
        <v>751</v>
      </c>
      <c r="F83" s="135" t="s">
        <v>752</v>
      </c>
      <c r="G83" s="135" t="s">
        <v>753</v>
      </c>
      <c r="H83" s="135" t="s">
        <v>4</v>
      </c>
      <c r="I83" s="135" t="s">
        <v>4</v>
      </c>
      <c r="J83" s="135" t="s">
        <v>754</v>
      </c>
      <c r="K83" s="135" t="s">
        <v>155</v>
      </c>
      <c r="L83" s="135" t="s">
        <v>745</v>
      </c>
      <c r="M83" s="135" t="s">
        <v>755</v>
      </c>
      <c r="N83" s="135" t="s">
        <v>756</v>
      </c>
      <c r="O83" s="135" t="s">
        <v>125</v>
      </c>
      <c r="P83" s="135" t="s">
        <v>757</v>
      </c>
      <c r="Q83" s="135" t="s">
        <v>127</v>
      </c>
      <c r="R83" s="146" t="str">
        <f>IF(OR(ISNUMBER(SEARCH("FAIL",K83&amp;" "&amp;O83)),ISNUMBER(SEARCH("CLEAN RETEST REQUIRED",K83&amp;" "&amp;O83))),"Failed",IF(OR(ISNUMBER(SEARCH("NOT RUN",K83&amp;" "&amp;O83)),ISNUMBER(SEARCH("NOT IMPLEMENTED",K83&amp;" "&amp;O83))),"Not started",IF(OR(ISNUMBER(SEARCH("PARTIAL",K83&amp;" "&amp;O83)),ISNUMBER(SEARCH("PENDING",K83&amp;" "&amp;O83)),ISNUMBER(SEARCH("IN PROGRESS",K83&amp;" "&amp;O83)),ISNUMBER(SEARCH("OPEN",K83&amp;" "&amp;O83)),ISNUMBER(SEARCH("RETEST REQUIRED",K83&amp;" "&amp;O83)),ISNUMBER(SEARCH("IMPLEMENTATION UPDATED",K83&amp;" "&amp;O83)),ISNUMBER(SEARCH("REQUIRED EVERY SESSION",K83&amp;" "&amp;O83))),"Pending",IF(OR(O83="PASS",ISNUMBER(SEARCH("PASS",K83&amp;" "&amp;O83))),"Done","Pending"))))</f>
        <v>Done</v>
      </c>
      <c r="S83" s="146" t="str">
        <f>IF(OR(LEFT(A83,9)="OPERATOR-",LEFT(A83,8)="PAYMENT-",LEFT(A83,7)="DEPLOY-"),"External","Core")</f>
        <v>Core</v>
      </c>
    </row>
    <row r="84" customFormat="false" ht="15" hidden="false" customHeight="false" outlineLevel="0" collapsed="false">
      <c r="A84" s="135" t="s">
        <v>758</v>
      </c>
      <c r="B84" s="135" t="s">
        <v>738</v>
      </c>
      <c r="C84" s="257" t="s">
        <v>58</v>
      </c>
      <c r="D84" s="135" t="s">
        <v>759</v>
      </c>
      <c r="E84" s="135" t="s">
        <v>760</v>
      </c>
      <c r="F84" s="135" t="s">
        <v>761</v>
      </c>
      <c r="G84" s="135" t="s">
        <v>762</v>
      </c>
      <c r="H84" s="135" t="s">
        <v>4</v>
      </c>
      <c r="I84" s="135" t="s">
        <v>4</v>
      </c>
      <c r="J84" s="135" t="s">
        <v>763</v>
      </c>
      <c r="K84" s="135" t="s">
        <v>155</v>
      </c>
      <c r="L84" s="135" t="s">
        <v>745</v>
      </c>
      <c r="M84" s="135" t="s">
        <v>764</v>
      </c>
      <c r="N84" s="135" t="s">
        <v>765</v>
      </c>
      <c r="O84" s="135" t="s">
        <v>125</v>
      </c>
      <c r="P84" s="135" t="s">
        <v>766</v>
      </c>
      <c r="Q84" s="135" t="s">
        <v>767</v>
      </c>
      <c r="R84" s="146" t="str">
        <f>IF(OR(ISNUMBER(SEARCH("FAIL",K84&amp;" "&amp;O84)),ISNUMBER(SEARCH("CLEAN RETEST REQUIRED",K84&amp;" "&amp;O84))),"Failed",IF(OR(ISNUMBER(SEARCH("NOT RUN",K84&amp;" "&amp;O84)),ISNUMBER(SEARCH("NOT IMPLEMENTED",K84&amp;" "&amp;O84))),"Not started",IF(OR(ISNUMBER(SEARCH("PARTIAL",K84&amp;" "&amp;O84)),ISNUMBER(SEARCH("PENDING",K84&amp;" "&amp;O84)),ISNUMBER(SEARCH("IN PROGRESS",K84&amp;" "&amp;O84)),ISNUMBER(SEARCH("OPEN",K84&amp;" "&amp;O84)),ISNUMBER(SEARCH("RETEST REQUIRED",K84&amp;" "&amp;O84)),ISNUMBER(SEARCH("IMPLEMENTATION UPDATED",K84&amp;" "&amp;O84)),ISNUMBER(SEARCH("REQUIRED EVERY SESSION",K84&amp;" "&amp;O84))),"Pending",IF(OR(O84="PASS",ISNUMBER(SEARCH("PASS",K84&amp;" "&amp;O84))),"Done","Pending"))))</f>
        <v>Done</v>
      </c>
      <c r="S84" s="146" t="str">
        <f>IF(OR(LEFT(A84,9)="OPERATOR-",LEFT(A84,8)="PAYMENT-",LEFT(A84,7)="DEPLOY-"),"External","Core")</f>
        <v>Core</v>
      </c>
    </row>
    <row r="85" customFormat="false" ht="15" hidden="false" customHeight="false" outlineLevel="0" collapsed="false">
      <c r="A85" s="138" t="s">
        <v>768</v>
      </c>
      <c r="B85" s="138" t="s">
        <v>738</v>
      </c>
      <c r="C85" s="257" t="s">
        <v>58</v>
      </c>
      <c r="D85" s="138" t="s">
        <v>769</v>
      </c>
      <c r="E85" s="138" t="s">
        <v>770</v>
      </c>
      <c r="F85" s="138" t="s">
        <v>771</v>
      </c>
      <c r="G85" s="138" t="s">
        <v>772</v>
      </c>
      <c r="H85" s="138" t="s">
        <v>4</v>
      </c>
      <c r="I85" s="138" t="s">
        <v>4</v>
      </c>
      <c r="J85" s="138" t="s">
        <v>773</v>
      </c>
      <c r="K85" s="138" t="s">
        <v>132</v>
      </c>
      <c r="L85" s="138" t="s">
        <v>1</v>
      </c>
      <c r="M85" s="138" t="s">
        <v>774</v>
      </c>
      <c r="N85" s="138" t="s">
        <v>775</v>
      </c>
      <c r="O85" s="138" t="s">
        <v>1</v>
      </c>
      <c r="P85" s="138" t="s">
        <v>776</v>
      </c>
      <c r="Q85" s="138" t="s">
        <v>101</v>
      </c>
      <c r="R85" s="146" t="str">
        <f>IF(OR(ISNUMBER(SEARCH("FAIL",K85&amp;" "&amp;O85)),ISNUMBER(SEARCH("CLEAN RETEST REQUIRED",K85&amp;" "&amp;O85))),"Failed",IF(OR(ISNUMBER(SEARCH("NOT RUN",K85&amp;" "&amp;O85)),ISNUMBER(SEARCH("NOT IMPLEMENTED",K85&amp;" "&amp;O85))),"Not started",IF(OR(ISNUMBER(SEARCH("PARTIAL",K85&amp;" "&amp;O85)),ISNUMBER(SEARCH("PENDING",K85&amp;" "&amp;O85)),ISNUMBER(SEARCH("IN PROGRESS",K85&amp;" "&amp;O85)),ISNUMBER(SEARCH("OPEN",K85&amp;" "&amp;O85)),ISNUMBER(SEARCH("RETEST REQUIRED",K85&amp;" "&amp;O85)),ISNUMBER(SEARCH("IMPLEMENTATION UPDATED",K85&amp;" "&amp;O85)),ISNUMBER(SEARCH("REQUIRED EVERY SESSION",K85&amp;" "&amp;O85))),"Pending",IF(OR(O85="PASS",ISNUMBER(SEARCH("PASS",K85&amp;" "&amp;O85))),"Done","Pending"))))</f>
        <v>Not started</v>
      </c>
      <c r="S85" s="146" t="str">
        <f>IF(OR(LEFT(A85,9)="OPERATOR-",LEFT(A85,8)="PAYMENT-",LEFT(A85,7)="DEPLOY-"),"External","Core")</f>
        <v>Core</v>
      </c>
    </row>
    <row r="86" customFormat="false" ht="15" hidden="false" customHeight="false" outlineLevel="0" collapsed="false">
      <c r="A86" s="138" t="s">
        <v>777</v>
      </c>
      <c r="B86" s="138" t="s">
        <v>738</v>
      </c>
      <c r="C86" s="257" t="s">
        <v>58</v>
      </c>
      <c r="D86" s="138" t="s">
        <v>778</v>
      </c>
      <c r="E86" s="138" t="s">
        <v>779</v>
      </c>
      <c r="F86" s="138" t="s">
        <v>780</v>
      </c>
      <c r="G86" s="138" t="s">
        <v>781</v>
      </c>
      <c r="H86" s="138" t="s">
        <v>4</v>
      </c>
      <c r="I86" s="138" t="s">
        <v>782</v>
      </c>
      <c r="J86" s="138" t="s">
        <v>783</v>
      </c>
      <c r="K86" s="138" t="s">
        <v>132</v>
      </c>
      <c r="L86" s="138" t="s">
        <v>1</v>
      </c>
      <c r="M86" s="138" t="s">
        <v>784</v>
      </c>
      <c r="N86" s="138" t="s">
        <v>785</v>
      </c>
      <c r="O86" s="138" t="s">
        <v>1</v>
      </c>
      <c r="P86" s="138" t="s">
        <v>786</v>
      </c>
      <c r="Q86" s="138" t="s">
        <v>101</v>
      </c>
      <c r="R86" s="146" t="str">
        <f>IF(OR(ISNUMBER(SEARCH("FAIL",K86&amp;" "&amp;O86)),ISNUMBER(SEARCH("CLEAN RETEST REQUIRED",K86&amp;" "&amp;O86))),"Failed",IF(OR(ISNUMBER(SEARCH("NOT RUN",K86&amp;" "&amp;O86)),ISNUMBER(SEARCH("NOT IMPLEMENTED",K86&amp;" "&amp;O86))),"Not started",IF(OR(ISNUMBER(SEARCH("PARTIAL",K86&amp;" "&amp;O86)),ISNUMBER(SEARCH("PENDING",K86&amp;" "&amp;O86)),ISNUMBER(SEARCH("IN PROGRESS",K86&amp;" "&amp;O86)),ISNUMBER(SEARCH("OPEN",K86&amp;" "&amp;O86)),ISNUMBER(SEARCH("RETEST REQUIRED",K86&amp;" "&amp;O86)),ISNUMBER(SEARCH("IMPLEMENTATION UPDATED",K86&amp;" "&amp;O86)),ISNUMBER(SEARCH("REQUIRED EVERY SESSION",K86&amp;" "&amp;O86))),"Pending",IF(OR(O86="PASS",ISNUMBER(SEARCH("PASS",K86&amp;" "&amp;O86))),"Done","Pending"))))</f>
        <v>Not started</v>
      </c>
      <c r="S86" s="146" t="str">
        <f>IF(OR(LEFT(A86,9)="OPERATOR-",LEFT(A86,8)="PAYMENT-",LEFT(A86,7)="DEPLOY-"),"External","Core")</f>
        <v>Core</v>
      </c>
    </row>
    <row r="87" customFormat="false" ht="15" hidden="false" customHeight="false" outlineLevel="0" collapsed="false">
      <c r="A87" s="138" t="s">
        <v>787</v>
      </c>
      <c r="B87" s="138" t="s">
        <v>738</v>
      </c>
      <c r="C87" s="257" t="s">
        <v>58</v>
      </c>
      <c r="D87" s="138" t="s">
        <v>788</v>
      </c>
      <c r="E87" s="138" t="s">
        <v>789</v>
      </c>
      <c r="F87" s="138" t="s">
        <v>4</v>
      </c>
      <c r="G87" s="138" t="s">
        <v>790</v>
      </c>
      <c r="H87" s="138" t="s">
        <v>4</v>
      </c>
      <c r="I87" s="138" t="s">
        <v>4</v>
      </c>
      <c r="J87" s="138" t="s">
        <v>791</v>
      </c>
      <c r="K87" s="138" t="s">
        <v>132</v>
      </c>
      <c r="L87" s="138" t="s">
        <v>1</v>
      </c>
      <c r="M87" s="138" t="s">
        <v>792</v>
      </c>
      <c r="N87" s="138" t="s">
        <v>793</v>
      </c>
      <c r="O87" s="138" t="s">
        <v>1</v>
      </c>
      <c r="P87" s="138" t="s">
        <v>794</v>
      </c>
      <c r="Q87" s="138" t="s">
        <v>101</v>
      </c>
      <c r="R87" s="146" t="str">
        <f>IF(OR(ISNUMBER(SEARCH("FAIL",K87&amp;" "&amp;O87)),ISNUMBER(SEARCH("CLEAN RETEST REQUIRED",K87&amp;" "&amp;O87))),"Failed",IF(OR(ISNUMBER(SEARCH("NOT RUN",K87&amp;" "&amp;O87)),ISNUMBER(SEARCH("NOT IMPLEMENTED",K87&amp;" "&amp;O87))),"Not started",IF(OR(ISNUMBER(SEARCH("PARTIAL",K87&amp;" "&amp;O87)),ISNUMBER(SEARCH("PENDING",K87&amp;" "&amp;O87)),ISNUMBER(SEARCH("IN PROGRESS",K87&amp;" "&amp;O87)),ISNUMBER(SEARCH("OPEN",K87&amp;" "&amp;O87)),ISNUMBER(SEARCH("RETEST REQUIRED",K87&amp;" "&amp;O87)),ISNUMBER(SEARCH("IMPLEMENTATION UPDATED",K87&amp;" "&amp;O87)),ISNUMBER(SEARCH("REQUIRED EVERY SESSION",K87&amp;" "&amp;O87))),"Pending",IF(OR(O87="PASS",ISNUMBER(SEARCH("PASS",K87&amp;" "&amp;O87))),"Done","Pending"))))</f>
        <v>Not started</v>
      </c>
      <c r="S87" s="146" t="str">
        <f>IF(OR(LEFT(A87,9)="OPERATOR-",LEFT(A87,8)="PAYMENT-",LEFT(A87,7)="DEPLOY-"),"External","Core")</f>
        <v>Core</v>
      </c>
    </row>
    <row r="88" customFormat="false" ht="15" hidden="false" customHeight="false" outlineLevel="0" collapsed="false">
      <c r="A88" s="135" t="s">
        <v>795</v>
      </c>
      <c r="B88" s="135" t="s">
        <v>228</v>
      </c>
      <c r="C88" s="258" t="s">
        <v>63</v>
      </c>
      <c r="D88" s="135" t="s">
        <v>796</v>
      </c>
      <c r="E88" s="135" t="s">
        <v>797</v>
      </c>
      <c r="F88" s="135" t="s">
        <v>798</v>
      </c>
      <c r="G88" s="135" t="s">
        <v>799</v>
      </c>
      <c r="H88" s="135" t="s">
        <v>4</v>
      </c>
      <c r="I88" s="135" t="s">
        <v>800</v>
      </c>
      <c r="J88" s="135" t="s">
        <v>801</v>
      </c>
      <c r="K88" s="135" t="s">
        <v>802</v>
      </c>
      <c r="L88" s="135" t="s">
        <v>469</v>
      </c>
      <c r="M88" s="135" t="s">
        <v>803</v>
      </c>
      <c r="N88" s="135" t="s">
        <v>804</v>
      </c>
      <c r="O88" s="135" t="s">
        <v>125</v>
      </c>
      <c r="P88" s="135" t="s">
        <v>805</v>
      </c>
      <c r="Q88" s="135" t="s">
        <v>101</v>
      </c>
      <c r="R88" s="146" t="str">
        <f>IF(OR(ISNUMBER(SEARCH("FAIL",K88&amp;" "&amp;O88)),ISNUMBER(SEARCH("CLEAN RETEST REQUIRED",K88&amp;" "&amp;O88))),"Failed",IF(OR(ISNUMBER(SEARCH("NOT RUN",K88&amp;" "&amp;O88)),ISNUMBER(SEARCH("NOT IMPLEMENTED",K88&amp;" "&amp;O88))),"Not started",IF(OR(ISNUMBER(SEARCH("PARTIAL",K88&amp;" "&amp;O88)),ISNUMBER(SEARCH("PENDING",K88&amp;" "&amp;O88)),ISNUMBER(SEARCH("IN PROGRESS",K88&amp;" "&amp;O88)),ISNUMBER(SEARCH("OPEN",K88&amp;" "&amp;O88)),ISNUMBER(SEARCH("RETEST REQUIRED",K88&amp;" "&amp;O88)),ISNUMBER(SEARCH("IMPLEMENTATION UPDATED",K88&amp;" "&amp;O88)),ISNUMBER(SEARCH("REQUIRED EVERY SESSION",K88&amp;" "&amp;O88))),"Pending",IF(OR(O88="PASS",ISNUMBER(SEARCH("PASS",K88&amp;" "&amp;O88))),"Done","Pending"))))</f>
        <v>Done</v>
      </c>
      <c r="S88" s="146" t="str">
        <f>IF(OR(LEFT(A88,9)="OPERATOR-",LEFT(A88,8)="PAYMENT-",LEFT(A88,7)="DEPLOY-"),"External","Core")</f>
        <v>Core</v>
      </c>
    </row>
    <row r="89" customFormat="false" ht="15" hidden="false" customHeight="false" outlineLevel="0" collapsed="false">
      <c r="A89" s="138" t="s">
        <v>806</v>
      </c>
      <c r="B89" s="138" t="s">
        <v>807</v>
      </c>
      <c r="C89" s="258" t="s">
        <v>63</v>
      </c>
      <c r="D89" s="138" t="s">
        <v>808</v>
      </c>
      <c r="E89" s="138" t="s">
        <v>809</v>
      </c>
      <c r="F89" s="138" t="s">
        <v>4</v>
      </c>
      <c r="G89" s="138" t="s">
        <v>810</v>
      </c>
      <c r="H89" s="138" t="s">
        <v>4</v>
      </c>
      <c r="I89" s="138" t="s">
        <v>4</v>
      </c>
      <c r="J89" s="138" t="s">
        <v>811</v>
      </c>
      <c r="K89" s="138" t="s">
        <v>132</v>
      </c>
      <c r="L89" s="138" t="s">
        <v>1</v>
      </c>
      <c r="M89" s="138" t="s">
        <v>812</v>
      </c>
      <c r="N89" s="138" t="s">
        <v>813</v>
      </c>
      <c r="O89" s="138" t="s">
        <v>1</v>
      </c>
      <c r="P89" s="138" t="s">
        <v>814</v>
      </c>
      <c r="Q89" s="138" t="s">
        <v>295</v>
      </c>
      <c r="R89" s="146" t="str">
        <f>IF(OR(ISNUMBER(SEARCH("FAIL",K89&amp;" "&amp;O89)),ISNUMBER(SEARCH("CLEAN RETEST REQUIRED",K89&amp;" "&amp;O89))),"Failed",IF(OR(ISNUMBER(SEARCH("NOT RUN",K89&amp;" "&amp;O89)),ISNUMBER(SEARCH("NOT IMPLEMENTED",K89&amp;" "&amp;O89))),"Not started",IF(OR(ISNUMBER(SEARCH("PARTIAL",K89&amp;" "&amp;O89)),ISNUMBER(SEARCH("PENDING",K89&amp;" "&amp;O89)),ISNUMBER(SEARCH("IN PROGRESS",K89&amp;" "&amp;O89)),ISNUMBER(SEARCH("OPEN",K89&amp;" "&amp;O89)),ISNUMBER(SEARCH("RETEST REQUIRED",K89&amp;" "&amp;O89)),ISNUMBER(SEARCH("IMPLEMENTATION UPDATED",K89&amp;" "&amp;O89)),ISNUMBER(SEARCH("REQUIRED EVERY SESSION",K89&amp;" "&amp;O89))),"Pending",IF(OR(O89="PASS",ISNUMBER(SEARCH("PASS",K89&amp;" "&amp;O89))),"Done","Pending"))))</f>
        <v>Not started</v>
      </c>
      <c r="S89" s="146" t="str">
        <f>IF(OR(LEFT(A89,9)="OPERATOR-",LEFT(A89,8)="PAYMENT-",LEFT(A89,7)="DEPLOY-"),"External","Core")</f>
        <v>Core</v>
      </c>
    </row>
    <row r="90" customFormat="false" ht="15" hidden="false" customHeight="false" outlineLevel="0" collapsed="false">
      <c r="A90" s="138" t="s">
        <v>815</v>
      </c>
      <c r="B90" s="138" t="s">
        <v>807</v>
      </c>
      <c r="C90" s="258" t="s">
        <v>63</v>
      </c>
      <c r="D90" s="138" t="s">
        <v>816</v>
      </c>
      <c r="E90" s="138" t="s">
        <v>817</v>
      </c>
      <c r="F90" s="138" t="s">
        <v>4</v>
      </c>
      <c r="G90" s="138" t="s">
        <v>818</v>
      </c>
      <c r="H90" s="138" t="s">
        <v>4</v>
      </c>
      <c r="I90" s="138" t="s">
        <v>4</v>
      </c>
      <c r="J90" s="138" t="s">
        <v>819</v>
      </c>
      <c r="K90" s="138" t="s">
        <v>132</v>
      </c>
      <c r="L90" s="138" t="s">
        <v>1</v>
      </c>
      <c r="M90" s="138" t="s">
        <v>820</v>
      </c>
      <c r="N90" s="138" t="s">
        <v>821</v>
      </c>
      <c r="O90" s="138" t="s">
        <v>1</v>
      </c>
      <c r="P90" s="138" t="s">
        <v>822</v>
      </c>
      <c r="Q90" s="138" t="s">
        <v>372</v>
      </c>
      <c r="R90" s="146" t="str">
        <f>IF(OR(ISNUMBER(SEARCH("FAIL",K90&amp;" "&amp;O90)),ISNUMBER(SEARCH("CLEAN RETEST REQUIRED",K90&amp;" "&amp;O90))),"Failed",IF(OR(ISNUMBER(SEARCH("NOT RUN",K90&amp;" "&amp;O90)),ISNUMBER(SEARCH("NOT IMPLEMENTED",K90&amp;" "&amp;O90))),"Not started",IF(OR(ISNUMBER(SEARCH("PARTIAL",K90&amp;" "&amp;O90)),ISNUMBER(SEARCH("PENDING",K90&amp;" "&amp;O90)),ISNUMBER(SEARCH("IN PROGRESS",K90&amp;" "&amp;O90)),ISNUMBER(SEARCH("OPEN",K90&amp;" "&amp;O90)),ISNUMBER(SEARCH("RETEST REQUIRED",K90&amp;" "&amp;O90)),ISNUMBER(SEARCH("IMPLEMENTATION UPDATED",K90&amp;" "&amp;O90)),ISNUMBER(SEARCH("REQUIRED EVERY SESSION",K90&amp;" "&amp;O90))),"Pending",IF(OR(O90="PASS",ISNUMBER(SEARCH("PASS",K90&amp;" "&amp;O90))),"Done","Pending"))))</f>
        <v>Not started</v>
      </c>
      <c r="S90" s="146" t="str">
        <f>IF(OR(LEFT(A90,9)="OPERATOR-",LEFT(A90,8)="PAYMENT-",LEFT(A90,7)="DEPLOY-"),"External","Core")</f>
        <v>Core</v>
      </c>
    </row>
    <row r="91" customFormat="false" ht="15" hidden="false" customHeight="false" outlineLevel="0" collapsed="false">
      <c r="A91" s="138" t="s">
        <v>823</v>
      </c>
      <c r="B91" s="138" t="s">
        <v>807</v>
      </c>
      <c r="C91" s="258" t="s">
        <v>63</v>
      </c>
      <c r="D91" s="138" t="s">
        <v>824</v>
      </c>
      <c r="E91" s="138" t="s">
        <v>825</v>
      </c>
      <c r="F91" s="138" t="s">
        <v>826</v>
      </c>
      <c r="G91" s="138" t="s">
        <v>827</v>
      </c>
      <c r="H91" s="138" t="s">
        <v>4</v>
      </c>
      <c r="I91" s="138" t="s">
        <v>4</v>
      </c>
      <c r="J91" s="138" t="s">
        <v>828</v>
      </c>
      <c r="K91" s="138" t="s">
        <v>132</v>
      </c>
      <c r="L91" s="138" t="s">
        <v>1</v>
      </c>
      <c r="M91" s="138" t="s">
        <v>829</v>
      </c>
      <c r="N91" s="138" t="s">
        <v>830</v>
      </c>
      <c r="O91" s="138" t="s">
        <v>1</v>
      </c>
      <c r="P91" s="138" t="s">
        <v>831</v>
      </c>
      <c r="Q91" s="138" t="s">
        <v>101</v>
      </c>
      <c r="R91" s="146" t="str">
        <f>IF(OR(ISNUMBER(SEARCH("FAIL",K91&amp;" "&amp;O91)),ISNUMBER(SEARCH("CLEAN RETEST REQUIRED",K91&amp;" "&amp;O91))),"Failed",IF(OR(ISNUMBER(SEARCH("NOT RUN",K91&amp;" "&amp;O91)),ISNUMBER(SEARCH("NOT IMPLEMENTED",K91&amp;" "&amp;O91))),"Not started",IF(OR(ISNUMBER(SEARCH("PARTIAL",K91&amp;" "&amp;O91)),ISNUMBER(SEARCH("PENDING",K91&amp;" "&amp;O91)),ISNUMBER(SEARCH("IN PROGRESS",K91&amp;" "&amp;O91)),ISNUMBER(SEARCH("OPEN",K91&amp;" "&amp;O91)),ISNUMBER(SEARCH("RETEST REQUIRED",K91&amp;" "&amp;O91)),ISNUMBER(SEARCH("IMPLEMENTATION UPDATED",K91&amp;" "&amp;O91)),ISNUMBER(SEARCH("REQUIRED EVERY SESSION",K91&amp;" "&amp;O91))),"Pending",IF(OR(O91="PASS",ISNUMBER(SEARCH("PASS",K91&amp;" "&amp;O91))),"Done","Pending"))))</f>
        <v>Not started</v>
      </c>
      <c r="S91" s="146" t="str">
        <f>IF(OR(LEFT(A91,9)="OPERATOR-",LEFT(A91,8)="PAYMENT-",LEFT(A91,7)="DEPLOY-"),"External","Core")</f>
        <v>Core</v>
      </c>
    </row>
    <row r="92" customFormat="false" ht="15" hidden="false" customHeight="false" outlineLevel="0" collapsed="false">
      <c r="A92" s="138" t="s">
        <v>832</v>
      </c>
      <c r="B92" s="138" t="s">
        <v>807</v>
      </c>
      <c r="C92" s="258" t="s">
        <v>63</v>
      </c>
      <c r="D92" s="138" t="s">
        <v>833</v>
      </c>
      <c r="E92" s="138" t="s">
        <v>834</v>
      </c>
      <c r="F92" s="138" t="s">
        <v>835</v>
      </c>
      <c r="G92" s="138" t="s">
        <v>836</v>
      </c>
      <c r="H92" s="138" t="s">
        <v>4</v>
      </c>
      <c r="I92" s="138" t="s">
        <v>4</v>
      </c>
      <c r="J92" s="138" t="s">
        <v>837</v>
      </c>
      <c r="K92" s="138" t="s">
        <v>132</v>
      </c>
      <c r="L92" s="138" t="s">
        <v>1</v>
      </c>
      <c r="M92" s="138" t="s">
        <v>838</v>
      </c>
      <c r="N92" s="138" t="s">
        <v>839</v>
      </c>
      <c r="O92" s="138" t="s">
        <v>1</v>
      </c>
      <c r="P92" s="138" t="s">
        <v>840</v>
      </c>
      <c r="Q92" s="138" t="s">
        <v>101</v>
      </c>
      <c r="R92" s="146" t="str">
        <f>IF(OR(ISNUMBER(SEARCH("FAIL",K92&amp;" "&amp;O92)),ISNUMBER(SEARCH("CLEAN RETEST REQUIRED",K92&amp;" "&amp;O92))),"Failed",IF(OR(ISNUMBER(SEARCH("NOT RUN",K92&amp;" "&amp;O92)),ISNUMBER(SEARCH("NOT IMPLEMENTED",K92&amp;" "&amp;O92))),"Not started",IF(OR(ISNUMBER(SEARCH("PARTIAL",K92&amp;" "&amp;O92)),ISNUMBER(SEARCH("PENDING",K92&amp;" "&amp;O92)),ISNUMBER(SEARCH("IN PROGRESS",K92&amp;" "&amp;O92)),ISNUMBER(SEARCH("OPEN",K92&amp;" "&amp;O92)),ISNUMBER(SEARCH("RETEST REQUIRED",K92&amp;" "&amp;O92)),ISNUMBER(SEARCH("IMPLEMENTATION UPDATED",K92&amp;" "&amp;O92)),ISNUMBER(SEARCH("REQUIRED EVERY SESSION",K92&amp;" "&amp;O92))),"Pending",IF(OR(O92="PASS",ISNUMBER(SEARCH("PASS",K92&amp;" "&amp;O92))),"Done","Pending"))))</f>
        <v>Not started</v>
      </c>
      <c r="S92" s="146" t="str">
        <f>IF(OR(LEFT(A92,9)="OPERATOR-",LEFT(A92,8)="PAYMENT-",LEFT(A92,7)="DEPLOY-"),"External","Core")</f>
        <v>Core</v>
      </c>
    </row>
    <row r="93" customFormat="false" ht="15" hidden="false" customHeight="false" outlineLevel="0" collapsed="false">
      <c r="A93" s="138" t="s">
        <v>841</v>
      </c>
      <c r="B93" s="138" t="s">
        <v>807</v>
      </c>
      <c r="C93" s="258" t="s">
        <v>63</v>
      </c>
      <c r="D93" s="138" t="s">
        <v>842</v>
      </c>
      <c r="E93" s="138" t="s">
        <v>843</v>
      </c>
      <c r="F93" s="138" t="s">
        <v>4</v>
      </c>
      <c r="G93" s="138" t="s">
        <v>844</v>
      </c>
      <c r="H93" s="138" t="s">
        <v>4</v>
      </c>
      <c r="I93" s="138" t="s">
        <v>4</v>
      </c>
      <c r="J93" s="138" t="s">
        <v>845</v>
      </c>
      <c r="K93" s="138" t="s">
        <v>132</v>
      </c>
      <c r="L93" s="138" t="s">
        <v>1</v>
      </c>
      <c r="M93" s="138" t="s">
        <v>846</v>
      </c>
      <c r="N93" s="138" t="s">
        <v>847</v>
      </c>
      <c r="O93" s="138" t="s">
        <v>1</v>
      </c>
      <c r="P93" s="138" t="s">
        <v>848</v>
      </c>
      <c r="Q93" s="138" t="s">
        <v>101</v>
      </c>
      <c r="R93" s="146" t="str">
        <f>IF(OR(ISNUMBER(SEARCH("FAIL",K93&amp;" "&amp;O93)),ISNUMBER(SEARCH("CLEAN RETEST REQUIRED",K93&amp;" "&amp;O93))),"Failed",IF(OR(ISNUMBER(SEARCH("NOT RUN",K93&amp;" "&amp;O93)),ISNUMBER(SEARCH("NOT IMPLEMENTED",K93&amp;" "&amp;O93))),"Not started",IF(OR(ISNUMBER(SEARCH("PARTIAL",K93&amp;" "&amp;O93)),ISNUMBER(SEARCH("PENDING",K93&amp;" "&amp;O93)),ISNUMBER(SEARCH("IN PROGRESS",K93&amp;" "&amp;O93)),ISNUMBER(SEARCH("OPEN",K93&amp;" "&amp;O93)),ISNUMBER(SEARCH("RETEST REQUIRED",K93&amp;" "&amp;O93)),ISNUMBER(SEARCH("IMPLEMENTATION UPDATED",K93&amp;" "&amp;O93)),ISNUMBER(SEARCH("REQUIRED EVERY SESSION",K93&amp;" "&amp;O93))),"Pending",IF(OR(O93="PASS",ISNUMBER(SEARCH("PASS",K93&amp;" "&amp;O93))),"Done","Pending"))))</f>
        <v>Not started</v>
      </c>
      <c r="S93" s="146" t="str">
        <f>IF(OR(LEFT(A93,9)="OPERATOR-",LEFT(A93,8)="PAYMENT-",LEFT(A93,7)="DEPLOY-"),"External","Core")</f>
        <v>Core</v>
      </c>
    </row>
    <row r="94" customFormat="false" ht="15" hidden="false" customHeight="false" outlineLevel="0" collapsed="false">
      <c r="A94" s="138" t="s">
        <v>849</v>
      </c>
      <c r="B94" s="138" t="s">
        <v>807</v>
      </c>
      <c r="C94" s="258" t="s">
        <v>63</v>
      </c>
      <c r="D94" s="138" t="s">
        <v>850</v>
      </c>
      <c r="E94" s="138" t="s">
        <v>851</v>
      </c>
      <c r="F94" s="138" t="s">
        <v>852</v>
      </c>
      <c r="G94" s="138" t="s">
        <v>853</v>
      </c>
      <c r="H94" s="138" t="s">
        <v>4</v>
      </c>
      <c r="I94" s="138" t="s">
        <v>4</v>
      </c>
      <c r="J94" s="138" t="s">
        <v>854</v>
      </c>
      <c r="K94" s="138" t="s">
        <v>132</v>
      </c>
      <c r="L94" s="138" t="s">
        <v>1</v>
      </c>
      <c r="M94" s="138" t="s">
        <v>855</v>
      </c>
      <c r="N94" s="138" t="s">
        <v>856</v>
      </c>
      <c r="O94" s="138" t="s">
        <v>1</v>
      </c>
      <c r="P94" s="138" t="s">
        <v>857</v>
      </c>
      <c r="Q94" s="138" t="s">
        <v>127</v>
      </c>
      <c r="R94" s="146" t="str">
        <f>IF(OR(ISNUMBER(SEARCH("FAIL",K94&amp;" "&amp;O94)),ISNUMBER(SEARCH("CLEAN RETEST REQUIRED",K94&amp;" "&amp;O94))),"Failed",IF(OR(ISNUMBER(SEARCH("NOT RUN",K94&amp;" "&amp;O94)),ISNUMBER(SEARCH("NOT IMPLEMENTED",K94&amp;" "&amp;O94))),"Not started",IF(OR(ISNUMBER(SEARCH("PARTIAL",K94&amp;" "&amp;O94)),ISNUMBER(SEARCH("PENDING",K94&amp;" "&amp;O94)),ISNUMBER(SEARCH("IN PROGRESS",K94&amp;" "&amp;O94)),ISNUMBER(SEARCH("OPEN",K94&amp;" "&amp;O94)),ISNUMBER(SEARCH("RETEST REQUIRED",K94&amp;" "&amp;O94)),ISNUMBER(SEARCH("IMPLEMENTATION UPDATED",K94&amp;" "&amp;O94)),ISNUMBER(SEARCH("REQUIRED EVERY SESSION",K94&amp;" "&amp;O94))),"Pending",IF(OR(O94="PASS",ISNUMBER(SEARCH("PASS",K94&amp;" "&amp;O94))),"Done","Pending"))))</f>
        <v>Not started</v>
      </c>
      <c r="S94" s="146" t="str">
        <f>IF(OR(LEFT(A94,9)="OPERATOR-",LEFT(A94,8)="PAYMENT-",LEFT(A94,7)="DEPLOY-"),"External","Core")</f>
        <v>Core</v>
      </c>
    </row>
    <row r="95" customFormat="false" ht="15" hidden="false" customHeight="false" outlineLevel="0" collapsed="false">
      <c r="A95" s="138" t="s">
        <v>858</v>
      </c>
      <c r="B95" s="138" t="s">
        <v>807</v>
      </c>
      <c r="C95" s="258" t="s">
        <v>63</v>
      </c>
      <c r="D95" s="138" t="s">
        <v>859</v>
      </c>
      <c r="E95" s="138" t="s">
        <v>860</v>
      </c>
      <c r="F95" s="138" t="s">
        <v>4</v>
      </c>
      <c r="G95" s="138" t="s">
        <v>861</v>
      </c>
      <c r="H95" s="138" t="s">
        <v>4</v>
      </c>
      <c r="I95" s="138" t="s">
        <v>4</v>
      </c>
      <c r="J95" s="138" t="s">
        <v>862</v>
      </c>
      <c r="K95" s="138" t="s">
        <v>132</v>
      </c>
      <c r="L95" s="138" t="s">
        <v>1</v>
      </c>
      <c r="M95" s="138" t="s">
        <v>863</v>
      </c>
      <c r="N95" s="138" t="s">
        <v>864</v>
      </c>
      <c r="O95" s="138" t="s">
        <v>1</v>
      </c>
      <c r="P95" s="138" t="s">
        <v>865</v>
      </c>
      <c r="Q95" s="138" t="s">
        <v>866</v>
      </c>
      <c r="R95" s="146" t="str">
        <f>IF(OR(ISNUMBER(SEARCH("FAIL",K95&amp;" "&amp;O95)),ISNUMBER(SEARCH("CLEAN RETEST REQUIRED",K95&amp;" "&amp;O95))),"Failed",IF(OR(ISNUMBER(SEARCH("NOT RUN",K95&amp;" "&amp;O95)),ISNUMBER(SEARCH("NOT IMPLEMENTED",K95&amp;" "&amp;O95))),"Not started",IF(OR(ISNUMBER(SEARCH("PARTIAL",K95&amp;" "&amp;O95)),ISNUMBER(SEARCH("PENDING",K95&amp;" "&amp;O95)),ISNUMBER(SEARCH("IN PROGRESS",K95&amp;" "&amp;O95)),ISNUMBER(SEARCH("OPEN",K95&amp;" "&amp;O95)),ISNUMBER(SEARCH("RETEST REQUIRED",K95&amp;" "&amp;O95)),ISNUMBER(SEARCH("IMPLEMENTATION UPDATED",K95&amp;" "&amp;O95)),ISNUMBER(SEARCH("REQUIRED EVERY SESSION",K95&amp;" "&amp;O95))),"Pending",IF(OR(O95="PASS",ISNUMBER(SEARCH("PASS",K95&amp;" "&amp;O95))),"Done","Pending"))))</f>
        <v>Not started</v>
      </c>
      <c r="S95" s="146" t="str">
        <f>IF(OR(LEFT(A95,9)="OPERATOR-",LEFT(A95,8)="PAYMENT-",LEFT(A95,7)="DEPLOY-"),"External","Core")</f>
        <v>Core</v>
      </c>
    </row>
    <row r="96" customFormat="false" ht="15" hidden="false" customHeight="false" outlineLevel="0" collapsed="false">
      <c r="A96" s="138" t="s">
        <v>867</v>
      </c>
      <c r="B96" s="138" t="s">
        <v>807</v>
      </c>
      <c r="C96" s="258" t="s">
        <v>63</v>
      </c>
      <c r="D96" s="138" t="s">
        <v>868</v>
      </c>
      <c r="E96" s="138" t="s">
        <v>869</v>
      </c>
      <c r="F96" s="138" t="s">
        <v>870</v>
      </c>
      <c r="G96" s="138" t="s">
        <v>871</v>
      </c>
      <c r="H96" s="138" t="s">
        <v>4</v>
      </c>
      <c r="I96" s="138" t="s">
        <v>4</v>
      </c>
      <c r="J96" s="138" t="s">
        <v>872</v>
      </c>
      <c r="K96" s="138" t="s">
        <v>132</v>
      </c>
      <c r="L96" s="138" t="s">
        <v>1</v>
      </c>
      <c r="M96" s="138" t="s">
        <v>873</v>
      </c>
      <c r="N96" s="138" t="s">
        <v>874</v>
      </c>
      <c r="O96" s="138" t="s">
        <v>1</v>
      </c>
      <c r="P96" s="138" t="s">
        <v>875</v>
      </c>
      <c r="Q96" s="138" t="s">
        <v>767</v>
      </c>
      <c r="R96" s="146" t="str">
        <f>IF(OR(ISNUMBER(SEARCH("FAIL",K96&amp;" "&amp;O96)),ISNUMBER(SEARCH("CLEAN RETEST REQUIRED",K96&amp;" "&amp;O96))),"Failed",IF(OR(ISNUMBER(SEARCH("NOT RUN",K96&amp;" "&amp;O96)),ISNUMBER(SEARCH("NOT IMPLEMENTED",K96&amp;" "&amp;O96))),"Not started",IF(OR(ISNUMBER(SEARCH("PARTIAL",K96&amp;" "&amp;O96)),ISNUMBER(SEARCH("PENDING",K96&amp;" "&amp;O96)),ISNUMBER(SEARCH("IN PROGRESS",K96&amp;" "&amp;O96)),ISNUMBER(SEARCH("OPEN",K96&amp;" "&amp;O96)),ISNUMBER(SEARCH("RETEST REQUIRED",K96&amp;" "&amp;O96)),ISNUMBER(SEARCH("IMPLEMENTATION UPDATED",K96&amp;" "&amp;O96)),ISNUMBER(SEARCH("REQUIRED EVERY SESSION",K96&amp;" "&amp;O96))),"Pending",IF(OR(O96="PASS",ISNUMBER(SEARCH("PASS",K96&amp;" "&amp;O96))),"Done","Pending"))))</f>
        <v>Not started</v>
      </c>
      <c r="S96" s="146" t="str">
        <f>IF(OR(LEFT(A96,9)="OPERATOR-",LEFT(A96,8)="PAYMENT-",LEFT(A96,7)="DEPLOY-"),"External","Core")</f>
        <v>Core</v>
      </c>
    </row>
    <row r="97" customFormat="false" ht="15" hidden="false" customHeight="false" outlineLevel="0" collapsed="false">
      <c r="A97" s="138" t="s">
        <v>876</v>
      </c>
      <c r="B97" s="138" t="s">
        <v>807</v>
      </c>
      <c r="C97" s="258" t="s">
        <v>63</v>
      </c>
      <c r="D97" s="138" t="s">
        <v>877</v>
      </c>
      <c r="E97" s="138" t="s">
        <v>878</v>
      </c>
      <c r="F97" s="138" t="s">
        <v>4</v>
      </c>
      <c r="G97" s="138" t="s">
        <v>879</v>
      </c>
      <c r="H97" s="138" t="s">
        <v>4</v>
      </c>
      <c r="I97" s="138" t="s">
        <v>4</v>
      </c>
      <c r="J97" s="138" t="s">
        <v>880</v>
      </c>
      <c r="K97" s="138" t="s">
        <v>132</v>
      </c>
      <c r="L97" s="138" t="s">
        <v>1</v>
      </c>
      <c r="M97" s="138" t="s">
        <v>881</v>
      </c>
      <c r="N97" s="138" t="s">
        <v>882</v>
      </c>
      <c r="O97" s="138" t="s">
        <v>1</v>
      </c>
      <c r="P97" s="138" t="s">
        <v>883</v>
      </c>
      <c r="Q97" s="138" t="s">
        <v>372</v>
      </c>
      <c r="R97" s="146" t="str">
        <f>IF(OR(ISNUMBER(SEARCH("FAIL",K97&amp;" "&amp;O97)),ISNUMBER(SEARCH("CLEAN RETEST REQUIRED",K97&amp;" "&amp;O97))),"Failed",IF(OR(ISNUMBER(SEARCH("NOT RUN",K97&amp;" "&amp;O97)),ISNUMBER(SEARCH("NOT IMPLEMENTED",K97&amp;" "&amp;O97))),"Not started",IF(OR(ISNUMBER(SEARCH("PARTIAL",K97&amp;" "&amp;O97)),ISNUMBER(SEARCH("PENDING",K97&amp;" "&amp;O97)),ISNUMBER(SEARCH("IN PROGRESS",K97&amp;" "&amp;O97)),ISNUMBER(SEARCH("OPEN",K97&amp;" "&amp;O97)),ISNUMBER(SEARCH("RETEST REQUIRED",K97&amp;" "&amp;O97)),ISNUMBER(SEARCH("IMPLEMENTATION UPDATED",K97&amp;" "&amp;O97)),ISNUMBER(SEARCH("REQUIRED EVERY SESSION",K97&amp;" "&amp;O97))),"Pending",IF(OR(O97="PASS",ISNUMBER(SEARCH("PASS",K97&amp;" "&amp;O97))),"Done","Pending"))))</f>
        <v>Not started</v>
      </c>
      <c r="S97" s="146" t="str">
        <f>IF(OR(LEFT(A97,9)="OPERATOR-",LEFT(A97,8)="PAYMENT-",LEFT(A97,7)="DEPLOY-"),"External","Core")</f>
        <v>Core</v>
      </c>
    </row>
    <row r="98" customFormat="false" ht="15" hidden="false" customHeight="false" outlineLevel="0" collapsed="false">
      <c r="A98" s="138" t="s">
        <v>884</v>
      </c>
      <c r="B98" s="138" t="s">
        <v>807</v>
      </c>
      <c r="C98" s="258" t="s">
        <v>63</v>
      </c>
      <c r="D98" s="138" t="s">
        <v>885</v>
      </c>
      <c r="E98" s="138" t="s">
        <v>886</v>
      </c>
      <c r="F98" s="138" t="s">
        <v>4</v>
      </c>
      <c r="G98" s="138" t="s">
        <v>887</v>
      </c>
      <c r="H98" s="138" t="s">
        <v>4</v>
      </c>
      <c r="I98" s="138" t="s">
        <v>4</v>
      </c>
      <c r="J98" s="138" t="s">
        <v>888</v>
      </c>
      <c r="K98" s="138" t="s">
        <v>132</v>
      </c>
      <c r="L98" s="138" t="s">
        <v>1</v>
      </c>
      <c r="M98" s="138" t="s">
        <v>889</v>
      </c>
      <c r="N98" s="138" t="s">
        <v>890</v>
      </c>
      <c r="O98" s="138" t="s">
        <v>1</v>
      </c>
      <c r="P98" s="138" t="s">
        <v>891</v>
      </c>
      <c r="Q98" s="138" t="s">
        <v>372</v>
      </c>
      <c r="R98" s="146" t="str">
        <f>IF(OR(ISNUMBER(SEARCH("FAIL",K98&amp;" "&amp;O98)),ISNUMBER(SEARCH("CLEAN RETEST REQUIRED",K98&amp;" "&amp;O98))),"Failed",IF(OR(ISNUMBER(SEARCH("NOT RUN",K98&amp;" "&amp;O98)),ISNUMBER(SEARCH("NOT IMPLEMENTED",K98&amp;" "&amp;O98))),"Not started",IF(OR(ISNUMBER(SEARCH("PARTIAL",K98&amp;" "&amp;O98)),ISNUMBER(SEARCH("PENDING",K98&amp;" "&amp;O98)),ISNUMBER(SEARCH("IN PROGRESS",K98&amp;" "&amp;O98)),ISNUMBER(SEARCH("OPEN",K98&amp;" "&amp;O98)),ISNUMBER(SEARCH("RETEST REQUIRED",K98&amp;" "&amp;O98)),ISNUMBER(SEARCH("IMPLEMENTATION UPDATED",K98&amp;" "&amp;O98)),ISNUMBER(SEARCH("REQUIRED EVERY SESSION",K98&amp;" "&amp;O98))),"Pending",IF(OR(O98="PASS",ISNUMBER(SEARCH("PASS",K98&amp;" "&amp;O98))),"Done","Pending"))))</f>
        <v>Not started</v>
      </c>
      <c r="S98" s="146" t="str">
        <f>IF(OR(LEFT(A98,9)="OPERATOR-",LEFT(A98,8)="PAYMENT-",LEFT(A98,7)="DEPLOY-"),"External","Core")</f>
        <v>Core</v>
      </c>
    </row>
    <row r="99" customFormat="false" ht="15" hidden="false" customHeight="false" outlineLevel="0" collapsed="false">
      <c r="A99" s="138" t="s">
        <v>892</v>
      </c>
      <c r="B99" s="138" t="s">
        <v>807</v>
      </c>
      <c r="C99" s="258" t="s">
        <v>63</v>
      </c>
      <c r="D99" s="138" t="s">
        <v>893</v>
      </c>
      <c r="E99" s="138" t="s">
        <v>894</v>
      </c>
      <c r="F99" s="138" t="s">
        <v>4</v>
      </c>
      <c r="G99" s="138" t="s">
        <v>895</v>
      </c>
      <c r="H99" s="138" t="s">
        <v>4</v>
      </c>
      <c r="I99" s="138" t="s">
        <v>4</v>
      </c>
      <c r="J99" s="138" t="s">
        <v>896</v>
      </c>
      <c r="K99" s="138" t="s">
        <v>132</v>
      </c>
      <c r="L99" s="138" t="s">
        <v>1</v>
      </c>
      <c r="M99" s="138" t="s">
        <v>897</v>
      </c>
      <c r="N99" s="138" t="s">
        <v>898</v>
      </c>
      <c r="O99" s="138" t="s">
        <v>1</v>
      </c>
      <c r="P99" s="138" t="s">
        <v>899</v>
      </c>
      <c r="Q99" s="138" t="s">
        <v>900</v>
      </c>
      <c r="R99" s="146" t="str">
        <f>IF(OR(ISNUMBER(SEARCH("FAIL",K99&amp;" "&amp;O99)),ISNUMBER(SEARCH("CLEAN RETEST REQUIRED",K99&amp;" "&amp;O99))),"Failed",IF(OR(ISNUMBER(SEARCH("NOT RUN",K99&amp;" "&amp;O99)),ISNUMBER(SEARCH("NOT IMPLEMENTED",K99&amp;" "&amp;O99))),"Not started",IF(OR(ISNUMBER(SEARCH("PARTIAL",K99&amp;" "&amp;O99)),ISNUMBER(SEARCH("PENDING",K99&amp;" "&amp;O99)),ISNUMBER(SEARCH("IN PROGRESS",K99&amp;" "&amp;O99)),ISNUMBER(SEARCH("OPEN",K99&amp;" "&amp;O99)),ISNUMBER(SEARCH("RETEST REQUIRED",K99&amp;" "&amp;O99)),ISNUMBER(SEARCH("IMPLEMENTATION UPDATED",K99&amp;" "&amp;O99)),ISNUMBER(SEARCH("REQUIRED EVERY SESSION",K99&amp;" "&amp;O99))),"Pending",IF(OR(O99="PASS",ISNUMBER(SEARCH("PASS",K99&amp;" "&amp;O99))),"Done","Pending"))))</f>
        <v>Not started</v>
      </c>
      <c r="S99" s="146" t="str">
        <f>IF(OR(LEFT(A99,9)="OPERATOR-",LEFT(A99,8)="PAYMENT-",LEFT(A99,7)="DEPLOY-"),"External","Core")</f>
        <v>Core</v>
      </c>
    </row>
    <row r="100" customFormat="false" ht="15" hidden="false" customHeight="false" outlineLevel="0" collapsed="false">
      <c r="A100" s="138" t="s">
        <v>901</v>
      </c>
      <c r="B100" s="138" t="s">
        <v>807</v>
      </c>
      <c r="C100" s="258" t="s">
        <v>63</v>
      </c>
      <c r="D100" s="138" t="s">
        <v>902</v>
      </c>
      <c r="E100" s="138" t="s">
        <v>903</v>
      </c>
      <c r="F100" s="138" t="s">
        <v>4</v>
      </c>
      <c r="G100" s="138" t="s">
        <v>904</v>
      </c>
      <c r="H100" s="138" t="s">
        <v>4</v>
      </c>
      <c r="I100" s="138" t="s">
        <v>4</v>
      </c>
      <c r="J100" s="138" t="s">
        <v>905</v>
      </c>
      <c r="K100" s="138" t="s">
        <v>132</v>
      </c>
      <c r="L100" s="138" t="s">
        <v>1</v>
      </c>
      <c r="M100" s="138" t="s">
        <v>906</v>
      </c>
      <c r="N100" s="138" t="s">
        <v>907</v>
      </c>
      <c r="O100" s="138" t="s">
        <v>1</v>
      </c>
      <c r="P100" s="138" t="s">
        <v>908</v>
      </c>
      <c r="Q100" s="138" t="s">
        <v>900</v>
      </c>
      <c r="R100" s="146" t="str">
        <f>IF(OR(ISNUMBER(SEARCH("FAIL",K100&amp;" "&amp;O100)),ISNUMBER(SEARCH("CLEAN RETEST REQUIRED",K100&amp;" "&amp;O100))),"Failed",IF(OR(ISNUMBER(SEARCH("NOT RUN",K100&amp;" "&amp;O100)),ISNUMBER(SEARCH("NOT IMPLEMENTED",K100&amp;" "&amp;O100))),"Not started",IF(OR(ISNUMBER(SEARCH("PARTIAL",K100&amp;" "&amp;O100)),ISNUMBER(SEARCH("PENDING",K100&amp;" "&amp;O100)),ISNUMBER(SEARCH("IN PROGRESS",K100&amp;" "&amp;O100)),ISNUMBER(SEARCH("OPEN",K100&amp;" "&amp;O100)),ISNUMBER(SEARCH("RETEST REQUIRED",K100&amp;" "&amp;O100)),ISNUMBER(SEARCH("IMPLEMENTATION UPDATED",K100&amp;" "&amp;O100)),ISNUMBER(SEARCH("REQUIRED EVERY SESSION",K100&amp;" "&amp;O100))),"Pending",IF(OR(O100="PASS",ISNUMBER(SEARCH("PASS",K100&amp;" "&amp;O100))),"Done","Pending"))))</f>
        <v>Not started</v>
      </c>
      <c r="S100" s="146" t="str">
        <f>IF(OR(LEFT(A100,9)="OPERATOR-",LEFT(A100,8)="PAYMENT-",LEFT(A100,7)="DEPLOY-"),"External","Core")</f>
        <v>Core</v>
      </c>
    </row>
    <row r="101" customFormat="false" ht="15" hidden="false" customHeight="false" outlineLevel="0" collapsed="false">
      <c r="A101" s="138" t="s">
        <v>909</v>
      </c>
      <c r="B101" s="138" t="s">
        <v>807</v>
      </c>
      <c r="C101" s="258" t="s">
        <v>63</v>
      </c>
      <c r="D101" s="138" t="s">
        <v>910</v>
      </c>
      <c r="E101" s="138" t="s">
        <v>911</v>
      </c>
      <c r="F101" s="138" t="s">
        <v>912</v>
      </c>
      <c r="G101" s="138" t="s">
        <v>913</v>
      </c>
      <c r="H101" s="138" t="s">
        <v>4</v>
      </c>
      <c r="I101" s="138" t="s">
        <v>4</v>
      </c>
      <c r="J101" s="138" t="s">
        <v>914</v>
      </c>
      <c r="K101" s="138" t="s">
        <v>132</v>
      </c>
      <c r="L101" s="138" t="s">
        <v>1</v>
      </c>
      <c r="M101" s="138" t="s">
        <v>915</v>
      </c>
      <c r="N101" s="138" t="s">
        <v>916</v>
      </c>
      <c r="O101" s="138" t="s">
        <v>1</v>
      </c>
      <c r="P101" s="138" t="s">
        <v>917</v>
      </c>
      <c r="Q101" s="138" t="s">
        <v>295</v>
      </c>
      <c r="R101" s="146" t="str">
        <f>IF(OR(ISNUMBER(SEARCH("FAIL",K101&amp;" "&amp;O101)),ISNUMBER(SEARCH("CLEAN RETEST REQUIRED",K101&amp;" "&amp;O101))),"Failed",IF(OR(ISNUMBER(SEARCH("NOT RUN",K101&amp;" "&amp;O101)),ISNUMBER(SEARCH("NOT IMPLEMENTED",K101&amp;" "&amp;O101))),"Not started",IF(OR(ISNUMBER(SEARCH("PARTIAL",K101&amp;" "&amp;O101)),ISNUMBER(SEARCH("PENDING",K101&amp;" "&amp;O101)),ISNUMBER(SEARCH("IN PROGRESS",K101&amp;" "&amp;O101)),ISNUMBER(SEARCH("OPEN",K101&amp;" "&amp;O101)),ISNUMBER(SEARCH("RETEST REQUIRED",K101&amp;" "&amp;O101)),ISNUMBER(SEARCH("IMPLEMENTATION UPDATED",K101&amp;" "&amp;O101)),ISNUMBER(SEARCH("REQUIRED EVERY SESSION",K101&amp;" "&amp;O101))),"Pending",IF(OR(O101="PASS",ISNUMBER(SEARCH("PASS",K101&amp;" "&amp;O101))),"Done","Pending"))))</f>
        <v>Not started</v>
      </c>
      <c r="S101" s="146" t="str">
        <f>IF(OR(LEFT(A101,9)="OPERATOR-",LEFT(A101,8)="PAYMENT-",LEFT(A101,7)="DEPLOY-"),"External","Core")</f>
        <v>Core</v>
      </c>
    </row>
    <row r="102" customFormat="false" ht="15" hidden="false" customHeight="false" outlineLevel="0" collapsed="false">
      <c r="A102" s="138" t="s">
        <v>918</v>
      </c>
      <c r="B102" s="138" t="s">
        <v>807</v>
      </c>
      <c r="C102" s="258" t="s">
        <v>63</v>
      </c>
      <c r="D102" s="138" t="s">
        <v>919</v>
      </c>
      <c r="E102" s="138" t="s">
        <v>920</v>
      </c>
      <c r="F102" s="138" t="s">
        <v>912</v>
      </c>
      <c r="G102" s="138" t="s">
        <v>921</v>
      </c>
      <c r="H102" s="138" t="s">
        <v>4</v>
      </c>
      <c r="I102" s="138" t="s">
        <v>4</v>
      </c>
      <c r="J102" s="138" t="s">
        <v>922</v>
      </c>
      <c r="K102" s="138" t="s">
        <v>132</v>
      </c>
      <c r="L102" s="138" t="s">
        <v>1</v>
      </c>
      <c r="M102" s="138" t="s">
        <v>923</v>
      </c>
      <c r="N102" s="138" t="s">
        <v>924</v>
      </c>
      <c r="O102" s="138" t="s">
        <v>1</v>
      </c>
      <c r="P102" s="138" t="s">
        <v>925</v>
      </c>
      <c r="Q102" s="138" t="s">
        <v>900</v>
      </c>
      <c r="R102" s="146" t="str">
        <f>IF(OR(ISNUMBER(SEARCH("FAIL",K102&amp;" "&amp;O102)),ISNUMBER(SEARCH("CLEAN RETEST REQUIRED",K102&amp;" "&amp;O102))),"Failed",IF(OR(ISNUMBER(SEARCH("NOT RUN",K102&amp;" "&amp;O102)),ISNUMBER(SEARCH("NOT IMPLEMENTED",K102&amp;" "&amp;O102))),"Not started",IF(OR(ISNUMBER(SEARCH("PARTIAL",K102&amp;" "&amp;O102)),ISNUMBER(SEARCH("PENDING",K102&amp;" "&amp;O102)),ISNUMBER(SEARCH("IN PROGRESS",K102&amp;" "&amp;O102)),ISNUMBER(SEARCH("OPEN",K102&amp;" "&amp;O102)),ISNUMBER(SEARCH("RETEST REQUIRED",K102&amp;" "&amp;O102)),ISNUMBER(SEARCH("IMPLEMENTATION UPDATED",K102&amp;" "&amp;O102)),ISNUMBER(SEARCH("REQUIRED EVERY SESSION",K102&amp;" "&amp;O102))),"Pending",IF(OR(O102="PASS",ISNUMBER(SEARCH("PASS",K102&amp;" "&amp;O102))),"Done","Pending"))))</f>
        <v>Not started</v>
      </c>
      <c r="S102" s="146" t="str">
        <f>IF(OR(LEFT(A102,9)="OPERATOR-",LEFT(A102,8)="PAYMENT-",LEFT(A102,7)="DEPLOY-"),"External","Core")</f>
        <v>Core</v>
      </c>
    </row>
    <row r="103" customFormat="false" ht="15" hidden="false" customHeight="false" outlineLevel="0" collapsed="false">
      <c r="A103" s="138" t="s">
        <v>926</v>
      </c>
      <c r="B103" s="138" t="s">
        <v>807</v>
      </c>
      <c r="C103" s="258" t="s">
        <v>63</v>
      </c>
      <c r="D103" s="138" t="s">
        <v>927</v>
      </c>
      <c r="E103" s="138" t="s">
        <v>928</v>
      </c>
      <c r="F103" s="138" t="s">
        <v>912</v>
      </c>
      <c r="G103" s="138" t="s">
        <v>929</v>
      </c>
      <c r="H103" s="138" t="s">
        <v>4</v>
      </c>
      <c r="I103" s="138" t="s">
        <v>4</v>
      </c>
      <c r="J103" s="138" t="s">
        <v>930</v>
      </c>
      <c r="K103" s="138" t="s">
        <v>132</v>
      </c>
      <c r="L103" s="138" t="s">
        <v>1</v>
      </c>
      <c r="M103" s="138" t="s">
        <v>931</v>
      </c>
      <c r="N103" s="138" t="s">
        <v>932</v>
      </c>
      <c r="O103" s="138" t="s">
        <v>1</v>
      </c>
      <c r="P103" s="138" t="s">
        <v>933</v>
      </c>
      <c r="Q103" s="138" t="s">
        <v>767</v>
      </c>
      <c r="R103" s="146" t="str">
        <f>IF(OR(ISNUMBER(SEARCH("FAIL",K103&amp;" "&amp;O103)),ISNUMBER(SEARCH("CLEAN RETEST REQUIRED",K103&amp;" "&amp;O103))),"Failed",IF(OR(ISNUMBER(SEARCH("NOT RUN",K103&amp;" "&amp;O103)),ISNUMBER(SEARCH("NOT IMPLEMENTED",K103&amp;" "&amp;O103))),"Not started",IF(OR(ISNUMBER(SEARCH("PARTIAL",K103&amp;" "&amp;O103)),ISNUMBER(SEARCH("PENDING",K103&amp;" "&amp;O103)),ISNUMBER(SEARCH("IN PROGRESS",K103&amp;" "&amp;O103)),ISNUMBER(SEARCH("OPEN",K103&amp;" "&amp;O103)),ISNUMBER(SEARCH("RETEST REQUIRED",K103&amp;" "&amp;O103)),ISNUMBER(SEARCH("IMPLEMENTATION UPDATED",K103&amp;" "&amp;O103)),ISNUMBER(SEARCH("REQUIRED EVERY SESSION",K103&amp;" "&amp;O103))),"Pending",IF(OR(O103="PASS",ISNUMBER(SEARCH("PASS",K103&amp;" "&amp;O103))),"Done","Pending"))))</f>
        <v>Not started</v>
      </c>
      <c r="S103" s="146" t="str">
        <f>IF(OR(LEFT(A103,9)="OPERATOR-",LEFT(A103,8)="PAYMENT-",LEFT(A103,7)="DEPLOY-"),"External","Core")</f>
        <v>Core</v>
      </c>
    </row>
    <row r="104" customFormat="false" ht="15" hidden="false" customHeight="false" outlineLevel="0" collapsed="false">
      <c r="A104" s="138" t="s">
        <v>934</v>
      </c>
      <c r="B104" s="138" t="s">
        <v>807</v>
      </c>
      <c r="C104" s="258" t="s">
        <v>63</v>
      </c>
      <c r="D104" s="138" t="s">
        <v>935</v>
      </c>
      <c r="E104" s="138" t="s">
        <v>936</v>
      </c>
      <c r="F104" s="138" t="s">
        <v>937</v>
      </c>
      <c r="G104" s="138" t="s">
        <v>938</v>
      </c>
      <c r="H104" s="138" t="s">
        <v>4</v>
      </c>
      <c r="I104" s="138" t="s">
        <v>4</v>
      </c>
      <c r="J104" s="138" t="s">
        <v>939</v>
      </c>
      <c r="K104" s="138" t="s">
        <v>132</v>
      </c>
      <c r="L104" s="138" t="s">
        <v>1</v>
      </c>
      <c r="M104" s="138" t="s">
        <v>940</v>
      </c>
      <c r="N104" s="138" t="s">
        <v>941</v>
      </c>
      <c r="O104" s="138" t="s">
        <v>1</v>
      </c>
      <c r="P104" s="138" t="s">
        <v>942</v>
      </c>
      <c r="Q104" s="138" t="s">
        <v>866</v>
      </c>
      <c r="R104" s="146" t="str">
        <f>IF(OR(ISNUMBER(SEARCH("FAIL",K104&amp;" "&amp;O104)),ISNUMBER(SEARCH("CLEAN RETEST REQUIRED",K104&amp;" "&amp;O104))),"Failed",IF(OR(ISNUMBER(SEARCH("NOT RUN",K104&amp;" "&amp;O104)),ISNUMBER(SEARCH("NOT IMPLEMENTED",K104&amp;" "&amp;O104))),"Not started",IF(OR(ISNUMBER(SEARCH("PARTIAL",K104&amp;" "&amp;O104)),ISNUMBER(SEARCH("PENDING",K104&amp;" "&amp;O104)),ISNUMBER(SEARCH("IN PROGRESS",K104&amp;" "&amp;O104)),ISNUMBER(SEARCH("OPEN",K104&amp;" "&amp;O104)),ISNUMBER(SEARCH("RETEST REQUIRED",K104&amp;" "&amp;O104)),ISNUMBER(SEARCH("IMPLEMENTATION UPDATED",K104&amp;" "&amp;O104)),ISNUMBER(SEARCH("REQUIRED EVERY SESSION",K104&amp;" "&amp;O104))),"Pending",IF(OR(O104="PASS",ISNUMBER(SEARCH("PASS",K104&amp;" "&amp;O104))),"Done","Pending"))))</f>
        <v>Not started</v>
      </c>
      <c r="S104" s="146" t="str">
        <f>IF(OR(LEFT(A104,9)="OPERATOR-",LEFT(A104,8)="PAYMENT-",LEFT(A104,7)="DEPLOY-"),"External","Core")</f>
        <v>Core</v>
      </c>
    </row>
    <row r="105" customFormat="false" ht="15" hidden="false" customHeight="false" outlineLevel="0" collapsed="false">
      <c r="A105" s="138" t="s">
        <v>943</v>
      </c>
      <c r="B105" s="138" t="s">
        <v>807</v>
      </c>
      <c r="C105" s="258" t="s">
        <v>63</v>
      </c>
      <c r="D105" s="138" t="s">
        <v>944</v>
      </c>
      <c r="E105" s="138" t="s">
        <v>945</v>
      </c>
      <c r="F105" s="138" t="s">
        <v>4</v>
      </c>
      <c r="G105" s="138" t="s">
        <v>946</v>
      </c>
      <c r="H105" s="138" t="s">
        <v>4</v>
      </c>
      <c r="I105" s="138" t="s">
        <v>4</v>
      </c>
      <c r="J105" s="138" t="s">
        <v>947</v>
      </c>
      <c r="K105" s="138" t="s">
        <v>132</v>
      </c>
      <c r="L105" s="138" t="s">
        <v>1</v>
      </c>
      <c r="M105" s="138" t="s">
        <v>948</v>
      </c>
      <c r="N105" s="138" t="s">
        <v>949</v>
      </c>
      <c r="O105" s="138" t="s">
        <v>1</v>
      </c>
      <c r="P105" s="138" t="s">
        <v>950</v>
      </c>
      <c r="Q105" s="138" t="s">
        <v>295</v>
      </c>
      <c r="R105" s="146" t="str">
        <f>IF(OR(ISNUMBER(SEARCH("FAIL",K105&amp;" "&amp;O105)),ISNUMBER(SEARCH("CLEAN RETEST REQUIRED",K105&amp;" "&amp;O105))),"Failed",IF(OR(ISNUMBER(SEARCH("NOT RUN",K105&amp;" "&amp;O105)),ISNUMBER(SEARCH("NOT IMPLEMENTED",K105&amp;" "&amp;O105))),"Not started",IF(OR(ISNUMBER(SEARCH("PARTIAL",K105&amp;" "&amp;O105)),ISNUMBER(SEARCH("PENDING",K105&amp;" "&amp;O105)),ISNUMBER(SEARCH("IN PROGRESS",K105&amp;" "&amp;O105)),ISNUMBER(SEARCH("OPEN",K105&amp;" "&amp;O105)),ISNUMBER(SEARCH("RETEST REQUIRED",K105&amp;" "&amp;O105)),ISNUMBER(SEARCH("IMPLEMENTATION UPDATED",K105&amp;" "&amp;O105)),ISNUMBER(SEARCH("REQUIRED EVERY SESSION",K105&amp;" "&amp;O105))),"Pending",IF(OR(O105="PASS",ISNUMBER(SEARCH("PASS",K105&amp;" "&amp;O105))),"Done","Pending"))))</f>
        <v>Not started</v>
      </c>
      <c r="S105" s="146" t="str">
        <f>IF(OR(LEFT(A105,9)="OPERATOR-",LEFT(A105,8)="PAYMENT-",LEFT(A105,7)="DEPLOY-"),"External","Core")</f>
        <v>Core</v>
      </c>
    </row>
    <row r="106" customFormat="false" ht="15" hidden="false" customHeight="false" outlineLevel="0" collapsed="false">
      <c r="A106" s="138" t="s">
        <v>951</v>
      </c>
      <c r="B106" s="138" t="s">
        <v>807</v>
      </c>
      <c r="C106" s="258" t="s">
        <v>63</v>
      </c>
      <c r="D106" s="138" t="s">
        <v>952</v>
      </c>
      <c r="E106" s="138" t="s">
        <v>953</v>
      </c>
      <c r="F106" s="138" t="s">
        <v>954</v>
      </c>
      <c r="G106" s="138" t="s">
        <v>955</v>
      </c>
      <c r="H106" s="138" t="s">
        <v>4</v>
      </c>
      <c r="I106" s="138" t="s">
        <v>4</v>
      </c>
      <c r="J106" s="138" t="s">
        <v>956</v>
      </c>
      <c r="K106" s="138" t="s">
        <v>132</v>
      </c>
      <c r="L106" s="138" t="s">
        <v>1</v>
      </c>
      <c r="M106" s="138" t="s">
        <v>957</v>
      </c>
      <c r="N106" s="138" t="s">
        <v>958</v>
      </c>
      <c r="O106" s="138" t="s">
        <v>1</v>
      </c>
      <c r="P106" s="138" t="s">
        <v>959</v>
      </c>
      <c r="Q106" s="138" t="s">
        <v>361</v>
      </c>
      <c r="R106" s="146" t="str">
        <f>IF(OR(ISNUMBER(SEARCH("FAIL",K106&amp;" "&amp;O106)),ISNUMBER(SEARCH("CLEAN RETEST REQUIRED",K106&amp;" "&amp;O106))),"Failed",IF(OR(ISNUMBER(SEARCH("NOT RUN",K106&amp;" "&amp;O106)),ISNUMBER(SEARCH("NOT IMPLEMENTED",K106&amp;" "&amp;O106))),"Not started",IF(OR(ISNUMBER(SEARCH("PARTIAL",K106&amp;" "&amp;O106)),ISNUMBER(SEARCH("PENDING",K106&amp;" "&amp;O106)),ISNUMBER(SEARCH("IN PROGRESS",K106&amp;" "&amp;O106)),ISNUMBER(SEARCH("OPEN",K106&amp;" "&amp;O106)),ISNUMBER(SEARCH("RETEST REQUIRED",K106&amp;" "&amp;O106)),ISNUMBER(SEARCH("IMPLEMENTATION UPDATED",K106&amp;" "&amp;O106)),ISNUMBER(SEARCH("REQUIRED EVERY SESSION",K106&amp;" "&amp;O106))),"Pending",IF(OR(O106="PASS",ISNUMBER(SEARCH("PASS",K106&amp;" "&amp;O106))),"Done","Pending"))))</f>
        <v>Not started</v>
      </c>
      <c r="S106" s="146" t="str">
        <f>IF(OR(LEFT(A106,9)="OPERATOR-",LEFT(A106,8)="PAYMENT-",LEFT(A106,7)="DEPLOY-"),"External","Core")</f>
        <v>Core</v>
      </c>
    </row>
    <row r="107" customFormat="false" ht="15" hidden="false" customHeight="false" outlineLevel="0" collapsed="false">
      <c r="A107" s="138" t="s">
        <v>960</v>
      </c>
      <c r="B107" s="138" t="s">
        <v>807</v>
      </c>
      <c r="C107" s="258" t="s">
        <v>63</v>
      </c>
      <c r="D107" s="138" t="s">
        <v>961</v>
      </c>
      <c r="E107" s="138" t="s">
        <v>962</v>
      </c>
      <c r="F107" s="138" t="s">
        <v>963</v>
      </c>
      <c r="G107" s="138" t="s">
        <v>964</v>
      </c>
      <c r="H107" s="138" t="s">
        <v>4</v>
      </c>
      <c r="I107" s="138" t="s">
        <v>4</v>
      </c>
      <c r="J107" s="138" t="s">
        <v>965</v>
      </c>
      <c r="K107" s="138" t="s">
        <v>132</v>
      </c>
      <c r="L107" s="138" t="s">
        <v>1</v>
      </c>
      <c r="M107" s="138" t="s">
        <v>966</v>
      </c>
      <c r="N107" s="138" t="s">
        <v>967</v>
      </c>
      <c r="O107" s="138" t="s">
        <v>1</v>
      </c>
      <c r="P107" s="138" t="s">
        <v>968</v>
      </c>
      <c r="Q107" s="138" t="s">
        <v>127</v>
      </c>
      <c r="R107" s="146" t="str">
        <f>IF(OR(ISNUMBER(SEARCH("FAIL",K107&amp;" "&amp;O107)),ISNUMBER(SEARCH("CLEAN RETEST REQUIRED",K107&amp;" "&amp;O107))),"Failed",IF(OR(ISNUMBER(SEARCH("NOT RUN",K107&amp;" "&amp;O107)),ISNUMBER(SEARCH("NOT IMPLEMENTED",K107&amp;" "&amp;O107))),"Not started",IF(OR(ISNUMBER(SEARCH("PARTIAL",K107&amp;" "&amp;O107)),ISNUMBER(SEARCH("PENDING",K107&amp;" "&amp;O107)),ISNUMBER(SEARCH("IN PROGRESS",K107&amp;" "&amp;O107)),ISNUMBER(SEARCH("OPEN",K107&amp;" "&amp;O107)),ISNUMBER(SEARCH("RETEST REQUIRED",K107&amp;" "&amp;O107)),ISNUMBER(SEARCH("IMPLEMENTATION UPDATED",K107&amp;" "&amp;O107)),ISNUMBER(SEARCH("REQUIRED EVERY SESSION",K107&amp;" "&amp;O107))),"Pending",IF(OR(O107="PASS",ISNUMBER(SEARCH("PASS",K107&amp;" "&amp;O107))),"Done","Pending"))))</f>
        <v>Not started</v>
      </c>
      <c r="S107" s="146" t="str">
        <f>IF(OR(LEFT(A107,9)="OPERATOR-",LEFT(A107,8)="PAYMENT-",LEFT(A107,7)="DEPLOY-"),"External","Core")</f>
        <v>Core</v>
      </c>
    </row>
    <row r="108" customFormat="false" ht="15" hidden="false" customHeight="false" outlineLevel="0" collapsed="false">
      <c r="A108" s="138" t="s">
        <v>969</v>
      </c>
      <c r="B108" s="138" t="s">
        <v>228</v>
      </c>
      <c r="C108" s="259" t="s">
        <v>34</v>
      </c>
      <c r="D108" s="138" t="s">
        <v>970</v>
      </c>
      <c r="E108" s="138" t="s">
        <v>971</v>
      </c>
      <c r="F108" s="138" t="s">
        <v>972</v>
      </c>
      <c r="G108" s="138" t="s">
        <v>973</v>
      </c>
      <c r="H108" s="138" t="s">
        <v>4</v>
      </c>
      <c r="I108" s="138" t="s">
        <v>407</v>
      </c>
      <c r="J108" s="138" t="s">
        <v>974</v>
      </c>
      <c r="K108" s="138" t="s">
        <v>337</v>
      </c>
      <c r="L108" s="138" t="s">
        <v>1</v>
      </c>
      <c r="M108" s="138" t="s">
        <v>975</v>
      </c>
      <c r="N108" s="138" t="s">
        <v>976</v>
      </c>
      <c r="O108" s="138" t="s">
        <v>1</v>
      </c>
      <c r="P108" s="138" t="s">
        <v>977</v>
      </c>
      <c r="Q108" s="138" t="s">
        <v>261</v>
      </c>
      <c r="R108" s="146" t="str">
        <f>IF(OR(ISNUMBER(SEARCH("FAIL",K108&amp;" "&amp;O108)),ISNUMBER(SEARCH("CLEAN RETEST REQUIRED",K108&amp;" "&amp;O108))),"Failed",IF(OR(ISNUMBER(SEARCH("NOT RUN",K108&amp;" "&amp;O108)),ISNUMBER(SEARCH("NOT IMPLEMENTED",K108&amp;" "&amp;O108))),"Not started",IF(OR(ISNUMBER(SEARCH("PARTIAL",K108&amp;" "&amp;O108)),ISNUMBER(SEARCH("PENDING",K108&amp;" "&amp;O108)),ISNUMBER(SEARCH("IN PROGRESS",K108&amp;" "&amp;O108)),ISNUMBER(SEARCH("OPEN",K108&amp;" "&amp;O108)),ISNUMBER(SEARCH("RETEST REQUIRED",K108&amp;" "&amp;O108)),ISNUMBER(SEARCH("IMPLEMENTATION UPDATED",K108&amp;" "&amp;O108)),ISNUMBER(SEARCH("REQUIRED EVERY SESSION",K108&amp;" "&amp;O108))),"Pending",IF(OR(O108="PASS",ISNUMBER(SEARCH("PASS",K108&amp;" "&amp;O108))),"Done","Pending"))))</f>
        <v>Not started</v>
      </c>
      <c r="S108" s="146" t="str">
        <f>IF(OR(LEFT(A108,9)="OPERATOR-",LEFT(A108,8)="PAYMENT-",LEFT(A108,7)="DEPLOY-"),"External","Core")</f>
        <v>Core</v>
      </c>
    </row>
    <row r="109" customFormat="false" ht="15" hidden="false" customHeight="false" outlineLevel="0" collapsed="false">
      <c r="A109" s="138" t="s">
        <v>978</v>
      </c>
      <c r="B109" s="138" t="s">
        <v>228</v>
      </c>
      <c r="C109" s="259" t="s">
        <v>34</v>
      </c>
      <c r="D109" s="138" t="s">
        <v>970</v>
      </c>
      <c r="E109" s="138" t="s">
        <v>979</v>
      </c>
      <c r="F109" s="138" t="s">
        <v>972</v>
      </c>
      <c r="G109" s="138" t="s">
        <v>980</v>
      </c>
      <c r="H109" s="138" t="s">
        <v>4</v>
      </c>
      <c r="I109" s="138" t="s">
        <v>981</v>
      </c>
      <c r="J109" s="138" t="s">
        <v>982</v>
      </c>
      <c r="K109" s="138" t="s">
        <v>337</v>
      </c>
      <c r="L109" s="138" t="s">
        <v>1</v>
      </c>
      <c r="M109" s="138" t="s">
        <v>983</v>
      </c>
      <c r="N109" s="138" t="s">
        <v>984</v>
      </c>
      <c r="O109" s="138" t="s">
        <v>1</v>
      </c>
      <c r="P109" s="138" t="s">
        <v>985</v>
      </c>
      <c r="Q109" s="138" t="s">
        <v>295</v>
      </c>
      <c r="R109" s="146" t="str">
        <f>IF(OR(ISNUMBER(SEARCH("FAIL",K109&amp;" "&amp;O109)),ISNUMBER(SEARCH("CLEAN RETEST REQUIRED",K109&amp;" "&amp;O109))),"Failed",IF(OR(ISNUMBER(SEARCH("NOT RUN",K109&amp;" "&amp;O109)),ISNUMBER(SEARCH("NOT IMPLEMENTED",K109&amp;" "&amp;O109))),"Not started",IF(OR(ISNUMBER(SEARCH("PARTIAL",K109&amp;" "&amp;O109)),ISNUMBER(SEARCH("PENDING",K109&amp;" "&amp;O109)),ISNUMBER(SEARCH("IN PROGRESS",K109&amp;" "&amp;O109)),ISNUMBER(SEARCH("OPEN",K109&amp;" "&amp;O109)),ISNUMBER(SEARCH("RETEST REQUIRED",K109&amp;" "&amp;O109)),ISNUMBER(SEARCH("IMPLEMENTATION UPDATED",K109&amp;" "&amp;O109)),ISNUMBER(SEARCH("REQUIRED EVERY SESSION",K109&amp;" "&amp;O109))),"Pending",IF(OR(O109="PASS",ISNUMBER(SEARCH("PASS",K109&amp;" "&amp;O109))),"Done","Pending"))))</f>
        <v>Not started</v>
      </c>
      <c r="S109" s="146" t="str">
        <f>IF(OR(LEFT(A109,9)="OPERATOR-",LEFT(A109,8)="PAYMENT-",LEFT(A109,7)="DEPLOY-"),"External","Core")</f>
        <v>Core</v>
      </c>
    </row>
    <row r="110" customFormat="false" ht="15" hidden="false" customHeight="false" outlineLevel="0" collapsed="false">
      <c r="A110" s="138" t="s">
        <v>986</v>
      </c>
      <c r="B110" s="138" t="s">
        <v>228</v>
      </c>
      <c r="C110" s="259" t="s">
        <v>34</v>
      </c>
      <c r="D110" s="138" t="s">
        <v>987</v>
      </c>
      <c r="E110" s="138" t="s">
        <v>988</v>
      </c>
      <c r="F110" s="138" t="s">
        <v>989</v>
      </c>
      <c r="G110" s="138" t="s">
        <v>990</v>
      </c>
      <c r="H110" s="138" t="s">
        <v>4</v>
      </c>
      <c r="I110" s="138" t="s">
        <v>991</v>
      </c>
      <c r="J110" s="138" t="s">
        <v>992</v>
      </c>
      <c r="K110" s="138" t="s">
        <v>337</v>
      </c>
      <c r="L110" s="138" t="s">
        <v>1</v>
      </c>
      <c r="M110" s="138" t="s">
        <v>993</v>
      </c>
      <c r="N110" s="138" t="s">
        <v>994</v>
      </c>
      <c r="O110" s="138" t="s">
        <v>1</v>
      </c>
      <c r="P110" s="138" t="s">
        <v>995</v>
      </c>
      <c r="Q110" s="138" t="s">
        <v>295</v>
      </c>
      <c r="R110" s="146" t="str">
        <f>IF(OR(ISNUMBER(SEARCH("FAIL",K110&amp;" "&amp;O110)),ISNUMBER(SEARCH("CLEAN RETEST REQUIRED",K110&amp;" "&amp;O110))),"Failed",IF(OR(ISNUMBER(SEARCH("NOT RUN",K110&amp;" "&amp;O110)),ISNUMBER(SEARCH("NOT IMPLEMENTED",K110&amp;" "&amp;O110))),"Not started",IF(OR(ISNUMBER(SEARCH("PARTIAL",K110&amp;" "&amp;O110)),ISNUMBER(SEARCH("PENDING",K110&amp;" "&amp;O110)),ISNUMBER(SEARCH("IN PROGRESS",K110&amp;" "&amp;O110)),ISNUMBER(SEARCH("OPEN",K110&amp;" "&amp;O110)),ISNUMBER(SEARCH("RETEST REQUIRED",K110&amp;" "&amp;O110)),ISNUMBER(SEARCH("IMPLEMENTATION UPDATED",K110&amp;" "&amp;O110)),ISNUMBER(SEARCH("REQUIRED EVERY SESSION",K110&amp;" "&amp;O110))),"Pending",IF(OR(O110="PASS",ISNUMBER(SEARCH("PASS",K110&amp;" "&amp;O110))),"Done","Pending"))))</f>
        <v>Not started</v>
      </c>
      <c r="S110" s="146" t="str">
        <f>IF(OR(LEFT(A110,9)="OPERATOR-",LEFT(A110,8)="PAYMENT-",LEFT(A110,7)="DEPLOY-"),"External","Core")</f>
        <v>Core</v>
      </c>
    </row>
    <row r="111" customFormat="false" ht="15" hidden="false" customHeight="false" outlineLevel="0" collapsed="false">
      <c r="A111" s="135" t="s">
        <v>996</v>
      </c>
      <c r="B111" s="135" t="s">
        <v>228</v>
      </c>
      <c r="C111" s="261" t="s">
        <v>43</v>
      </c>
      <c r="D111" s="135" t="s">
        <v>997</v>
      </c>
      <c r="E111" s="135" t="s">
        <v>998</v>
      </c>
      <c r="F111" s="135" t="s">
        <v>4</v>
      </c>
      <c r="G111" s="135" t="s">
        <v>4</v>
      </c>
      <c r="H111" s="135" t="s">
        <v>4</v>
      </c>
      <c r="I111" s="135" t="s">
        <v>4</v>
      </c>
      <c r="J111" s="135" t="s">
        <v>999</v>
      </c>
      <c r="K111" s="135" t="s">
        <v>714</v>
      </c>
      <c r="L111" s="135" t="s">
        <v>469</v>
      </c>
      <c r="M111" s="135" t="s">
        <v>1000</v>
      </c>
      <c r="N111" s="135" t="s">
        <v>1001</v>
      </c>
      <c r="O111" s="135" t="s">
        <v>125</v>
      </c>
      <c r="P111" s="135" t="s">
        <v>1002</v>
      </c>
      <c r="Q111" s="135" t="s">
        <v>295</v>
      </c>
      <c r="R111" s="146" t="str">
        <f>IF(OR(ISNUMBER(SEARCH("FAIL",K111&amp;" "&amp;O111)),ISNUMBER(SEARCH("CLEAN RETEST REQUIRED",K111&amp;" "&amp;O111))),"Failed",IF(OR(ISNUMBER(SEARCH("NOT RUN",K111&amp;" "&amp;O111)),ISNUMBER(SEARCH("NOT IMPLEMENTED",K111&amp;" "&amp;O111))),"Not started",IF(OR(ISNUMBER(SEARCH("PARTIAL",K111&amp;" "&amp;O111)),ISNUMBER(SEARCH("PENDING",K111&amp;" "&amp;O111)),ISNUMBER(SEARCH("IN PROGRESS",K111&amp;" "&amp;O111)),ISNUMBER(SEARCH("OPEN",K111&amp;" "&amp;O111)),ISNUMBER(SEARCH("RETEST REQUIRED",K111&amp;" "&amp;O111)),ISNUMBER(SEARCH("IMPLEMENTATION UPDATED",K111&amp;" "&amp;O111)),ISNUMBER(SEARCH("REQUIRED EVERY SESSION",K111&amp;" "&amp;O111))),"Pending",IF(OR(O111="PASS",ISNUMBER(SEARCH("PASS",K111&amp;" "&amp;O111))),"Done","Pending"))))</f>
        <v>Done</v>
      </c>
      <c r="S111" s="146" t="str">
        <f>IF(OR(LEFT(A111,9)="OPERATOR-",LEFT(A111,8)="PAYMENT-",LEFT(A111,7)="DEPLOY-"),"External","Core")</f>
        <v>Core</v>
      </c>
    </row>
    <row r="112" customFormat="false" ht="15" hidden="false" customHeight="false" outlineLevel="0" collapsed="false">
      <c r="A112" s="135" t="s">
        <v>1003</v>
      </c>
      <c r="B112" s="135" t="s">
        <v>228</v>
      </c>
      <c r="C112" s="261" t="s">
        <v>43</v>
      </c>
      <c r="D112" s="135" t="s">
        <v>1004</v>
      </c>
      <c r="E112" s="135" t="s">
        <v>1005</v>
      </c>
      <c r="F112" s="135" t="s">
        <v>4</v>
      </c>
      <c r="G112" s="135" t="s">
        <v>4</v>
      </c>
      <c r="H112" s="135" t="s">
        <v>4</v>
      </c>
      <c r="I112" s="135" t="s">
        <v>4</v>
      </c>
      <c r="J112" s="135" t="s">
        <v>1006</v>
      </c>
      <c r="K112" s="135" t="s">
        <v>714</v>
      </c>
      <c r="L112" s="135" t="s">
        <v>469</v>
      </c>
      <c r="M112" s="135" t="s">
        <v>1007</v>
      </c>
      <c r="N112" s="135" t="s">
        <v>1008</v>
      </c>
      <c r="O112" s="135" t="s">
        <v>125</v>
      </c>
      <c r="P112" s="135" t="s">
        <v>1009</v>
      </c>
      <c r="Q112" s="135" t="s">
        <v>361</v>
      </c>
      <c r="R112" s="146" t="str">
        <f>IF(OR(ISNUMBER(SEARCH("FAIL",K112&amp;" "&amp;O112)),ISNUMBER(SEARCH("CLEAN RETEST REQUIRED",K112&amp;" "&amp;O112))),"Failed",IF(OR(ISNUMBER(SEARCH("NOT RUN",K112&amp;" "&amp;O112)),ISNUMBER(SEARCH("NOT IMPLEMENTED",K112&amp;" "&amp;O112))),"Not started",IF(OR(ISNUMBER(SEARCH("PARTIAL",K112&amp;" "&amp;O112)),ISNUMBER(SEARCH("PENDING",K112&amp;" "&amp;O112)),ISNUMBER(SEARCH("IN PROGRESS",K112&amp;" "&amp;O112)),ISNUMBER(SEARCH("OPEN",K112&amp;" "&amp;O112)),ISNUMBER(SEARCH("RETEST REQUIRED",K112&amp;" "&amp;O112)),ISNUMBER(SEARCH("IMPLEMENTATION UPDATED",K112&amp;" "&amp;O112)),ISNUMBER(SEARCH("REQUIRED EVERY SESSION",K112&amp;" "&amp;O112))),"Pending",IF(OR(O112="PASS",ISNUMBER(SEARCH("PASS",K112&amp;" "&amp;O112))),"Done","Pending"))))</f>
        <v>Done</v>
      </c>
      <c r="S112" s="146" t="str">
        <f>IF(OR(LEFT(A112,9)="OPERATOR-",LEFT(A112,8)="PAYMENT-",LEFT(A112,7)="DEPLOY-"),"External","Core")</f>
        <v>Core</v>
      </c>
    </row>
    <row r="113" customFormat="false" ht="15" hidden="false" customHeight="false" outlineLevel="0" collapsed="false">
      <c r="A113" s="138" t="s">
        <v>1010</v>
      </c>
      <c r="B113" s="138" t="s">
        <v>1011</v>
      </c>
      <c r="C113" s="255" t="s">
        <v>52</v>
      </c>
      <c r="D113" s="138" t="s">
        <v>1012</v>
      </c>
      <c r="E113" s="138" t="s">
        <v>1013</v>
      </c>
      <c r="F113" s="138" t="s">
        <v>1014</v>
      </c>
      <c r="G113" s="138" t="s">
        <v>1015</v>
      </c>
      <c r="H113" s="138" t="s">
        <v>4</v>
      </c>
      <c r="I113" s="138" t="s">
        <v>1016</v>
      </c>
      <c r="J113" s="138" t="s">
        <v>1017</v>
      </c>
      <c r="K113" s="138" t="s">
        <v>1018</v>
      </c>
      <c r="L113" s="138" t="s">
        <v>1</v>
      </c>
      <c r="M113" s="138" t="s">
        <v>1019</v>
      </c>
      <c r="N113" s="138" t="s">
        <v>1020</v>
      </c>
      <c r="O113" s="138" t="s">
        <v>1</v>
      </c>
      <c r="P113" s="138" t="s">
        <v>1021</v>
      </c>
      <c r="Q113" s="138" t="s">
        <v>101</v>
      </c>
      <c r="R113" s="146" t="str">
        <f>IF(OR(ISNUMBER(SEARCH("FAIL",K113&amp;" "&amp;O113)),ISNUMBER(SEARCH("CLEAN RETEST REQUIRED",K113&amp;" "&amp;O113))),"Failed",IF(OR(ISNUMBER(SEARCH("NOT RUN",K113&amp;" "&amp;O113)),ISNUMBER(SEARCH("NOT IMPLEMENTED",K113&amp;" "&amp;O113))),"Not started",IF(OR(ISNUMBER(SEARCH("PARTIAL",K113&amp;" "&amp;O113)),ISNUMBER(SEARCH("PENDING",K113&amp;" "&amp;O113)),ISNUMBER(SEARCH("IN PROGRESS",K113&amp;" "&amp;O113)),ISNUMBER(SEARCH("OPEN",K113&amp;" "&amp;O113)),ISNUMBER(SEARCH("RETEST REQUIRED",K113&amp;" "&amp;O113)),ISNUMBER(SEARCH("IMPLEMENTATION UPDATED",K113&amp;" "&amp;O113)),ISNUMBER(SEARCH("REQUIRED EVERY SESSION",K113&amp;" "&amp;O113))),"Pending",IF(OR(O113="PASS",ISNUMBER(SEARCH("PASS",K113&amp;" "&amp;O113))),"Done","Pending"))))</f>
        <v>Not started</v>
      </c>
      <c r="S113" s="146" t="str">
        <f>IF(OR(LEFT(A113,9)="OPERATOR-",LEFT(A113,8)="PAYMENT-",LEFT(A113,7)="DEPLOY-"),"External","Core")</f>
        <v>Core</v>
      </c>
    </row>
    <row r="114" customFormat="false" ht="15" hidden="false" customHeight="false" outlineLevel="0" collapsed="false">
      <c r="A114" s="138" t="s">
        <v>1022</v>
      </c>
      <c r="B114" s="138" t="s">
        <v>1011</v>
      </c>
      <c r="C114" s="255" t="s">
        <v>52</v>
      </c>
      <c r="D114" s="138" t="s">
        <v>1012</v>
      </c>
      <c r="E114" s="138" t="s">
        <v>1023</v>
      </c>
      <c r="F114" s="138" t="s">
        <v>1014</v>
      </c>
      <c r="G114" s="138" t="s">
        <v>1024</v>
      </c>
      <c r="H114" s="138" t="s">
        <v>4</v>
      </c>
      <c r="I114" s="138" t="s">
        <v>1016</v>
      </c>
      <c r="J114" s="138" t="s">
        <v>1025</v>
      </c>
      <c r="K114" s="138" t="s">
        <v>1018</v>
      </c>
      <c r="L114" s="138" t="s">
        <v>1</v>
      </c>
      <c r="M114" s="138" t="s">
        <v>1026</v>
      </c>
      <c r="N114" s="138" t="s">
        <v>1027</v>
      </c>
      <c r="O114" s="138" t="s">
        <v>1</v>
      </c>
      <c r="P114" s="138" t="s">
        <v>1028</v>
      </c>
      <c r="Q114" s="138" t="s">
        <v>101</v>
      </c>
      <c r="R114" s="146" t="str">
        <f>IF(OR(ISNUMBER(SEARCH("FAIL",K114&amp;" "&amp;O114)),ISNUMBER(SEARCH("CLEAN RETEST REQUIRED",K114&amp;" "&amp;O114))),"Failed",IF(OR(ISNUMBER(SEARCH("NOT RUN",K114&amp;" "&amp;O114)),ISNUMBER(SEARCH("NOT IMPLEMENTED",K114&amp;" "&amp;O114))),"Not started",IF(OR(ISNUMBER(SEARCH("PARTIAL",K114&amp;" "&amp;O114)),ISNUMBER(SEARCH("PENDING",K114&amp;" "&amp;O114)),ISNUMBER(SEARCH("IN PROGRESS",K114&amp;" "&amp;O114)),ISNUMBER(SEARCH("OPEN",K114&amp;" "&amp;O114)),ISNUMBER(SEARCH("RETEST REQUIRED",K114&amp;" "&amp;O114)),ISNUMBER(SEARCH("IMPLEMENTATION UPDATED",K114&amp;" "&amp;O114)),ISNUMBER(SEARCH("REQUIRED EVERY SESSION",K114&amp;" "&amp;O114))),"Pending",IF(OR(O114="PASS",ISNUMBER(SEARCH("PASS",K114&amp;" "&amp;O114))),"Done","Pending"))))</f>
        <v>Not started</v>
      </c>
      <c r="S114" s="146" t="str">
        <f>IF(OR(LEFT(A114,9)="OPERATOR-",LEFT(A114,8)="PAYMENT-",LEFT(A114,7)="DEPLOY-"),"External","Core")</f>
        <v>Core</v>
      </c>
    </row>
    <row r="115" customFormat="false" ht="15" hidden="false" customHeight="false" outlineLevel="0" collapsed="false">
      <c r="A115" s="138" t="s">
        <v>1029</v>
      </c>
      <c r="B115" s="138" t="s">
        <v>1011</v>
      </c>
      <c r="C115" s="255" t="s">
        <v>52</v>
      </c>
      <c r="D115" s="138" t="s">
        <v>1030</v>
      </c>
      <c r="E115" s="138" t="s">
        <v>1031</v>
      </c>
      <c r="F115" s="138" t="s">
        <v>1032</v>
      </c>
      <c r="G115" s="138" t="s">
        <v>1033</v>
      </c>
      <c r="H115" s="138" t="s">
        <v>4</v>
      </c>
      <c r="I115" s="138" t="s">
        <v>4</v>
      </c>
      <c r="J115" s="138" t="s">
        <v>1034</v>
      </c>
      <c r="K115" s="138" t="s">
        <v>1018</v>
      </c>
      <c r="L115" s="138" t="s">
        <v>1</v>
      </c>
      <c r="M115" s="138" t="s">
        <v>1035</v>
      </c>
      <c r="N115" s="138" t="s">
        <v>1036</v>
      </c>
      <c r="O115" s="138" t="s">
        <v>1</v>
      </c>
      <c r="P115" s="138" t="s">
        <v>1037</v>
      </c>
      <c r="Q115" s="138" t="s">
        <v>101</v>
      </c>
      <c r="R115" s="146" t="str">
        <f>IF(OR(ISNUMBER(SEARCH("FAIL",K115&amp;" "&amp;O115)),ISNUMBER(SEARCH("CLEAN RETEST REQUIRED",K115&amp;" "&amp;O115))),"Failed",IF(OR(ISNUMBER(SEARCH("NOT RUN",K115&amp;" "&amp;O115)),ISNUMBER(SEARCH("NOT IMPLEMENTED",K115&amp;" "&amp;O115))),"Not started",IF(OR(ISNUMBER(SEARCH("PARTIAL",K115&amp;" "&amp;O115)),ISNUMBER(SEARCH("PENDING",K115&amp;" "&amp;O115)),ISNUMBER(SEARCH("IN PROGRESS",K115&amp;" "&amp;O115)),ISNUMBER(SEARCH("OPEN",K115&amp;" "&amp;O115)),ISNUMBER(SEARCH("RETEST REQUIRED",K115&amp;" "&amp;O115)),ISNUMBER(SEARCH("IMPLEMENTATION UPDATED",K115&amp;" "&amp;O115)),ISNUMBER(SEARCH("REQUIRED EVERY SESSION",K115&amp;" "&amp;O115))),"Pending",IF(OR(O115="PASS",ISNUMBER(SEARCH("PASS",K115&amp;" "&amp;O115))),"Done","Pending"))))</f>
        <v>Not started</v>
      </c>
      <c r="S115" s="146" t="str">
        <f>IF(OR(LEFT(A115,9)="OPERATOR-",LEFT(A115,8)="PAYMENT-",LEFT(A115,7)="DEPLOY-"),"External","Core")</f>
        <v>Core</v>
      </c>
    </row>
    <row r="116" customFormat="false" ht="15" hidden="false" customHeight="false" outlineLevel="0" collapsed="false">
      <c r="A116" s="138" t="s">
        <v>1038</v>
      </c>
      <c r="B116" s="138" t="s">
        <v>1011</v>
      </c>
      <c r="C116" s="255" t="s">
        <v>52</v>
      </c>
      <c r="D116" s="138" t="s">
        <v>1039</v>
      </c>
      <c r="E116" s="138" t="s">
        <v>1040</v>
      </c>
      <c r="F116" s="138" t="s">
        <v>4</v>
      </c>
      <c r="G116" s="138" t="s">
        <v>1041</v>
      </c>
      <c r="H116" s="138" t="s">
        <v>4</v>
      </c>
      <c r="I116" s="138" t="s">
        <v>1042</v>
      </c>
      <c r="J116" s="138" t="s">
        <v>1043</v>
      </c>
      <c r="K116" s="138" t="s">
        <v>1018</v>
      </c>
      <c r="L116" s="138" t="s">
        <v>1</v>
      </c>
      <c r="M116" s="138" t="s">
        <v>1044</v>
      </c>
      <c r="N116" s="138" t="s">
        <v>1045</v>
      </c>
      <c r="O116" s="138" t="s">
        <v>1</v>
      </c>
      <c r="P116" s="138" t="s">
        <v>1046</v>
      </c>
      <c r="Q116" s="138" t="s">
        <v>127</v>
      </c>
      <c r="R116" s="146" t="str">
        <f>IF(OR(ISNUMBER(SEARCH("FAIL",K116&amp;" "&amp;O116)),ISNUMBER(SEARCH("CLEAN RETEST REQUIRED",K116&amp;" "&amp;O116))),"Failed",IF(OR(ISNUMBER(SEARCH("NOT RUN",K116&amp;" "&amp;O116)),ISNUMBER(SEARCH("NOT IMPLEMENTED",K116&amp;" "&amp;O116))),"Not started",IF(OR(ISNUMBER(SEARCH("PARTIAL",K116&amp;" "&amp;O116)),ISNUMBER(SEARCH("PENDING",K116&amp;" "&amp;O116)),ISNUMBER(SEARCH("IN PROGRESS",K116&amp;" "&amp;O116)),ISNUMBER(SEARCH("OPEN",K116&amp;" "&amp;O116)),ISNUMBER(SEARCH("RETEST REQUIRED",K116&amp;" "&amp;O116)),ISNUMBER(SEARCH("IMPLEMENTATION UPDATED",K116&amp;" "&amp;O116)),ISNUMBER(SEARCH("REQUIRED EVERY SESSION",K116&amp;" "&amp;O116))),"Pending",IF(OR(O116="PASS",ISNUMBER(SEARCH("PASS",K116&amp;" "&amp;O116))),"Done","Pending"))))</f>
        <v>Not started</v>
      </c>
      <c r="S116" s="146" t="str">
        <f>IF(OR(LEFT(A116,9)="OPERATOR-",LEFT(A116,8)="PAYMENT-",LEFT(A116,7)="DEPLOY-"),"External","Core")</f>
        <v>Core</v>
      </c>
    </row>
    <row r="117" customFormat="false" ht="15" hidden="false" customHeight="false" outlineLevel="0" collapsed="false">
      <c r="A117" s="136" t="s">
        <v>1047</v>
      </c>
      <c r="B117" s="136" t="s">
        <v>1048</v>
      </c>
      <c r="C117" s="255" t="s">
        <v>52</v>
      </c>
      <c r="D117" s="136" t="s">
        <v>1049</v>
      </c>
      <c r="E117" s="136" t="s">
        <v>1050</v>
      </c>
      <c r="F117" s="136" t="s">
        <v>1051</v>
      </c>
      <c r="G117" s="136" t="s">
        <v>1052</v>
      </c>
      <c r="H117" s="136" t="s">
        <v>1053</v>
      </c>
      <c r="I117" s="136" t="s">
        <v>1054</v>
      </c>
      <c r="J117" s="136" t="s">
        <v>1055</v>
      </c>
      <c r="K117" s="136" t="s">
        <v>1056</v>
      </c>
      <c r="L117" s="136" t="s">
        <v>96</v>
      </c>
      <c r="M117" s="136" t="s">
        <v>1057</v>
      </c>
      <c r="N117" s="136" t="s">
        <v>1058</v>
      </c>
      <c r="O117" s="136" t="s">
        <v>1059</v>
      </c>
      <c r="P117" s="136" t="s">
        <v>1060</v>
      </c>
      <c r="Q117" s="136" t="s">
        <v>351</v>
      </c>
      <c r="R117" s="146" t="str">
        <f>IF(OR(ISNUMBER(SEARCH("FAIL",K117&amp;" "&amp;O117)),ISNUMBER(SEARCH("CLEAN RETEST REQUIRED",K117&amp;" "&amp;O117))),"Failed",IF(OR(ISNUMBER(SEARCH("NOT RUN",K117&amp;" "&amp;O117)),ISNUMBER(SEARCH("NOT IMPLEMENTED",K117&amp;" "&amp;O117))),"Not started",IF(OR(ISNUMBER(SEARCH("PARTIAL",K117&amp;" "&amp;O117)),ISNUMBER(SEARCH("PENDING",K117&amp;" "&amp;O117)),ISNUMBER(SEARCH("IN PROGRESS",K117&amp;" "&amp;O117)),ISNUMBER(SEARCH("OPEN",K117&amp;" "&amp;O117)),ISNUMBER(SEARCH("RETEST REQUIRED",K117&amp;" "&amp;O117)),ISNUMBER(SEARCH("IMPLEMENTATION UPDATED",K117&amp;" "&amp;O117)),ISNUMBER(SEARCH("REQUIRED EVERY SESSION",K117&amp;" "&amp;O117))),"Pending",IF(OR(O117="PASS",ISNUMBER(SEARCH("PASS",K117&amp;" "&amp;O117))),"Done","Pending"))))</f>
        <v>Pending</v>
      </c>
      <c r="S117" s="146" t="str">
        <f>IF(OR(LEFT(A117,9)="OPERATOR-",LEFT(A117,8)="PAYMENT-",LEFT(A117,7)="DEPLOY-"),"External","Core")</f>
        <v>Core</v>
      </c>
    </row>
    <row r="118" customFormat="false" ht="15" hidden="false" customHeight="false" outlineLevel="0" collapsed="false">
      <c r="A118" s="138" t="s">
        <v>1061</v>
      </c>
      <c r="B118" s="138" t="s">
        <v>1062</v>
      </c>
      <c r="C118" s="262" t="s">
        <v>61</v>
      </c>
      <c r="D118" s="138" t="s">
        <v>1063</v>
      </c>
      <c r="E118" s="138" t="s">
        <v>1064</v>
      </c>
      <c r="F118" s="138" t="s">
        <v>4</v>
      </c>
      <c r="G118" s="138" t="s">
        <v>1065</v>
      </c>
      <c r="H118" s="138" t="s">
        <v>4</v>
      </c>
      <c r="I118" s="138" t="s">
        <v>4</v>
      </c>
      <c r="J118" s="138" t="s">
        <v>1066</v>
      </c>
      <c r="K118" s="138" t="s">
        <v>1018</v>
      </c>
      <c r="L118" s="138" t="s">
        <v>1</v>
      </c>
      <c r="M118" s="138" t="s">
        <v>1067</v>
      </c>
      <c r="N118" s="138" t="s">
        <v>1068</v>
      </c>
      <c r="O118" s="138" t="s">
        <v>1</v>
      </c>
      <c r="P118" s="138" t="s">
        <v>1069</v>
      </c>
      <c r="Q118" s="138" t="s">
        <v>101</v>
      </c>
      <c r="R118" s="146" t="str">
        <f>IF(OR(ISNUMBER(SEARCH("FAIL",K118&amp;" "&amp;O118)),ISNUMBER(SEARCH("CLEAN RETEST REQUIRED",K118&amp;" "&amp;O118))),"Failed",IF(OR(ISNUMBER(SEARCH("NOT RUN",K118&amp;" "&amp;O118)),ISNUMBER(SEARCH("NOT IMPLEMENTED",K118&amp;" "&amp;O118))),"Not started",IF(OR(ISNUMBER(SEARCH("PARTIAL",K118&amp;" "&amp;O118)),ISNUMBER(SEARCH("PENDING",K118&amp;" "&amp;O118)),ISNUMBER(SEARCH("IN PROGRESS",K118&amp;" "&amp;O118)),ISNUMBER(SEARCH("OPEN",K118&amp;" "&amp;O118)),ISNUMBER(SEARCH("RETEST REQUIRED",K118&amp;" "&amp;O118)),ISNUMBER(SEARCH("IMPLEMENTATION UPDATED",K118&amp;" "&amp;O118)),ISNUMBER(SEARCH("REQUIRED EVERY SESSION",K118&amp;" "&amp;O118))),"Pending",IF(OR(O118="PASS",ISNUMBER(SEARCH("PASS",K118&amp;" "&amp;O118))),"Done","Pending"))))</f>
        <v>Not started</v>
      </c>
      <c r="S118" s="146" t="str">
        <f>IF(OR(LEFT(A118,9)="OPERATOR-",LEFT(A118,8)="PAYMENT-",LEFT(A118,7)="DEPLOY-"),"External","Core")</f>
        <v>Core</v>
      </c>
    </row>
    <row r="119" customFormat="false" ht="15" hidden="false" customHeight="false" outlineLevel="0" collapsed="false">
      <c r="A119" s="138" t="s">
        <v>1070</v>
      </c>
      <c r="B119" s="138" t="s">
        <v>1062</v>
      </c>
      <c r="C119" s="262" t="s">
        <v>61</v>
      </c>
      <c r="D119" s="138" t="s">
        <v>1071</v>
      </c>
      <c r="E119" s="138" t="s">
        <v>1072</v>
      </c>
      <c r="F119" s="138" t="s">
        <v>1073</v>
      </c>
      <c r="G119" s="138" t="s">
        <v>1074</v>
      </c>
      <c r="H119" s="138" t="s">
        <v>4</v>
      </c>
      <c r="I119" s="138" t="s">
        <v>1075</v>
      </c>
      <c r="J119" s="138" t="s">
        <v>1076</v>
      </c>
      <c r="K119" s="138" t="s">
        <v>1018</v>
      </c>
      <c r="L119" s="138" t="s">
        <v>1</v>
      </c>
      <c r="M119" s="138" t="s">
        <v>1077</v>
      </c>
      <c r="N119" s="138" t="s">
        <v>1078</v>
      </c>
      <c r="O119" s="138" t="s">
        <v>1</v>
      </c>
      <c r="P119" s="138" t="s">
        <v>1079</v>
      </c>
      <c r="Q119" s="138" t="s">
        <v>101</v>
      </c>
      <c r="R119" s="146" t="str">
        <f>IF(OR(ISNUMBER(SEARCH("FAIL",K119&amp;" "&amp;O119)),ISNUMBER(SEARCH("CLEAN RETEST REQUIRED",K119&amp;" "&amp;O119))),"Failed",IF(OR(ISNUMBER(SEARCH("NOT RUN",K119&amp;" "&amp;O119)),ISNUMBER(SEARCH("NOT IMPLEMENTED",K119&amp;" "&amp;O119))),"Not started",IF(OR(ISNUMBER(SEARCH("PARTIAL",K119&amp;" "&amp;O119)),ISNUMBER(SEARCH("PENDING",K119&amp;" "&amp;O119)),ISNUMBER(SEARCH("IN PROGRESS",K119&amp;" "&amp;O119)),ISNUMBER(SEARCH("OPEN",K119&amp;" "&amp;O119)),ISNUMBER(SEARCH("RETEST REQUIRED",K119&amp;" "&amp;O119)),ISNUMBER(SEARCH("IMPLEMENTATION UPDATED",K119&amp;" "&amp;O119)),ISNUMBER(SEARCH("REQUIRED EVERY SESSION",K119&amp;" "&amp;O119))),"Pending",IF(OR(O119="PASS",ISNUMBER(SEARCH("PASS",K119&amp;" "&amp;O119))),"Done","Pending"))))</f>
        <v>Not started</v>
      </c>
      <c r="S119" s="146" t="str">
        <f>IF(OR(LEFT(A119,9)="OPERATOR-",LEFT(A119,8)="PAYMENT-",LEFT(A119,7)="DEPLOY-"),"External","Core")</f>
        <v>Core</v>
      </c>
    </row>
    <row r="120" customFormat="false" ht="15" hidden="false" customHeight="false" outlineLevel="0" collapsed="false">
      <c r="A120" s="138" t="s">
        <v>1080</v>
      </c>
      <c r="B120" s="138" t="s">
        <v>1062</v>
      </c>
      <c r="C120" s="262" t="s">
        <v>61</v>
      </c>
      <c r="D120" s="138" t="s">
        <v>1081</v>
      </c>
      <c r="E120" s="138" t="s">
        <v>1082</v>
      </c>
      <c r="F120" s="138" t="s">
        <v>4</v>
      </c>
      <c r="G120" s="138" t="s">
        <v>1083</v>
      </c>
      <c r="H120" s="138" t="s">
        <v>4</v>
      </c>
      <c r="I120" s="138" t="s">
        <v>4</v>
      </c>
      <c r="J120" s="138" t="s">
        <v>1084</v>
      </c>
      <c r="K120" s="138" t="s">
        <v>1018</v>
      </c>
      <c r="L120" s="138" t="s">
        <v>1</v>
      </c>
      <c r="M120" s="138" t="s">
        <v>1085</v>
      </c>
      <c r="N120" s="138" t="s">
        <v>1086</v>
      </c>
      <c r="O120" s="138" t="s">
        <v>1</v>
      </c>
      <c r="P120" s="138" t="s">
        <v>1087</v>
      </c>
      <c r="Q120" s="138" t="s">
        <v>101</v>
      </c>
      <c r="R120" s="146" t="str">
        <f>IF(OR(ISNUMBER(SEARCH("FAIL",K120&amp;" "&amp;O120)),ISNUMBER(SEARCH("CLEAN RETEST REQUIRED",K120&amp;" "&amp;O120))),"Failed",IF(OR(ISNUMBER(SEARCH("NOT RUN",K120&amp;" "&amp;O120)),ISNUMBER(SEARCH("NOT IMPLEMENTED",K120&amp;" "&amp;O120))),"Not started",IF(OR(ISNUMBER(SEARCH("PARTIAL",K120&amp;" "&amp;O120)),ISNUMBER(SEARCH("PENDING",K120&amp;" "&amp;O120)),ISNUMBER(SEARCH("IN PROGRESS",K120&amp;" "&amp;O120)),ISNUMBER(SEARCH("OPEN",K120&amp;" "&amp;O120)),ISNUMBER(SEARCH("RETEST REQUIRED",K120&amp;" "&amp;O120)),ISNUMBER(SEARCH("IMPLEMENTATION UPDATED",K120&amp;" "&amp;O120)),ISNUMBER(SEARCH("REQUIRED EVERY SESSION",K120&amp;" "&amp;O120))),"Pending",IF(OR(O120="PASS",ISNUMBER(SEARCH("PASS",K120&amp;" "&amp;O120))),"Done","Pending"))))</f>
        <v>Not started</v>
      </c>
      <c r="S120" s="146" t="str">
        <f>IF(OR(LEFT(A120,9)="OPERATOR-",LEFT(A120,8)="PAYMENT-",LEFT(A120,7)="DEPLOY-"),"External","Core")</f>
        <v>Core</v>
      </c>
    </row>
    <row r="121" customFormat="false" ht="15" hidden="false" customHeight="false" outlineLevel="0" collapsed="false">
      <c r="A121" s="138" t="s">
        <v>1088</v>
      </c>
      <c r="B121" s="138" t="s">
        <v>1062</v>
      </c>
      <c r="C121" s="262" t="s">
        <v>61</v>
      </c>
      <c r="D121" s="138" t="s">
        <v>1089</v>
      </c>
      <c r="E121" s="138" t="s">
        <v>1090</v>
      </c>
      <c r="F121" s="138" t="s">
        <v>4</v>
      </c>
      <c r="G121" s="138" t="s">
        <v>1091</v>
      </c>
      <c r="H121" s="138" t="s">
        <v>4</v>
      </c>
      <c r="I121" s="138" t="s">
        <v>4</v>
      </c>
      <c r="J121" s="138" t="s">
        <v>1092</v>
      </c>
      <c r="K121" s="138" t="s">
        <v>1018</v>
      </c>
      <c r="L121" s="138" t="s">
        <v>1</v>
      </c>
      <c r="M121" s="138" t="s">
        <v>1093</v>
      </c>
      <c r="N121" s="138" t="s">
        <v>1094</v>
      </c>
      <c r="O121" s="138" t="s">
        <v>1</v>
      </c>
      <c r="P121" s="138" t="s">
        <v>1095</v>
      </c>
      <c r="Q121" s="138" t="s">
        <v>101</v>
      </c>
      <c r="R121" s="146" t="str">
        <f>IF(OR(ISNUMBER(SEARCH("FAIL",K121&amp;" "&amp;O121)),ISNUMBER(SEARCH("CLEAN RETEST REQUIRED",K121&amp;" "&amp;O121))),"Failed",IF(OR(ISNUMBER(SEARCH("NOT RUN",K121&amp;" "&amp;O121)),ISNUMBER(SEARCH("NOT IMPLEMENTED",K121&amp;" "&amp;O121))),"Not started",IF(OR(ISNUMBER(SEARCH("PARTIAL",K121&amp;" "&amp;O121)),ISNUMBER(SEARCH("PENDING",K121&amp;" "&amp;O121)),ISNUMBER(SEARCH("IN PROGRESS",K121&amp;" "&amp;O121)),ISNUMBER(SEARCH("OPEN",K121&amp;" "&amp;O121)),ISNUMBER(SEARCH("RETEST REQUIRED",K121&amp;" "&amp;O121)),ISNUMBER(SEARCH("IMPLEMENTATION UPDATED",K121&amp;" "&amp;O121)),ISNUMBER(SEARCH("REQUIRED EVERY SESSION",K121&amp;" "&amp;O121))),"Pending",IF(OR(O121="PASS",ISNUMBER(SEARCH("PASS",K121&amp;" "&amp;O121))),"Done","Pending"))))</f>
        <v>Not started</v>
      </c>
      <c r="S121" s="146" t="str">
        <f>IF(OR(LEFT(A121,9)="OPERATOR-",LEFT(A121,8)="PAYMENT-",LEFT(A121,7)="DEPLOY-"),"External","Core")</f>
        <v>Core</v>
      </c>
    </row>
    <row r="122" customFormat="false" ht="15" hidden="false" customHeight="false" outlineLevel="0" collapsed="false">
      <c r="A122" s="136" t="s">
        <v>1096</v>
      </c>
      <c r="B122" s="136" t="s">
        <v>1097</v>
      </c>
      <c r="C122" s="262" t="s">
        <v>61</v>
      </c>
      <c r="D122" s="136" t="s">
        <v>1098</v>
      </c>
      <c r="E122" s="136" t="s">
        <v>1099</v>
      </c>
      <c r="F122" s="136" t="s">
        <v>4</v>
      </c>
      <c r="G122" s="136" t="s">
        <v>4</v>
      </c>
      <c r="H122" s="136" t="s">
        <v>4</v>
      </c>
      <c r="I122" s="136" t="s">
        <v>1100</v>
      </c>
      <c r="J122" s="136" t="s">
        <v>1101</v>
      </c>
      <c r="K122" s="136" t="s">
        <v>1102</v>
      </c>
      <c r="L122" s="136" t="s">
        <v>96</v>
      </c>
      <c r="M122" s="136" t="s">
        <v>1103</v>
      </c>
      <c r="N122" s="136" t="s">
        <v>1104</v>
      </c>
      <c r="O122" s="136" t="s">
        <v>419</v>
      </c>
      <c r="P122" s="136" t="s">
        <v>1105</v>
      </c>
      <c r="Q122" s="136" t="s">
        <v>1106</v>
      </c>
      <c r="R122" s="146" t="str">
        <f>IF(OR(ISNUMBER(SEARCH("FAIL",K122&amp;" "&amp;O122)),ISNUMBER(SEARCH("CLEAN RETEST REQUIRED",K122&amp;" "&amp;O122))),"Failed",IF(OR(ISNUMBER(SEARCH("NOT RUN",K122&amp;" "&amp;O122)),ISNUMBER(SEARCH("NOT IMPLEMENTED",K122&amp;" "&amp;O122))),"Not started",IF(OR(ISNUMBER(SEARCH("PARTIAL",K122&amp;" "&amp;O122)),ISNUMBER(SEARCH("PENDING",K122&amp;" "&amp;O122)),ISNUMBER(SEARCH("IN PROGRESS",K122&amp;" "&amp;O122)),ISNUMBER(SEARCH("OPEN",K122&amp;" "&amp;O122)),ISNUMBER(SEARCH("RETEST REQUIRED",K122&amp;" "&amp;O122)),ISNUMBER(SEARCH("IMPLEMENTATION UPDATED",K122&amp;" "&amp;O122)),ISNUMBER(SEARCH("REQUIRED EVERY SESSION",K122&amp;" "&amp;O122))),"Pending",IF(OR(O122="PASS",ISNUMBER(SEARCH("PASS",K122&amp;" "&amp;O122))),"Done","Pending"))))</f>
        <v>Pending</v>
      </c>
      <c r="S122" s="146" t="str">
        <f>IF(OR(LEFT(A122,9)="OPERATOR-",LEFT(A122,8)="PAYMENT-",LEFT(A122,7)="DEPLOY-"),"External","Core")</f>
        <v>Core</v>
      </c>
    </row>
    <row r="123" customFormat="false" ht="15" hidden="false" customHeight="false" outlineLevel="0" collapsed="false">
      <c r="A123" s="138" t="s">
        <v>1107</v>
      </c>
      <c r="B123" s="138" t="s">
        <v>1108</v>
      </c>
      <c r="C123" s="263" t="s">
        <v>66</v>
      </c>
      <c r="D123" s="138" t="s">
        <v>1109</v>
      </c>
      <c r="E123" s="138" t="s">
        <v>1110</v>
      </c>
      <c r="F123" s="138" t="s">
        <v>4</v>
      </c>
      <c r="G123" s="138" t="s">
        <v>1111</v>
      </c>
      <c r="H123" s="138" t="s">
        <v>4</v>
      </c>
      <c r="I123" s="138" t="s">
        <v>4</v>
      </c>
      <c r="J123" s="138" t="s">
        <v>1112</v>
      </c>
      <c r="K123" s="138" t="s">
        <v>132</v>
      </c>
      <c r="L123" s="138" t="s">
        <v>1</v>
      </c>
      <c r="M123" s="138" t="s">
        <v>1113</v>
      </c>
      <c r="N123" s="138" t="s">
        <v>1114</v>
      </c>
      <c r="O123" s="138" t="s">
        <v>1</v>
      </c>
      <c r="P123" s="138" t="s">
        <v>1115</v>
      </c>
      <c r="Q123" s="138" t="s">
        <v>101</v>
      </c>
      <c r="R123" s="146" t="str">
        <f>IF(OR(ISNUMBER(SEARCH("FAIL",K123&amp;" "&amp;O123)),ISNUMBER(SEARCH("CLEAN RETEST REQUIRED",K123&amp;" "&amp;O123))),"Failed",IF(OR(ISNUMBER(SEARCH("NOT RUN",K123&amp;" "&amp;O123)),ISNUMBER(SEARCH("NOT IMPLEMENTED",K123&amp;" "&amp;O123))),"Not started",IF(OR(ISNUMBER(SEARCH("PARTIAL",K123&amp;" "&amp;O123)),ISNUMBER(SEARCH("PENDING",K123&amp;" "&amp;O123)),ISNUMBER(SEARCH("IN PROGRESS",K123&amp;" "&amp;O123)),ISNUMBER(SEARCH("OPEN",K123&amp;" "&amp;O123)),ISNUMBER(SEARCH("RETEST REQUIRED",K123&amp;" "&amp;O123)),ISNUMBER(SEARCH("IMPLEMENTATION UPDATED",K123&amp;" "&amp;O123)),ISNUMBER(SEARCH("REQUIRED EVERY SESSION",K123&amp;" "&amp;O123))),"Pending",IF(OR(O123="PASS",ISNUMBER(SEARCH("PASS",K123&amp;" "&amp;O123))),"Done","Pending"))))</f>
        <v>Not started</v>
      </c>
      <c r="S123" s="146" t="str">
        <f>IF(OR(LEFT(A123,9)="OPERATOR-",LEFT(A123,8)="PAYMENT-",LEFT(A123,7)="DEPLOY-"),"External","Core")</f>
        <v>Core</v>
      </c>
    </row>
    <row r="124" customFormat="false" ht="15" hidden="false" customHeight="false" outlineLevel="0" collapsed="false">
      <c r="A124" s="138" t="s">
        <v>1116</v>
      </c>
      <c r="B124" s="138" t="s">
        <v>1108</v>
      </c>
      <c r="C124" s="263" t="s">
        <v>66</v>
      </c>
      <c r="D124" s="138" t="s">
        <v>1117</v>
      </c>
      <c r="E124" s="138" t="s">
        <v>1118</v>
      </c>
      <c r="F124" s="138" t="s">
        <v>1119</v>
      </c>
      <c r="G124" s="138" t="s">
        <v>1120</v>
      </c>
      <c r="H124" s="138" t="s">
        <v>4</v>
      </c>
      <c r="I124" s="138" t="s">
        <v>1121</v>
      </c>
      <c r="J124" s="138" t="s">
        <v>1122</v>
      </c>
      <c r="K124" s="138" t="s">
        <v>132</v>
      </c>
      <c r="L124" s="138" t="s">
        <v>1</v>
      </c>
      <c r="M124" s="138" t="s">
        <v>1123</v>
      </c>
      <c r="N124" s="138" t="s">
        <v>1124</v>
      </c>
      <c r="O124" s="138" t="s">
        <v>1</v>
      </c>
      <c r="P124" s="138" t="s">
        <v>1125</v>
      </c>
      <c r="Q124" s="138" t="s">
        <v>127</v>
      </c>
      <c r="R124" s="146" t="str">
        <f>IF(OR(ISNUMBER(SEARCH("FAIL",K124&amp;" "&amp;O124)),ISNUMBER(SEARCH("CLEAN RETEST REQUIRED",K124&amp;" "&amp;O124))),"Failed",IF(OR(ISNUMBER(SEARCH("NOT RUN",K124&amp;" "&amp;O124)),ISNUMBER(SEARCH("NOT IMPLEMENTED",K124&amp;" "&amp;O124))),"Not started",IF(OR(ISNUMBER(SEARCH("PARTIAL",K124&amp;" "&amp;O124)),ISNUMBER(SEARCH("PENDING",K124&amp;" "&amp;O124)),ISNUMBER(SEARCH("IN PROGRESS",K124&amp;" "&amp;O124)),ISNUMBER(SEARCH("OPEN",K124&amp;" "&amp;O124)),ISNUMBER(SEARCH("RETEST REQUIRED",K124&amp;" "&amp;O124)),ISNUMBER(SEARCH("IMPLEMENTATION UPDATED",K124&amp;" "&amp;O124)),ISNUMBER(SEARCH("REQUIRED EVERY SESSION",K124&amp;" "&amp;O124))),"Pending",IF(OR(O124="PASS",ISNUMBER(SEARCH("PASS",K124&amp;" "&amp;O124))),"Done","Pending"))))</f>
        <v>Not started</v>
      </c>
      <c r="S124" s="146" t="str">
        <f>IF(OR(LEFT(A124,9)="OPERATOR-",LEFT(A124,8)="PAYMENT-",LEFT(A124,7)="DEPLOY-"),"External","Core")</f>
        <v>Core</v>
      </c>
    </row>
    <row r="125" customFormat="false" ht="15" hidden="false" customHeight="false" outlineLevel="0" collapsed="false">
      <c r="A125" s="138" t="s">
        <v>1126</v>
      </c>
      <c r="B125" s="138" t="s">
        <v>1108</v>
      </c>
      <c r="C125" s="263" t="s">
        <v>66</v>
      </c>
      <c r="D125" s="138" t="s">
        <v>1117</v>
      </c>
      <c r="E125" s="138" t="s">
        <v>1127</v>
      </c>
      <c r="F125" s="138" t="s">
        <v>1128</v>
      </c>
      <c r="G125" s="138" t="s">
        <v>1129</v>
      </c>
      <c r="H125" s="138" t="s">
        <v>4</v>
      </c>
      <c r="I125" s="138" t="s">
        <v>1130</v>
      </c>
      <c r="J125" s="138" t="s">
        <v>1131</v>
      </c>
      <c r="K125" s="138" t="s">
        <v>132</v>
      </c>
      <c r="L125" s="138" t="s">
        <v>1</v>
      </c>
      <c r="M125" s="138" t="s">
        <v>1132</v>
      </c>
      <c r="N125" s="138" t="s">
        <v>1133</v>
      </c>
      <c r="O125" s="138" t="s">
        <v>1</v>
      </c>
      <c r="P125" s="138" t="s">
        <v>1134</v>
      </c>
      <c r="Q125" s="138" t="s">
        <v>372</v>
      </c>
      <c r="R125" s="146" t="str">
        <f>IF(OR(ISNUMBER(SEARCH("FAIL",K125&amp;" "&amp;O125)),ISNUMBER(SEARCH("CLEAN RETEST REQUIRED",K125&amp;" "&amp;O125))),"Failed",IF(OR(ISNUMBER(SEARCH("NOT RUN",K125&amp;" "&amp;O125)),ISNUMBER(SEARCH("NOT IMPLEMENTED",K125&amp;" "&amp;O125))),"Not started",IF(OR(ISNUMBER(SEARCH("PARTIAL",K125&amp;" "&amp;O125)),ISNUMBER(SEARCH("PENDING",K125&amp;" "&amp;O125)),ISNUMBER(SEARCH("IN PROGRESS",K125&amp;" "&amp;O125)),ISNUMBER(SEARCH("OPEN",K125&amp;" "&amp;O125)),ISNUMBER(SEARCH("RETEST REQUIRED",K125&amp;" "&amp;O125)),ISNUMBER(SEARCH("IMPLEMENTATION UPDATED",K125&amp;" "&amp;O125)),ISNUMBER(SEARCH("REQUIRED EVERY SESSION",K125&amp;" "&amp;O125))),"Pending",IF(OR(O125="PASS",ISNUMBER(SEARCH("PASS",K125&amp;" "&amp;O125))),"Done","Pending"))))</f>
        <v>Not started</v>
      </c>
      <c r="S125" s="146" t="str">
        <f>IF(OR(LEFT(A125,9)="OPERATOR-",LEFT(A125,8)="PAYMENT-",LEFT(A125,7)="DEPLOY-"),"External","Core")</f>
        <v>Core</v>
      </c>
    </row>
    <row r="126" customFormat="false" ht="15" hidden="false" customHeight="false" outlineLevel="0" collapsed="false">
      <c r="A126" s="138" t="s">
        <v>1135</v>
      </c>
      <c r="B126" s="138" t="s">
        <v>1108</v>
      </c>
      <c r="C126" s="263" t="s">
        <v>66</v>
      </c>
      <c r="D126" s="138" t="s">
        <v>1136</v>
      </c>
      <c r="E126" s="138" t="s">
        <v>1137</v>
      </c>
      <c r="F126" s="138" t="s">
        <v>1138</v>
      </c>
      <c r="G126" s="138" t="s">
        <v>1139</v>
      </c>
      <c r="H126" s="138" t="s">
        <v>4</v>
      </c>
      <c r="I126" s="138" t="s">
        <v>1140</v>
      </c>
      <c r="J126" s="138" t="s">
        <v>1141</v>
      </c>
      <c r="K126" s="138" t="s">
        <v>132</v>
      </c>
      <c r="L126" s="138" t="s">
        <v>1</v>
      </c>
      <c r="M126" s="138" t="s">
        <v>1142</v>
      </c>
      <c r="N126" s="138" t="s">
        <v>1143</v>
      </c>
      <c r="O126" s="138" t="s">
        <v>1</v>
      </c>
      <c r="P126" s="138" t="s">
        <v>1144</v>
      </c>
      <c r="Q126" s="138" t="s">
        <v>101</v>
      </c>
      <c r="R126" s="146" t="str">
        <f>IF(OR(ISNUMBER(SEARCH("FAIL",K126&amp;" "&amp;O126)),ISNUMBER(SEARCH("CLEAN RETEST REQUIRED",K126&amp;" "&amp;O126))),"Failed",IF(OR(ISNUMBER(SEARCH("NOT RUN",K126&amp;" "&amp;O126)),ISNUMBER(SEARCH("NOT IMPLEMENTED",K126&amp;" "&amp;O126))),"Not started",IF(OR(ISNUMBER(SEARCH("PARTIAL",K126&amp;" "&amp;O126)),ISNUMBER(SEARCH("PENDING",K126&amp;" "&amp;O126)),ISNUMBER(SEARCH("IN PROGRESS",K126&amp;" "&amp;O126)),ISNUMBER(SEARCH("OPEN",K126&amp;" "&amp;O126)),ISNUMBER(SEARCH("RETEST REQUIRED",K126&amp;" "&amp;O126)),ISNUMBER(SEARCH("IMPLEMENTATION UPDATED",K126&amp;" "&amp;O126)),ISNUMBER(SEARCH("REQUIRED EVERY SESSION",K126&amp;" "&amp;O126))),"Pending",IF(OR(O126="PASS",ISNUMBER(SEARCH("PASS",K126&amp;" "&amp;O126))),"Done","Pending"))))</f>
        <v>Not started</v>
      </c>
      <c r="S126" s="146" t="str">
        <f>IF(OR(LEFT(A126,9)="OPERATOR-",LEFT(A126,8)="PAYMENT-",LEFT(A126,7)="DEPLOY-"),"External","Core")</f>
        <v>Core</v>
      </c>
    </row>
    <row r="127" customFormat="false" ht="15" hidden="false" customHeight="false" outlineLevel="0" collapsed="false">
      <c r="A127" s="138" t="s">
        <v>1145</v>
      </c>
      <c r="B127" s="138" t="s">
        <v>1108</v>
      </c>
      <c r="C127" s="263" t="s">
        <v>66</v>
      </c>
      <c r="D127" s="138" t="s">
        <v>1136</v>
      </c>
      <c r="E127" s="138" t="s">
        <v>1146</v>
      </c>
      <c r="F127" s="138" t="s">
        <v>1147</v>
      </c>
      <c r="G127" s="138" t="s">
        <v>1148</v>
      </c>
      <c r="H127" s="138" t="s">
        <v>4</v>
      </c>
      <c r="I127" s="138" t="s">
        <v>4</v>
      </c>
      <c r="J127" s="138" t="s">
        <v>1149</v>
      </c>
      <c r="K127" s="138" t="s">
        <v>132</v>
      </c>
      <c r="L127" s="138" t="s">
        <v>1</v>
      </c>
      <c r="M127" s="138" t="s">
        <v>1150</v>
      </c>
      <c r="N127" s="138" t="s">
        <v>1151</v>
      </c>
      <c r="O127" s="138" t="s">
        <v>1</v>
      </c>
      <c r="P127" s="138" t="s">
        <v>1152</v>
      </c>
      <c r="Q127" s="138" t="s">
        <v>101</v>
      </c>
      <c r="R127" s="146" t="str">
        <f>IF(OR(ISNUMBER(SEARCH("FAIL",K127&amp;" "&amp;O127)),ISNUMBER(SEARCH("CLEAN RETEST REQUIRED",K127&amp;" "&amp;O127))),"Failed",IF(OR(ISNUMBER(SEARCH("NOT RUN",K127&amp;" "&amp;O127)),ISNUMBER(SEARCH("NOT IMPLEMENTED",K127&amp;" "&amp;O127))),"Not started",IF(OR(ISNUMBER(SEARCH("PARTIAL",K127&amp;" "&amp;O127)),ISNUMBER(SEARCH("PENDING",K127&amp;" "&amp;O127)),ISNUMBER(SEARCH("IN PROGRESS",K127&amp;" "&amp;O127)),ISNUMBER(SEARCH("OPEN",K127&amp;" "&amp;O127)),ISNUMBER(SEARCH("RETEST REQUIRED",K127&amp;" "&amp;O127)),ISNUMBER(SEARCH("IMPLEMENTATION UPDATED",K127&amp;" "&amp;O127)),ISNUMBER(SEARCH("REQUIRED EVERY SESSION",K127&amp;" "&amp;O127))),"Pending",IF(OR(O127="PASS",ISNUMBER(SEARCH("PASS",K127&amp;" "&amp;O127))),"Done","Pending"))))</f>
        <v>Not started</v>
      </c>
      <c r="S127" s="146" t="str">
        <f>IF(OR(LEFT(A127,9)="OPERATOR-",LEFT(A127,8)="PAYMENT-",LEFT(A127,7)="DEPLOY-"),"External","Core")</f>
        <v>Core</v>
      </c>
    </row>
    <row r="128" customFormat="false" ht="15" hidden="false" customHeight="false" outlineLevel="0" collapsed="false">
      <c r="A128" s="138" t="s">
        <v>1153</v>
      </c>
      <c r="B128" s="138" t="s">
        <v>1154</v>
      </c>
      <c r="C128" s="263" t="s">
        <v>66</v>
      </c>
      <c r="D128" s="138" t="s">
        <v>1155</v>
      </c>
      <c r="E128" s="138" t="s">
        <v>1156</v>
      </c>
      <c r="F128" s="138" t="s">
        <v>4</v>
      </c>
      <c r="G128" s="138" t="s">
        <v>1157</v>
      </c>
      <c r="H128" s="138" t="s">
        <v>4</v>
      </c>
      <c r="I128" s="138" t="s">
        <v>4</v>
      </c>
      <c r="J128" s="138" t="s">
        <v>1158</v>
      </c>
      <c r="K128" s="138" t="s">
        <v>132</v>
      </c>
      <c r="L128" s="138" t="s">
        <v>1</v>
      </c>
      <c r="M128" s="138" t="s">
        <v>1159</v>
      </c>
      <c r="N128" s="138" t="s">
        <v>1160</v>
      </c>
      <c r="O128" s="138" t="s">
        <v>1</v>
      </c>
      <c r="P128" s="138" t="s">
        <v>1161</v>
      </c>
      <c r="Q128" s="138" t="s">
        <v>372</v>
      </c>
      <c r="R128" s="146" t="str">
        <f>IF(OR(ISNUMBER(SEARCH("FAIL",K128&amp;" "&amp;O128)),ISNUMBER(SEARCH("CLEAN RETEST REQUIRED",K128&amp;" "&amp;O128))),"Failed",IF(OR(ISNUMBER(SEARCH("NOT RUN",K128&amp;" "&amp;O128)),ISNUMBER(SEARCH("NOT IMPLEMENTED",K128&amp;" "&amp;O128))),"Not started",IF(OR(ISNUMBER(SEARCH("PARTIAL",K128&amp;" "&amp;O128)),ISNUMBER(SEARCH("PENDING",K128&amp;" "&amp;O128)),ISNUMBER(SEARCH("IN PROGRESS",K128&amp;" "&amp;O128)),ISNUMBER(SEARCH("OPEN",K128&amp;" "&amp;O128)),ISNUMBER(SEARCH("RETEST REQUIRED",K128&amp;" "&amp;O128)),ISNUMBER(SEARCH("IMPLEMENTATION UPDATED",K128&amp;" "&amp;O128)),ISNUMBER(SEARCH("REQUIRED EVERY SESSION",K128&amp;" "&amp;O128))),"Pending",IF(OR(O128="PASS",ISNUMBER(SEARCH("PASS",K128&amp;" "&amp;O128))),"Done","Pending"))))</f>
        <v>Not started</v>
      </c>
      <c r="S128" s="146" t="str">
        <f>IF(OR(LEFT(A128,9)="OPERATOR-",LEFT(A128,8)="PAYMENT-",LEFT(A128,7)="DEPLOY-"),"External","Core")</f>
        <v>Core</v>
      </c>
    </row>
    <row r="129" customFormat="false" ht="15" hidden="false" customHeight="false" outlineLevel="0" collapsed="false">
      <c r="A129" s="138" t="s">
        <v>1162</v>
      </c>
      <c r="B129" s="138" t="s">
        <v>1154</v>
      </c>
      <c r="C129" s="263" t="s">
        <v>66</v>
      </c>
      <c r="D129" s="138" t="s">
        <v>1163</v>
      </c>
      <c r="E129" s="138" t="s">
        <v>1164</v>
      </c>
      <c r="F129" s="138" t="s">
        <v>1014</v>
      </c>
      <c r="G129" s="138" t="s">
        <v>1165</v>
      </c>
      <c r="H129" s="138" t="s">
        <v>4</v>
      </c>
      <c r="I129" s="138" t="s">
        <v>1166</v>
      </c>
      <c r="J129" s="138" t="s">
        <v>1167</v>
      </c>
      <c r="K129" s="138" t="s">
        <v>132</v>
      </c>
      <c r="L129" s="138" t="s">
        <v>1</v>
      </c>
      <c r="M129" s="138" t="s">
        <v>1168</v>
      </c>
      <c r="N129" s="138" t="s">
        <v>1169</v>
      </c>
      <c r="O129" s="138" t="s">
        <v>1</v>
      </c>
      <c r="P129" s="138" t="s">
        <v>1170</v>
      </c>
      <c r="Q129" s="138" t="s">
        <v>101</v>
      </c>
      <c r="R129" s="146" t="str">
        <f>IF(OR(ISNUMBER(SEARCH("FAIL",K129&amp;" "&amp;O129)),ISNUMBER(SEARCH("CLEAN RETEST REQUIRED",K129&amp;" "&amp;O129))),"Failed",IF(OR(ISNUMBER(SEARCH("NOT RUN",K129&amp;" "&amp;O129)),ISNUMBER(SEARCH("NOT IMPLEMENTED",K129&amp;" "&amp;O129))),"Not started",IF(OR(ISNUMBER(SEARCH("PARTIAL",K129&amp;" "&amp;O129)),ISNUMBER(SEARCH("PENDING",K129&amp;" "&amp;O129)),ISNUMBER(SEARCH("IN PROGRESS",K129&amp;" "&amp;O129)),ISNUMBER(SEARCH("OPEN",K129&amp;" "&amp;O129)),ISNUMBER(SEARCH("RETEST REQUIRED",K129&amp;" "&amp;O129)),ISNUMBER(SEARCH("IMPLEMENTATION UPDATED",K129&amp;" "&amp;O129)),ISNUMBER(SEARCH("REQUIRED EVERY SESSION",K129&amp;" "&amp;O129))),"Pending",IF(OR(O129="PASS",ISNUMBER(SEARCH("PASS",K129&amp;" "&amp;O129))),"Done","Pending"))))</f>
        <v>Not started</v>
      </c>
      <c r="S129" s="146" t="str">
        <f>IF(OR(LEFT(A129,9)="OPERATOR-",LEFT(A129,8)="PAYMENT-",LEFT(A129,7)="DEPLOY-"),"External","Core")</f>
        <v>Core</v>
      </c>
    </row>
    <row r="130" customFormat="false" ht="15" hidden="false" customHeight="false" outlineLevel="0" collapsed="false">
      <c r="A130" s="138" t="s">
        <v>1171</v>
      </c>
      <c r="B130" s="138" t="s">
        <v>1154</v>
      </c>
      <c r="C130" s="263" t="s">
        <v>66</v>
      </c>
      <c r="D130" s="138" t="s">
        <v>1172</v>
      </c>
      <c r="E130" s="138" t="s">
        <v>1173</v>
      </c>
      <c r="F130" s="138" t="s">
        <v>4</v>
      </c>
      <c r="G130" s="138" t="s">
        <v>1174</v>
      </c>
      <c r="H130" s="138" t="s">
        <v>4</v>
      </c>
      <c r="I130" s="138" t="s">
        <v>4</v>
      </c>
      <c r="J130" s="138" t="s">
        <v>1175</v>
      </c>
      <c r="K130" s="138" t="s">
        <v>132</v>
      </c>
      <c r="L130" s="138" t="s">
        <v>1</v>
      </c>
      <c r="M130" s="138" t="s">
        <v>1176</v>
      </c>
      <c r="N130" s="138" t="s">
        <v>1177</v>
      </c>
      <c r="O130" s="138" t="s">
        <v>1</v>
      </c>
      <c r="P130" s="138" t="s">
        <v>1178</v>
      </c>
      <c r="Q130" s="138" t="s">
        <v>1179</v>
      </c>
      <c r="R130" s="146" t="str">
        <f>IF(OR(ISNUMBER(SEARCH("FAIL",K130&amp;" "&amp;O130)),ISNUMBER(SEARCH("CLEAN RETEST REQUIRED",K130&amp;" "&amp;O130))),"Failed",IF(OR(ISNUMBER(SEARCH("NOT RUN",K130&amp;" "&amp;O130)),ISNUMBER(SEARCH("NOT IMPLEMENTED",K130&amp;" "&amp;O130))),"Not started",IF(OR(ISNUMBER(SEARCH("PARTIAL",K130&amp;" "&amp;O130)),ISNUMBER(SEARCH("PENDING",K130&amp;" "&amp;O130)),ISNUMBER(SEARCH("IN PROGRESS",K130&amp;" "&amp;O130)),ISNUMBER(SEARCH("OPEN",K130&amp;" "&amp;O130)),ISNUMBER(SEARCH("RETEST REQUIRED",K130&amp;" "&amp;O130)),ISNUMBER(SEARCH("IMPLEMENTATION UPDATED",K130&amp;" "&amp;O130)),ISNUMBER(SEARCH("REQUIRED EVERY SESSION",K130&amp;" "&amp;O130))),"Pending",IF(OR(O130="PASS",ISNUMBER(SEARCH("PASS",K130&amp;" "&amp;O130))),"Done","Pending"))))</f>
        <v>Not started</v>
      </c>
      <c r="S130" s="146" t="str">
        <f>IF(OR(LEFT(A130,9)="OPERATOR-",LEFT(A130,8)="PAYMENT-",LEFT(A130,7)="DEPLOY-"),"External","Core")</f>
        <v>Core</v>
      </c>
    </row>
    <row r="131" customFormat="false" ht="15" hidden="false" customHeight="false" outlineLevel="0" collapsed="false">
      <c r="A131" s="138" t="s">
        <v>1180</v>
      </c>
      <c r="B131" s="138" t="s">
        <v>1154</v>
      </c>
      <c r="C131" s="263" t="s">
        <v>66</v>
      </c>
      <c r="D131" s="138" t="s">
        <v>1181</v>
      </c>
      <c r="E131" s="138" t="s">
        <v>1182</v>
      </c>
      <c r="F131" s="138" t="s">
        <v>4</v>
      </c>
      <c r="G131" s="138" t="s">
        <v>1183</v>
      </c>
      <c r="H131" s="138" t="s">
        <v>4</v>
      </c>
      <c r="I131" s="138" t="s">
        <v>4</v>
      </c>
      <c r="J131" s="138" t="s">
        <v>1184</v>
      </c>
      <c r="K131" s="138" t="s">
        <v>132</v>
      </c>
      <c r="L131" s="138" t="s">
        <v>1</v>
      </c>
      <c r="M131" s="138" t="s">
        <v>1185</v>
      </c>
      <c r="N131" s="138" t="s">
        <v>1186</v>
      </c>
      <c r="O131" s="138" t="s">
        <v>1</v>
      </c>
      <c r="P131" s="138" t="s">
        <v>1187</v>
      </c>
      <c r="Q131" s="138" t="s">
        <v>127</v>
      </c>
      <c r="R131" s="146" t="str">
        <f>IF(OR(ISNUMBER(SEARCH("FAIL",K131&amp;" "&amp;O131)),ISNUMBER(SEARCH("CLEAN RETEST REQUIRED",K131&amp;" "&amp;O131))),"Failed",IF(OR(ISNUMBER(SEARCH("NOT RUN",K131&amp;" "&amp;O131)),ISNUMBER(SEARCH("NOT IMPLEMENTED",K131&amp;" "&amp;O131))),"Not started",IF(OR(ISNUMBER(SEARCH("PARTIAL",K131&amp;" "&amp;O131)),ISNUMBER(SEARCH("PENDING",K131&amp;" "&amp;O131)),ISNUMBER(SEARCH("IN PROGRESS",K131&amp;" "&amp;O131)),ISNUMBER(SEARCH("OPEN",K131&amp;" "&amp;O131)),ISNUMBER(SEARCH("RETEST REQUIRED",K131&amp;" "&amp;O131)),ISNUMBER(SEARCH("IMPLEMENTATION UPDATED",K131&amp;" "&amp;O131)),ISNUMBER(SEARCH("REQUIRED EVERY SESSION",K131&amp;" "&amp;O131))),"Pending",IF(OR(O131="PASS",ISNUMBER(SEARCH("PASS",K131&amp;" "&amp;O131))),"Done","Pending"))))</f>
        <v>Not started</v>
      </c>
      <c r="S131" s="146" t="str">
        <f>IF(OR(LEFT(A131,9)="OPERATOR-",LEFT(A131,8)="PAYMENT-",LEFT(A131,7)="DEPLOY-"),"External","Core")</f>
        <v>Core</v>
      </c>
    </row>
    <row r="132" customFormat="false" ht="15" hidden="false" customHeight="false" outlineLevel="0" collapsed="false">
      <c r="A132" s="138" t="s">
        <v>1188</v>
      </c>
      <c r="B132" s="138" t="s">
        <v>1154</v>
      </c>
      <c r="C132" s="263" t="s">
        <v>66</v>
      </c>
      <c r="D132" s="138" t="s">
        <v>1189</v>
      </c>
      <c r="E132" s="138" t="s">
        <v>1190</v>
      </c>
      <c r="F132" s="138" t="s">
        <v>4</v>
      </c>
      <c r="G132" s="138" t="s">
        <v>1191</v>
      </c>
      <c r="H132" s="138" t="s">
        <v>4</v>
      </c>
      <c r="I132" s="138" t="s">
        <v>4</v>
      </c>
      <c r="J132" s="138" t="s">
        <v>1192</v>
      </c>
      <c r="K132" s="138" t="s">
        <v>132</v>
      </c>
      <c r="L132" s="138" t="s">
        <v>1</v>
      </c>
      <c r="M132" s="138" t="s">
        <v>1193</v>
      </c>
      <c r="N132" s="138" t="s">
        <v>1194</v>
      </c>
      <c r="O132" s="138" t="s">
        <v>1</v>
      </c>
      <c r="P132" s="138" t="s">
        <v>1195</v>
      </c>
      <c r="Q132" s="138" t="s">
        <v>372</v>
      </c>
      <c r="R132" s="146" t="str">
        <f>IF(OR(ISNUMBER(SEARCH("FAIL",K132&amp;" "&amp;O132)),ISNUMBER(SEARCH("CLEAN RETEST REQUIRED",K132&amp;" "&amp;O132))),"Failed",IF(OR(ISNUMBER(SEARCH("NOT RUN",K132&amp;" "&amp;O132)),ISNUMBER(SEARCH("NOT IMPLEMENTED",K132&amp;" "&amp;O132))),"Not started",IF(OR(ISNUMBER(SEARCH("PARTIAL",K132&amp;" "&amp;O132)),ISNUMBER(SEARCH("PENDING",K132&amp;" "&amp;O132)),ISNUMBER(SEARCH("IN PROGRESS",K132&amp;" "&amp;O132)),ISNUMBER(SEARCH("OPEN",K132&amp;" "&amp;O132)),ISNUMBER(SEARCH("RETEST REQUIRED",K132&amp;" "&amp;O132)),ISNUMBER(SEARCH("IMPLEMENTATION UPDATED",K132&amp;" "&amp;O132)),ISNUMBER(SEARCH("REQUIRED EVERY SESSION",K132&amp;" "&amp;O132))),"Pending",IF(OR(O132="PASS",ISNUMBER(SEARCH("PASS",K132&amp;" "&amp;O132))),"Done","Pending"))))</f>
        <v>Not started</v>
      </c>
      <c r="S132" s="146" t="str">
        <f>IF(OR(LEFT(A132,9)="OPERATOR-",LEFT(A132,8)="PAYMENT-",LEFT(A132,7)="DEPLOY-"),"External","Core")</f>
        <v>Core</v>
      </c>
    </row>
    <row r="133" customFormat="false" ht="15" hidden="false" customHeight="false" outlineLevel="0" collapsed="false">
      <c r="A133" s="138" t="s">
        <v>1196</v>
      </c>
      <c r="B133" s="138" t="s">
        <v>1154</v>
      </c>
      <c r="C133" s="263" t="s">
        <v>66</v>
      </c>
      <c r="D133" s="138" t="s">
        <v>1197</v>
      </c>
      <c r="E133" s="138" t="s">
        <v>1198</v>
      </c>
      <c r="F133" s="138" t="s">
        <v>1199</v>
      </c>
      <c r="G133" s="138" t="s">
        <v>1200</v>
      </c>
      <c r="H133" s="138" t="s">
        <v>4</v>
      </c>
      <c r="I133" s="138" t="s">
        <v>4</v>
      </c>
      <c r="J133" s="138" t="s">
        <v>1201</v>
      </c>
      <c r="K133" s="138" t="s">
        <v>132</v>
      </c>
      <c r="L133" s="138" t="s">
        <v>1</v>
      </c>
      <c r="M133" s="138" t="s">
        <v>1202</v>
      </c>
      <c r="N133" s="138" t="s">
        <v>1203</v>
      </c>
      <c r="O133" s="138" t="s">
        <v>1</v>
      </c>
      <c r="P133" s="138" t="s">
        <v>1204</v>
      </c>
      <c r="Q133" s="138" t="s">
        <v>767</v>
      </c>
      <c r="R133" s="146" t="str">
        <f>IF(OR(ISNUMBER(SEARCH("FAIL",K133&amp;" "&amp;O133)),ISNUMBER(SEARCH("CLEAN RETEST REQUIRED",K133&amp;" "&amp;O133))),"Failed",IF(OR(ISNUMBER(SEARCH("NOT RUN",K133&amp;" "&amp;O133)),ISNUMBER(SEARCH("NOT IMPLEMENTED",K133&amp;" "&amp;O133))),"Not started",IF(OR(ISNUMBER(SEARCH("PARTIAL",K133&amp;" "&amp;O133)),ISNUMBER(SEARCH("PENDING",K133&amp;" "&amp;O133)),ISNUMBER(SEARCH("IN PROGRESS",K133&amp;" "&amp;O133)),ISNUMBER(SEARCH("OPEN",K133&amp;" "&amp;O133)),ISNUMBER(SEARCH("RETEST REQUIRED",K133&amp;" "&amp;O133)),ISNUMBER(SEARCH("IMPLEMENTATION UPDATED",K133&amp;" "&amp;O133)),ISNUMBER(SEARCH("REQUIRED EVERY SESSION",K133&amp;" "&amp;O133))),"Pending",IF(OR(O133="PASS",ISNUMBER(SEARCH("PASS",K133&amp;" "&amp;O133))),"Done","Pending"))))</f>
        <v>Not started</v>
      </c>
      <c r="S133" s="146" t="str">
        <f>IF(OR(LEFT(A133,9)="OPERATOR-",LEFT(A133,8)="PAYMENT-",LEFT(A133,7)="DEPLOY-"),"External","Core")</f>
        <v>Core</v>
      </c>
    </row>
    <row r="134" customFormat="false" ht="15" hidden="false" customHeight="false" outlineLevel="0" collapsed="false">
      <c r="A134" s="138" t="s">
        <v>1205</v>
      </c>
      <c r="B134" s="138" t="s">
        <v>1154</v>
      </c>
      <c r="C134" s="263" t="s">
        <v>66</v>
      </c>
      <c r="D134" s="138" t="s">
        <v>1206</v>
      </c>
      <c r="E134" s="138" t="s">
        <v>1207</v>
      </c>
      <c r="F134" s="138" t="s">
        <v>4</v>
      </c>
      <c r="G134" s="138" t="s">
        <v>1208</v>
      </c>
      <c r="H134" s="138" t="s">
        <v>4</v>
      </c>
      <c r="I134" s="138" t="s">
        <v>4</v>
      </c>
      <c r="J134" s="138" t="s">
        <v>1209</v>
      </c>
      <c r="K134" s="138" t="s">
        <v>132</v>
      </c>
      <c r="L134" s="138" t="s">
        <v>1</v>
      </c>
      <c r="M134" s="138" t="s">
        <v>1210</v>
      </c>
      <c r="N134" s="138" t="s">
        <v>1211</v>
      </c>
      <c r="O134" s="138" t="s">
        <v>1</v>
      </c>
      <c r="P134" s="138" t="s">
        <v>1212</v>
      </c>
      <c r="Q134" s="138" t="s">
        <v>101</v>
      </c>
      <c r="R134" s="146" t="str">
        <f>IF(OR(ISNUMBER(SEARCH("FAIL",K134&amp;" "&amp;O134)),ISNUMBER(SEARCH("CLEAN RETEST REQUIRED",K134&amp;" "&amp;O134))),"Failed",IF(OR(ISNUMBER(SEARCH("NOT RUN",K134&amp;" "&amp;O134)),ISNUMBER(SEARCH("NOT IMPLEMENTED",K134&amp;" "&amp;O134))),"Not started",IF(OR(ISNUMBER(SEARCH("PARTIAL",K134&amp;" "&amp;O134)),ISNUMBER(SEARCH("PENDING",K134&amp;" "&amp;O134)),ISNUMBER(SEARCH("IN PROGRESS",K134&amp;" "&amp;O134)),ISNUMBER(SEARCH("OPEN",K134&amp;" "&amp;O134)),ISNUMBER(SEARCH("RETEST REQUIRED",K134&amp;" "&amp;O134)),ISNUMBER(SEARCH("IMPLEMENTATION UPDATED",K134&amp;" "&amp;O134)),ISNUMBER(SEARCH("REQUIRED EVERY SESSION",K134&amp;" "&amp;O134))),"Pending",IF(OR(O134="PASS",ISNUMBER(SEARCH("PASS",K134&amp;" "&amp;O134))),"Done","Pending"))))</f>
        <v>Not started</v>
      </c>
      <c r="S134" s="146" t="str">
        <f>IF(OR(LEFT(A134,9)="OPERATOR-",LEFT(A134,8)="PAYMENT-",LEFT(A134,7)="DEPLOY-"),"External","Core")</f>
        <v>Core</v>
      </c>
    </row>
    <row r="135" customFormat="false" ht="15" hidden="false" customHeight="false" outlineLevel="0" collapsed="false">
      <c r="A135" s="135" t="s">
        <v>1213</v>
      </c>
      <c r="B135" s="135" t="s">
        <v>1214</v>
      </c>
      <c r="C135" s="263" t="s">
        <v>66</v>
      </c>
      <c r="D135" s="135" t="s">
        <v>74</v>
      </c>
      <c r="E135" s="135" t="s">
        <v>1215</v>
      </c>
      <c r="F135" s="135" t="s">
        <v>1216</v>
      </c>
      <c r="G135" s="135" t="s">
        <v>4</v>
      </c>
      <c r="H135" s="135" t="s">
        <v>4</v>
      </c>
      <c r="I135" s="135" t="s">
        <v>4</v>
      </c>
      <c r="J135" s="135" t="s">
        <v>4</v>
      </c>
      <c r="K135" s="135" t="s">
        <v>714</v>
      </c>
      <c r="L135" s="135" t="s">
        <v>96</v>
      </c>
      <c r="M135" s="135" t="s">
        <v>1217</v>
      </c>
      <c r="N135" s="135" t="s">
        <v>1218</v>
      </c>
      <c r="O135" s="135" t="s">
        <v>125</v>
      </c>
      <c r="P135" s="135" t="s">
        <v>1219</v>
      </c>
      <c r="Q135" s="135" t="s">
        <v>1220</v>
      </c>
      <c r="R135" s="146" t="str">
        <f>IF(OR(ISNUMBER(SEARCH("FAIL",K135&amp;" "&amp;O135)),ISNUMBER(SEARCH("CLEAN RETEST REQUIRED",K135&amp;" "&amp;O135))),"Failed",IF(OR(ISNUMBER(SEARCH("NOT RUN",K135&amp;" "&amp;O135)),ISNUMBER(SEARCH("NOT IMPLEMENTED",K135&amp;" "&amp;O135))),"Not started",IF(OR(ISNUMBER(SEARCH("PARTIAL",K135&amp;" "&amp;O135)),ISNUMBER(SEARCH("PENDING",K135&amp;" "&amp;O135)),ISNUMBER(SEARCH("IN PROGRESS",K135&amp;" "&amp;O135)),ISNUMBER(SEARCH("OPEN",K135&amp;" "&amp;O135)),ISNUMBER(SEARCH("RETEST REQUIRED",K135&amp;" "&amp;O135)),ISNUMBER(SEARCH("IMPLEMENTATION UPDATED",K135&amp;" "&amp;O135)),ISNUMBER(SEARCH("REQUIRED EVERY SESSION",K135&amp;" "&amp;O135))),"Pending",IF(OR(O135="PASS",ISNUMBER(SEARCH("PASS",K135&amp;" "&amp;O135))),"Done","Pending"))))</f>
        <v>Done</v>
      </c>
      <c r="S135" s="146" t="str">
        <f>IF(OR(LEFT(A135,9)="OPERATOR-",LEFT(A135,8)="PAYMENT-",LEFT(A135,7)="DEPLOY-"),"External","Core")</f>
        <v>Core</v>
      </c>
    </row>
    <row r="136" customFormat="false" ht="15" hidden="false" customHeight="false" outlineLevel="0" collapsed="false">
      <c r="A136" s="138" t="s">
        <v>1221</v>
      </c>
      <c r="B136" s="138" t="s">
        <v>1214</v>
      </c>
      <c r="C136" s="263" t="s">
        <v>66</v>
      </c>
      <c r="D136" s="138" t="s">
        <v>1222</v>
      </c>
      <c r="E136" s="138" t="s">
        <v>1223</v>
      </c>
      <c r="F136" s="138" t="s">
        <v>4</v>
      </c>
      <c r="G136" s="138" t="s">
        <v>1224</v>
      </c>
      <c r="H136" s="138" t="s">
        <v>4</v>
      </c>
      <c r="I136" s="138" t="s">
        <v>4</v>
      </c>
      <c r="J136" s="138" t="s">
        <v>4</v>
      </c>
      <c r="K136" s="138" t="s">
        <v>337</v>
      </c>
      <c r="L136" s="138" t="s">
        <v>1</v>
      </c>
      <c r="M136" s="138" t="s">
        <v>1225</v>
      </c>
      <c r="N136" s="138" t="s">
        <v>1226</v>
      </c>
      <c r="O136" s="138" t="s">
        <v>1</v>
      </c>
      <c r="P136" s="138" t="s">
        <v>1227</v>
      </c>
      <c r="Q136" s="138" t="s">
        <v>1228</v>
      </c>
      <c r="R136" s="146" t="str">
        <f>IF(OR(ISNUMBER(SEARCH("FAIL",K136&amp;" "&amp;O136)),ISNUMBER(SEARCH("CLEAN RETEST REQUIRED",K136&amp;" "&amp;O136))),"Failed",IF(OR(ISNUMBER(SEARCH("NOT RUN",K136&amp;" "&amp;O136)),ISNUMBER(SEARCH("NOT IMPLEMENTED",K136&amp;" "&amp;O136))),"Not started",IF(OR(ISNUMBER(SEARCH("PARTIAL",K136&amp;" "&amp;O136)),ISNUMBER(SEARCH("PENDING",K136&amp;" "&amp;O136)),ISNUMBER(SEARCH("IN PROGRESS",K136&amp;" "&amp;O136)),ISNUMBER(SEARCH("OPEN",K136&amp;" "&amp;O136)),ISNUMBER(SEARCH("RETEST REQUIRED",K136&amp;" "&amp;O136)),ISNUMBER(SEARCH("IMPLEMENTATION UPDATED",K136&amp;" "&amp;O136)),ISNUMBER(SEARCH("REQUIRED EVERY SESSION",K136&amp;" "&amp;O136))),"Pending",IF(OR(O136="PASS",ISNUMBER(SEARCH("PASS",K136&amp;" "&amp;O136))),"Done","Pending"))))</f>
        <v>Not started</v>
      </c>
      <c r="S136" s="146" t="str">
        <f>IF(OR(LEFT(A136,9)="OPERATOR-",LEFT(A136,8)="PAYMENT-",LEFT(A136,7)="DEPLOY-"),"External","Core")</f>
        <v>Core</v>
      </c>
    </row>
    <row r="137" customFormat="false" ht="15" hidden="false" customHeight="false" outlineLevel="0" collapsed="false">
      <c r="A137" s="138" t="s">
        <v>1229</v>
      </c>
      <c r="B137" s="138" t="s">
        <v>1214</v>
      </c>
      <c r="C137" s="263" t="s">
        <v>66</v>
      </c>
      <c r="D137" s="138" t="s">
        <v>76</v>
      </c>
      <c r="E137" s="138" t="s">
        <v>1230</v>
      </c>
      <c r="F137" s="138" t="s">
        <v>1231</v>
      </c>
      <c r="G137" s="138" t="s">
        <v>4</v>
      </c>
      <c r="H137" s="138" t="s">
        <v>1232</v>
      </c>
      <c r="I137" s="138" t="s">
        <v>4</v>
      </c>
      <c r="J137" s="138" t="s">
        <v>4</v>
      </c>
      <c r="K137" s="138" t="s">
        <v>337</v>
      </c>
      <c r="L137" s="138" t="s">
        <v>1</v>
      </c>
      <c r="M137" s="138" t="s">
        <v>1233</v>
      </c>
      <c r="N137" s="138" t="s">
        <v>1234</v>
      </c>
      <c r="O137" s="138" t="s">
        <v>1</v>
      </c>
      <c r="P137" s="138" t="s">
        <v>1235</v>
      </c>
      <c r="Q137" s="138" t="s">
        <v>1236</v>
      </c>
      <c r="R137" s="146" t="str">
        <f>IF(OR(ISNUMBER(SEARCH("FAIL",K137&amp;" "&amp;O137)),ISNUMBER(SEARCH("CLEAN RETEST REQUIRED",K137&amp;" "&amp;O137))),"Failed",IF(OR(ISNUMBER(SEARCH("NOT RUN",K137&amp;" "&amp;O137)),ISNUMBER(SEARCH("NOT IMPLEMENTED",K137&amp;" "&amp;O137))),"Not started",IF(OR(ISNUMBER(SEARCH("PARTIAL",K137&amp;" "&amp;O137)),ISNUMBER(SEARCH("PENDING",K137&amp;" "&amp;O137)),ISNUMBER(SEARCH("IN PROGRESS",K137&amp;" "&amp;O137)),ISNUMBER(SEARCH("OPEN",K137&amp;" "&amp;O137)),ISNUMBER(SEARCH("RETEST REQUIRED",K137&amp;" "&amp;O137)),ISNUMBER(SEARCH("IMPLEMENTATION UPDATED",K137&amp;" "&amp;O137)),ISNUMBER(SEARCH("REQUIRED EVERY SESSION",K137&amp;" "&amp;O137))),"Pending",IF(OR(O137="PASS",ISNUMBER(SEARCH("PASS",K137&amp;" "&amp;O137))),"Done","Pending"))))</f>
        <v>Not started</v>
      </c>
      <c r="S137" s="146" t="str">
        <f>IF(OR(LEFT(A137,9)="OPERATOR-",LEFT(A137,8)="PAYMENT-",LEFT(A137,7)="DEPLOY-"),"External","Core")</f>
        <v>Core</v>
      </c>
    </row>
    <row r="138" customFormat="false" ht="15" hidden="false" customHeight="false" outlineLevel="0" collapsed="false">
      <c r="A138" s="136" t="s">
        <v>1237</v>
      </c>
      <c r="B138" s="136" t="s">
        <v>1238</v>
      </c>
      <c r="C138" s="263" t="s">
        <v>66</v>
      </c>
      <c r="D138" s="136" t="s">
        <v>74</v>
      </c>
      <c r="E138" s="136" t="s">
        <v>1239</v>
      </c>
      <c r="F138" s="136" t="s">
        <v>1240</v>
      </c>
      <c r="G138" s="136" t="s">
        <v>1241</v>
      </c>
      <c r="H138" s="136" t="s">
        <v>1242</v>
      </c>
      <c r="I138" s="136" t="s">
        <v>1243</v>
      </c>
      <c r="J138" s="136" t="s">
        <v>1244</v>
      </c>
      <c r="K138" s="136" t="s">
        <v>1245</v>
      </c>
      <c r="L138" s="136" t="s">
        <v>96</v>
      </c>
      <c r="M138" s="136" t="s">
        <v>1246</v>
      </c>
      <c r="N138" s="136" t="s">
        <v>1247</v>
      </c>
      <c r="O138" s="136" t="s">
        <v>1059</v>
      </c>
      <c r="P138" s="136" t="s">
        <v>1248</v>
      </c>
      <c r="Q138" s="136" t="s">
        <v>307</v>
      </c>
      <c r="R138" s="146" t="str">
        <f>IF(OR(ISNUMBER(SEARCH("FAIL",K138&amp;" "&amp;O138)),ISNUMBER(SEARCH("CLEAN RETEST REQUIRED",K138&amp;" "&amp;O138))),"Failed",IF(OR(ISNUMBER(SEARCH("NOT RUN",K138&amp;" "&amp;O138)),ISNUMBER(SEARCH("NOT IMPLEMENTED",K138&amp;" "&amp;O138))),"Not started",IF(OR(ISNUMBER(SEARCH("PARTIAL",K138&amp;" "&amp;O138)),ISNUMBER(SEARCH("PENDING",K138&amp;" "&amp;O138)),ISNUMBER(SEARCH("IN PROGRESS",K138&amp;" "&amp;O138)),ISNUMBER(SEARCH("OPEN",K138&amp;" "&amp;O138)),ISNUMBER(SEARCH("RETEST REQUIRED",K138&amp;" "&amp;O138)),ISNUMBER(SEARCH("IMPLEMENTATION UPDATED",K138&amp;" "&amp;O138)),ISNUMBER(SEARCH("REQUIRED EVERY SESSION",K138&amp;" "&amp;O138))),"Pending",IF(OR(O138="PASS",ISNUMBER(SEARCH("PASS",K138&amp;" "&amp;O138))),"Done","Pending"))))</f>
        <v>Pending</v>
      </c>
      <c r="S138" s="146" t="str">
        <f>IF(OR(LEFT(A138,9)="OPERATOR-",LEFT(A138,8)="PAYMENT-",LEFT(A138,7)="DEPLOY-"),"External","Core")</f>
        <v>Core</v>
      </c>
    </row>
    <row r="139" customFormat="false" ht="15" hidden="false" customHeight="false" outlineLevel="0" collapsed="false">
      <c r="A139" s="135" t="s">
        <v>1249</v>
      </c>
      <c r="B139" s="135" t="s">
        <v>1238</v>
      </c>
      <c r="C139" s="263" t="s">
        <v>66</v>
      </c>
      <c r="D139" s="135" t="s">
        <v>74</v>
      </c>
      <c r="E139" s="135" t="s">
        <v>1250</v>
      </c>
      <c r="F139" s="135" t="s">
        <v>1251</v>
      </c>
      <c r="G139" s="135" t="s">
        <v>1252</v>
      </c>
      <c r="H139" s="135" t="s">
        <v>4</v>
      </c>
      <c r="I139" s="135" t="s">
        <v>1253</v>
      </c>
      <c r="J139" s="135" t="s">
        <v>1254</v>
      </c>
      <c r="K139" s="135" t="s">
        <v>236</v>
      </c>
      <c r="L139" s="135" t="s">
        <v>469</v>
      </c>
      <c r="M139" s="135" t="s">
        <v>1255</v>
      </c>
      <c r="N139" s="135" t="s">
        <v>1256</v>
      </c>
      <c r="O139" s="135" t="s">
        <v>125</v>
      </c>
      <c r="P139" s="135" t="s">
        <v>1257</v>
      </c>
      <c r="Q139" s="135" t="s">
        <v>1258</v>
      </c>
      <c r="R139" s="146" t="str">
        <f>IF(OR(ISNUMBER(SEARCH("FAIL",K139&amp;" "&amp;O139)),ISNUMBER(SEARCH("CLEAN RETEST REQUIRED",K139&amp;" "&amp;O139))),"Failed",IF(OR(ISNUMBER(SEARCH("NOT RUN",K139&amp;" "&amp;O139)),ISNUMBER(SEARCH("NOT IMPLEMENTED",K139&amp;" "&amp;O139))),"Not started",IF(OR(ISNUMBER(SEARCH("PARTIAL",K139&amp;" "&amp;O139)),ISNUMBER(SEARCH("PENDING",K139&amp;" "&amp;O139)),ISNUMBER(SEARCH("IN PROGRESS",K139&amp;" "&amp;O139)),ISNUMBER(SEARCH("OPEN",K139&amp;" "&amp;O139)),ISNUMBER(SEARCH("RETEST REQUIRED",K139&amp;" "&amp;O139)),ISNUMBER(SEARCH("IMPLEMENTATION UPDATED",K139&amp;" "&amp;O139)),ISNUMBER(SEARCH("REQUIRED EVERY SESSION",K139&amp;" "&amp;O139))),"Pending",IF(OR(O139="PASS",ISNUMBER(SEARCH("PASS",K139&amp;" "&amp;O139))),"Done","Pending"))))</f>
        <v>Done</v>
      </c>
      <c r="S139" s="146" t="str">
        <f>IF(OR(LEFT(A139,9)="OPERATOR-",LEFT(A139,8)="PAYMENT-",LEFT(A139,7)="DEPLOY-"),"External","Core")</f>
        <v>Core</v>
      </c>
    </row>
    <row r="140" customFormat="false" ht="15" hidden="false" customHeight="false" outlineLevel="0" collapsed="false">
      <c r="A140" s="135" t="s">
        <v>1259</v>
      </c>
      <c r="B140" s="135" t="s">
        <v>1238</v>
      </c>
      <c r="C140" s="263" t="s">
        <v>66</v>
      </c>
      <c r="D140" s="135" t="s">
        <v>74</v>
      </c>
      <c r="E140" s="135" t="s">
        <v>1260</v>
      </c>
      <c r="F140" s="135" t="s">
        <v>1261</v>
      </c>
      <c r="G140" s="135" t="s">
        <v>1262</v>
      </c>
      <c r="H140" s="135" t="s">
        <v>1263</v>
      </c>
      <c r="I140" s="135" t="s">
        <v>1264</v>
      </c>
      <c r="J140" s="135" t="s">
        <v>1265</v>
      </c>
      <c r="K140" s="135" t="s">
        <v>236</v>
      </c>
      <c r="L140" s="135" t="s">
        <v>96</v>
      </c>
      <c r="M140" s="135" t="s">
        <v>1266</v>
      </c>
      <c r="N140" s="135" t="s">
        <v>1267</v>
      </c>
      <c r="O140" s="135" t="s">
        <v>125</v>
      </c>
      <c r="P140" s="135" t="s">
        <v>1268</v>
      </c>
      <c r="Q140" s="135" t="s">
        <v>400</v>
      </c>
      <c r="R140" s="146" t="str">
        <f>IF(OR(ISNUMBER(SEARCH("FAIL",K140&amp;" "&amp;O140)),ISNUMBER(SEARCH("CLEAN RETEST REQUIRED",K140&amp;" "&amp;O140))),"Failed",IF(OR(ISNUMBER(SEARCH("NOT RUN",K140&amp;" "&amp;O140)),ISNUMBER(SEARCH("NOT IMPLEMENTED",K140&amp;" "&amp;O140))),"Not started",IF(OR(ISNUMBER(SEARCH("PARTIAL",K140&amp;" "&amp;O140)),ISNUMBER(SEARCH("PENDING",K140&amp;" "&amp;O140)),ISNUMBER(SEARCH("IN PROGRESS",K140&amp;" "&amp;O140)),ISNUMBER(SEARCH("OPEN",K140&amp;" "&amp;O140)),ISNUMBER(SEARCH("RETEST REQUIRED",K140&amp;" "&amp;O140)),ISNUMBER(SEARCH("IMPLEMENTATION UPDATED",K140&amp;" "&amp;O140)),ISNUMBER(SEARCH("REQUIRED EVERY SESSION",K140&amp;" "&amp;O140))),"Pending",IF(OR(O140="PASS",ISNUMBER(SEARCH("PASS",K140&amp;" "&amp;O140))),"Done","Pending"))))</f>
        <v>Done</v>
      </c>
      <c r="S140" s="146" t="str">
        <f>IF(OR(LEFT(A140,9)="OPERATOR-",LEFT(A140,8)="PAYMENT-",LEFT(A140,7)="DEPLOY-"),"External","Core")</f>
        <v>Core</v>
      </c>
    </row>
    <row r="141" customFormat="false" ht="15" hidden="false" customHeight="false" outlineLevel="0" collapsed="false">
      <c r="A141" s="138" t="s">
        <v>1269</v>
      </c>
      <c r="B141" s="138" t="s">
        <v>1238</v>
      </c>
      <c r="C141" s="263" t="s">
        <v>66</v>
      </c>
      <c r="D141" s="138" t="s">
        <v>74</v>
      </c>
      <c r="E141" s="138" t="s">
        <v>1270</v>
      </c>
      <c r="F141" s="138" t="s">
        <v>1271</v>
      </c>
      <c r="G141" s="138" t="s">
        <v>1272</v>
      </c>
      <c r="H141" s="138" t="s">
        <v>4</v>
      </c>
      <c r="I141" s="138" t="s">
        <v>1243</v>
      </c>
      <c r="J141" s="138" t="s">
        <v>1273</v>
      </c>
      <c r="K141" s="138" t="s">
        <v>337</v>
      </c>
      <c r="L141" s="138" t="s">
        <v>1</v>
      </c>
      <c r="M141" s="138" t="s">
        <v>1274</v>
      </c>
      <c r="N141" s="138" t="s">
        <v>1275</v>
      </c>
      <c r="O141" s="138" t="s">
        <v>1</v>
      </c>
      <c r="P141" s="138" t="s">
        <v>1</v>
      </c>
      <c r="Q141" s="138" t="s">
        <v>1276</v>
      </c>
      <c r="R141" s="146" t="str">
        <f>IF(OR(ISNUMBER(SEARCH("FAIL",K141&amp;" "&amp;O141)),ISNUMBER(SEARCH("CLEAN RETEST REQUIRED",K141&amp;" "&amp;O141))),"Failed",IF(OR(ISNUMBER(SEARCH("NOT RUN",K141&amp;" "&amp;O141)),ISNUMBER(SEARCH("NOT IMPLEMENTED",K141&amp;" "&amp;O141))),"Not started",IF(OR(ISNUMBER(SEARCH("PARTIAL",K141&amp;" "&amp;O141)),ISNUMBER(SEARCH("PENDING",K141&amp;" "&amp;O141)),ISNUMBER(SEARCH("IN PROGRESS",K141&amp;" "&amp;O141)),ISNUMBER(SEARCH("OPEN",K141&amp;" "&amp;O141)),ISNUMBER(SEARCH("RETEST REQUIRED",K141&amp;" "&amp;O141)),ISNUMBER(SEARCH("IMPLEMENTATION UPDATED",K141&amp;" "&amp;O141)),ISNUMBER(SEARCH("REQUIRED EVERY SESSION",K141&amp;" "&amp;O141))),"Pending",IF(OR(O141="PASS",ISNUMBER(SEARCH("PASS",K141&amp;" "&amp;O141))),"Done","Pending"))))</f>
        <v>Not started</v>
      </c>
      <c r="S141" s="146" t="str">
        <f>IF(OR(LEFT(A141,9)="OPERATOR-",LEFT(A141,8)="PAYMENT-",LEFT(A141,7)="DEPLOY-"),"External","Core")</f>
        <v>Core</v>
      </c>
    </row>
    <row r="142" customFormat="false" ht="15" hidden="false" customHeight="false" outlineLevel="0" collapsed="false">
      <c r="A142" s="136" t="s">
        <v>1277</v>
      </c>
      <c r="B142" s="136" t="s">
        <v>1238</v>
      </c>
      <c r="C142" s="263" t="s">
        <v>66</v>
      </c>
      <c r="D142" s="136" t="s">
        <v>74</v>
      </c>
      <c r="E142" s="136" t="s">
        <v>1278</v>
      </c>
      <c r="F142" s="136" t="s">
        <v>1279</v>
      </c>
      <c r="G142" s="136" t="s">
        <v>1280</v>
      </c>
      <c r="H142" s="136" t="s">
        <v>4</v>
      </c>
      <c r="I142" s="136" t="s">
        <v>4</v>
      </c>
      <c r="J142" s="136" t="s">
        <v>1281</v>
      </c>
      <c r="K142" s="136" t="s">
        <v>1282</v>
      </c>
      <c r="L142" s="136" t="s">
        <v>1283</v>
      </c>
      <c r="M142" s="136" t="s">
        <v>1274</v>
      </c>
      <c r="N142" s="136" t="s">
        <v>1284</v>
      </c>
      <c r="O142" s="136" t="s">
        <v>1</v>
      </c>
      <c r="P142" s="136" t="s">
        <v>1285</v>
      </c>
      <c r="Q142" s="136" t="s">
        <v>351</v>
      </c>
      <c r="R142" s="146" t="str">
        <f>IF(OR(ISNUMBER(SEARCH("FAIL",K142&amp;" "&amp;O142)),ISNUMBER(SEARCH("CLEAN RETEST REQUIRED",K142&amp;" "&amp;O142))),"Failed",IF(OR(ISNUMBER(SEARCH("NOT RUN",K142&amp;" "&amp;O142)),ISNUMBER(SEARCH("NOT IMPLEMENTED",K142&amp;" "&amp;O142))),"Not started",IF(OR(ISNUMBER(SEARCH("PARTIAL",K142&amp;" "&amp;O142)),ISNUMBER(SEARCH("PENDING",K142&amp;" "&amp;O142)),ISNUMBER(SEARCH("IN PROGRESS",K142&amp;" "&amp;O142)),ISNUMBER(SEARCH("OPEN",K142&amp;" "&amp;O142)),ISNUMBER(SEARCH("RETEST REQUIRED",K142&amp;" "&amp;O142)),ISNUMBER(SEARCH("IMPLEMENTATION UPDATED",K142&amp;" "&amp;O142)),ISNUMBER(SEARCH("REQUIRED EVERY SESSION",K142&amp;" "&amp;O142))),"Pending",IF(OR(O142="PASS",ISNUMBER(SEARCH("PASS",K142&amp;" "&amp;O142))),"Done","Pending"))))</f>
        <v>Pending</v>
      </c>
      <c r="S142" s="146" t="str">
        <f>IF(OR(LEFT(A142,9)="OPERATOR-",LEFT(A142,8)="PAYMENT-",LEFT(A142,7)="DEPLOY-"),"External","Core")</f>
        <v>Core</v>
      </c>
    </row>
    <row r="143" customFormat="false" ht="15" hidden="false" customHeight="false" outlineLevel="0" collapsed="false">
      <c r="A143" s="136" t="s">
        <v>1286</v>
      </c>
      <c r="B143" s="136" t="s">
        <v>1238</v>
      </c>
      <c r="C143" s="263" t="s">
        <v>66</v>
      </c>
      <c r="D143" s="136" t="s">
        <v>1287</v>
      </c>
      <c r="E143" s="136" t="s">
        <v>1288</v>
      </c>
      <c r="F143" s="136" t="s">
        <v>1289</v>
      </c>
      <c r="G143" s="136" t="s">
        <v>1290</v>
      </c>
      <c r="H143" s="136" t="s">
        <v>1291</v>
      </c>
      <c r="I143" s="136" t="s">
        <v>1292</v>
      </c>
      <c r="J143" s="136" t="s">
        <v>1293</v>
      </c>
      <c r="K143" s="136" t="s">
        <v>1294</v>
      </c>
      <c r="L143" s="136" t="s">
        <v>96</v>
      </c>
      <c r="M143" s="136" t="s">
        <v>1295</v>
      </c>
      <c r="N143" s="136" t="s">
        <v>1296</v>
      </c>
      <c r="O143" s="136" t="s">
        <v>1059</v>
      </c>
      <c r="P143" s="136" t="s">
        <v>1297</v>
      </c>
      <c r="Q143" s="136" t="s">
        <v>351</v>
      </c>
      <c r="R143" s="146" t="str">
        <f>IF(OR(ISNUMBER(SEARCH("FAIL",K143&amp;" "&amp;O143)),ISNUMBER(SEARCH("CLEAN RETEST REQUIRED",K143&amp;" "&amp;O143))),"Failed",IF(OR(ISNUMBER(SEARCH("NOT RUN",K143&amp;" "&amp;O143)),ISNUMBER(SEARCH("NOT IMPLEMENTED",K143&amp;" "&amp;O143))),"Not started",IF(OR(ISNUMBER(SEARCH("PARTIAL",K143&amp;" "&amp;O143)),ISNUMBER(SEARCH("PENDING",K143&amp;" "&amp;O143)),ISNUMBER(SEARCH("IN PROGRESS",K143&amp;" "&amp;O143)),ISNUMBER(SEARCH("OPEN",K143&amp;" "&amp;O143)),ISNUMBER(SEARCH("RETEST REQUIRED",K143&amp;" "&amp;O143)),ISNUMBER(SEARCH("IMPLEMENTATION UPDATED",K143&amp;" "&amp;O143)),ISNUMBER(SEARCH("REQUIRED EVERY SESSION",K143&amp;" "&amp;O143))),"Pending",IF(OR(O143="PASS",ISNUMBER(SEARCH("PASS",K143&amp;" "&amp;O143))),"Done","Pending"))))</f>
        <v>Pending</v>
      </c>
      <c r="S143" s="146" t="str">
        <f>IF(OR(LEFT(A143,9)="OPERATOR-",LEFT(A143,8)="PAYMENT-",LEFT(A143,7)="DEPLOY-"),"External","Core")</f>
        <v>Core</v>
      </c>
    </row>
    <row r="144" customFormat="false" ht="15" hidden="false" customHeight="false" outlineLevel="0" collapsed="false">
      <c r="A144" s="138" t="s">
        <v>1298</v>
      </c>
      <c r="B144" s="138" t="s">
        <v>1238</v>
      </c>
      <c r="C144" s="263" t="s">
        <v>66</v>
      </c>
      <c r="D144" s="138" t="s">
        <v>1222</v>
      </c>
      <c r="E144" s="138" t="s">
        <v>1299</v>
      </c>
      <c r="F144" s="138" t="s">
        <v>1300</v>
      </c>
      <c r="G144" s="138" t="s">
        <v>1301</v>
      </c>
      <c r="H144" s="138" t="s">
        <v>1302</v>
      </c>
      <c r="I144" s="138" t="s">
        <v>1303</v>
      </c>
      <c r="J144" s="138" t="s">
        <v>1304</v>
      </c>
      <c r="K144" s="138" t="s">
        <v>337</v>
      </c>
      <c r="L144" s="138" t="s">
        <v>1</v>
      </c>
      <c r="M144" s="138" t="s">
        <v>1305</v>
      </c>
      <c r="N144" s="138" t="s">
        <v>1306</v>
      </c>
      <c r="O144" s="138" t="s">
        <v>1</v>
      </c>
      <c r="P144" s="138" t="s">
        <v>1</v>
      </c>
      <c r="Q144" s="138" t="s">
        <v>261</v>
      </c>
      <c r="R144" s="146" t="str">
        <f>IF(OR(ISNUMBER(SEARCH("FAIL",K144&amp;" "&amp;O144)),ISNUMBER(SEARCH("CLEAN RETEST REQUIRED",K144&amp;" "&amp;O144))),"Failed",IF(OR(ISNUMBER(SEARCH("NOT RUN",K144&amp;" "&amp;O144)),ISNUMBER(SEARCH("NOT IMPLEMENTED",K144&amp;" "&amp;O144))),"Not started",IF(OR(ISNUMBER(SEARCH("PARTIAL",K144&amp;" "&amp;O144)),ISNUMBER(SEARCH("PENDING",K144&amp;" "&amp;O144)),ISNUMBER(SEARCH("IN PROGRESS",K144&amp;" "&amp;O144)),ISNUMBER(SEARCH("OPEN",K144&amp;" "&amp;O144)),ISNUMBER(SEARCH("RETEST REQUIRED",K144&amp;" "&amp;O144)),ISNUMBER(SEARCH("IMPLEMENTATION UPDATED",K144&amp;" "&amp;O144)),ISNUMBER(SEARCH("REQUIRED EVERY SESSION",K144&amp;" "&amp;O144))),"Pending",IF(OR(O144="PASS",ISNUMBER(SEARCH("PASS",K144&amp;" "&amp;O144))),"Done","Pending"))))</f>
        <v>Not started</v>
      </c>
      <c r="S144" s="146" t="str">
        <f>IF(OR(LEFT(A144,9)="OPERATOR-",LEFT(A144,8)="PAYMENT-",LEFT(A144,7)="DEPLOY-"),"External","Core")</f>
        <v>Core</v>
      </c>
    </row>
    <row r="145" customFormat="false" ht="15" hidden="false" customHeight="false" outlineLevel="0" collapsed="false">
      <c r="A145" s="136" t="s">
        <v>1307</v>
      </c>
      <c r="B145" s="136" t="s">
        <v>1238</v>
      </c>
      <c r="C145" s="263" t="s">
        <v>66</v>
      </c>
      <c r="D145" s="136" t="s">
        <v>1222</v>
      </c>
      <c r="E145" s="136" t="s">
        <v>1308</v>
      </c>
      <c r="F145" s="136" t="s">
        <v>4</v>
      </c>
      <c r="G145" s="136" t="s">
        <v>1309</v>
      </c>
      <c r="H145" s="136" t="s">
        <v>4</v>
      </c>
      <c r="I145" s="136" t="s">
        <v>1310</v>
      </c>
      <c r="J145" s="136" t="s">
        <v>1311</v>
      </c>
      <c r="K145" s="136" t="s">
        <v>1312</v>
      </c>
      <c r="L145" s="136" t="s">
        <v>96</v>
      </c>
      <c r="M145" s="136" t="s">
        <v>1313</v>
      </c>
      <c r="N145" s="136" t="s">
        <v>1314</v>
      </c>
      <c r="O145" s="136" t="s">
        <v>1059</v>
      </c>
      <c r="P145" s="136" t="s">
        <v>1315</v>
      </c>
      <c r="Q145" s="136" t="s">
        <v>361</v>
      </c>
      <c r="R145" s="146" t="str">
        <f>IF(OR(ISNUMBER(SEARCH("FAIL",K145&amp;" "&amp;O145)),ISNUMBER(SEARCH("CLEAN RETEST REQUIRED",K145&amp;" "&amp;O145))),"Failed",IF(OR(ISNUMBER(SEARCH("NOT RUN",K145&amp;" "&amp;O145)),ISNUMBER(SEARCH("NOT IMPLEMENTED",K145&amp;" "&amp;O145))),"Not started",IF(OR(ISNUMBER(SEARCH("PARTIAL",K145&amp;" "&amp;O145)),ISNUMBER(SEARCH("PENDING",K145&amp;" "&amp;O145)),ISNUMBER(SEARCH("IN PROGRESS",K145&amp;" "&amp;O145)),ISNUMBER(SEARCH("OPEN",K145&amp;" "&amp;O145)),ISNUMBER(SEARCH("RETEST REQUIRED",K145&amp;" "&amp;O145)),ISNUMBER(SEARCH("IMPLEMENTATION UPDATED",K145&amp;" "&amp;O145)),ISNUMBER(SEARCH("REQUIRED EVERY SESSION",K145&amp;" "&amp;O145))),"Pending",IF(OR(O145="PASS",ISNUMBER(SEARCH("PASS",K145&amp;" "&amp;O145))),"Done","Pending"))))</f>
        <v>Pending</v>
      </c>
      <c r="S145" s="146" t="str">
        <f>IF(OR(LEFT(A145,9)="OPERATOR-",LEFT(A145,8)="PAYMENT-",LEFT(A145,7)="DEPLOY-"),"External","Core")</f>
        <v>Core</v>
      </c>
    </row>
    <row r="146" customFormat="false" ht="15" hidden="false" customHeight="false" outlineLevel="0" collapsed="false">
      <c r="A146" s="138" t="s">
        <v>1316</v>
      </c>
      <c r="B146" s="138" t="s">
        <v>1317</v>
      </c>
      <c r="C146" s="263" t="s">
        <v>66</v>
      </c>
      <c r="D146" s="138" t="s">
        <v>1318</v>
      </c>
      <c r="E146" s="138" t="s">
        <v>1319</v>
      </c>
      <c r="F146" s="138" t="s">
        <v>1320</v>
      </c>
      <c r="G146" s="138" t="s">
        <v>1321</v>
      </c>
      <c r="H146" s="138" t="s">
        <v>1320</v>
      </c>
      <c r="I146" s="138" t="s">
        <v>1322</v>
      </c>
      <c r="J146" s="138" t="s">
        <v>1323</v>
      </c>
      <c r="K146" s="138" t="s">
        <v>1324</v>
      </c>
      <c r="L146" s="138" t="s">
        <v>1</v>
      </c>
      <c r="M146" s="138" t="s">
        <v>1325</v>
      </c>
      <c r="N146" s="138" t="s">
        <v>1326</v>
      </c>
      <c r="O146" s="138" t="s">
        <v>1</v>
      </c>
      <c r="P146" s="138" t="s">
        <v>1327</v>
      </c>
      <c r="Q146" s="138" t="s">
        <v>295</v>
      </c>
      <c r="R146" s="146" t="str">
        <f>IF(OR(ISNUMBER(SEARCH("FAIL",K146&amp;" "&amp;O146)),ISNUMBER(SEARCH("CLEAN RETEST REQUIRED",K146&amp;" "&amp;O146))),"Failed",IF(OR(ISNUMBER(SEARCH("NOT RUN",K146&amp;" "&amp;O146)),ISNUMBER(SEARCH("NOT IMPLEMENTED",K146&amp;" "&amp;O146))),"Not started",IF(OR(ISNUMBER(SEARCH("PARTIAL",K146&amp;" "&amp;O146)),ISNUMBER(SEARCH("PENDING",K146&amp;" "&amp;O146)),ISNUMBER(SEARCH("IN PROGRESS",K146&amp;" "&amp;O146)),ISNUMBER(SEARCH("OPEN",K146&amp;" "&amp;O146)),ISNUMBER(SEARCH("RETEST REQUIRED",K146&amp;" "&amp;O146)),ISNUMBER(SEARCH("IMPLEMENTATION UPDATED",K146&amp;" "&amp;O146)),ISNUMBER(SEARCH("REQUIRED EVERY SESSION",K146&amp;" "&amp;O146))),"Pending",IF(OR(O146="PASS",ISNUMBER(SEARCH("PASS",K146&amp;" "&amp;O146))),"Done","Pending"))))</f>
        <v>Not started</v>
      </c>
      <c r="S146" s="146" t="str">
        <f>IF(OR(LEFT(A146,9)="OPERATOR-",LEFT(A146,8)="PAYMENT-",LEFT(A146,7)="DEPLOY-"),"External","Core")</f>
        <v>Core</v>
      </c>
    </row>
    <row r="147" customFormat="false" ht="15" hidden="false" customHeight="false" outlineLevel="0" collapsed="false">
      <c r="A147" s="138" t="s">
        <v>1328</v>
      </c>
      <c r="B147" s="138" t="s">
        <v>1317</v>
      </c>
      <c r="C147" s="263" t="s">
        <v>66</v>
      </c>
      <c r="D147" s="138" t="s">
        <v>1318</v>
      </c>
      <c r="E147" s="138" t="s">
        <v>1329</v>
      </c>
      <c r="F147" s="138" t="s">
        <v>4</v>
      </c>
      <c r="G147" s="138" t="s">
        <v>1330</v>
      </c>
      <c r="H147" s="138" t="s">
        <v>1331</v>
      </c>
      <c r="I147" s="138" t="s">
        <v>1332</v>
      </c>
      <c r="J147" s="138" t="s">
        <v>1333</v>
      </c>
      <c r="K147" s="138" t="s">
        <v>337</v>
      </c>
      <c r="L147" s="138" t="s">
        <v>1</v>
      </c>
      <c r="M147" s="138" t="s">
        <v>1334</v>
      </c>
      <c r="N147" s="138" t="s">
        <v>1335</v>
      </c>
      <c r="O147" s="138" t="s">
        <v>1</v>
      </c>
      <c r="P147" s="138" t="s">
        <v>1336</v>
      </c>
      <c r="Q147" s="138" t="s">
        <v>361</v>
      </c>
      <c r="R147" s="146" t="str">
        <f>IF(OR(ISNUMBER(SEARCH("FAIL",K147&amp;" "&amp;O147)),ISNUMBER(SEARCH("CLEAN RETEST REQUIRED",K147&amp;" "&amp;O147))),"Failed",IF(OR(ISNUMBER(SEARCH("NOT RUN",K147&amp;" "&amp;O147)),ISNUMBER(SEARCH("NOT IMPLEMENTED",K147&amp;" "&amp;O147))),"Not started",IF(OR(ISNUMBER(SEARCH("PARTIAL",K147&amp;" "&amp;O147)),ISNUMBER(SEARCH("PENDING",K147&amp;" "&amp;O147)),ISNUMBER(SEARCH("IN PROGRESS",K147&amp;" "&amp;O147)),ISNUMBER(SEARCH("OPEN",K147&amp;" "&amp;O147)),ISNUMBER(SEARCH("RETEST REQUIRED",K147&amp;" "&amp;O147)),ISNUMBER(SEARCH("IMPLEMENTATION UPDATED",K147&amp;" "&amp;O147)),ISNUMBER(SEARCH("REQUIRED EVERY SESSION",K147&amp;" "&amp;O147))),"Pending",IF(OR(O147="PASS",ISNUMBER(SEARCH("PASS",K147&amp;" "&amp;O147))),"Done","Pending"))))</f>
        <v>Not started</v>
      </c>
      <c r="S147" s="146" t="str">
        <f>IF(OR(LEFT(A147,9)="OPERATOR-",LEFT(A147,8)="PAYMENT-",LEFT(A147,7)="DEPLOY-"),"External","Core")</f>
        <v>Core</v>
      </c>
    </row>
    <row r="148" customFormat="false" ht="15" hidden="false" customHeight="false" outlineLevel="0" collapsed="false">
      <c r="A148" s="138" t="s">
        <v>1337</v>
      </c>
      <c r="B148" s="138" t="s">
        <v>1338</v>
      </c>
      <c r="C148" s="263" t="s">
        <v>66</v>
      </c>
      <c r="D148" s="138" t="s">
        <v>76</v>
      </c>
      <c r="E148" s="138" t="s">
        <v>1339</v>
      </c>
      <c r="F148" s="138" t="s">
        <v>4</v>
      </c>
      <c r="G148" s="138" t="s">
        <v>4</v>
      </c>
      <c r="H148" s="138" t="s">
        <v>1340</v>
      </c>
      <c r="I148" s="138" t="s">
        <v>4</v>
      </c>
      <c r="J148" s="138" t="s">
        <v>4</v>
      </c>
      <c r="K148" s="138" t="s">
        <v>337</v>
      </c>
      <c r="L148" s="138" t="s">
        <v>1</v>
      </c>
      <c r="M148" s="138" t="s">
        <v>1341</v>
      </c>
      <c r="N148" s="138" t="s">
        <v>1342</v>
      </c>
      <c r="O148" s="138" t="s">
        <v>1</v>
      </c>
      <c r="P148" s="138" t="s">
        <v>1</v>
      </c>
      <c r="Q148" s="138" t="s">
        <v>1220</v>
      </c>
      <c r="R148" s="146" t="str">
        <f>IF(OR(ISNUMBER(SEARCH("FAIL",K148&amp;" "&amp;O148)),ISNUMBER(SEARCH("CLEAN RETEST REQUIRED",K148&amp;" "&amp;O148))),"Failed",IF(OR(ISNUMBER(SEARCH("NOT RUN",K148&amp;" "&amp;O148)),ISNUMBER(SEARCH("NOT IMPLEMENTED",K148&amp;" "&amp;O148))),"Not started",IF(OR(ISNUMBER(SEARCH("PARTIAL",K148&amp;" "&amp;O148)),ISNUMBER(SEARCH("PENDING",K148&amp;" "&amp;O148)),ISNUMBER(SEARCH("IN PROGRESS",K148&amp;" "&amp;O148)),ISNUMBER(SEARCH("OPEN",K148&amp;" "&amp;O148)),ISNUMBER(SEARCH("RETEST REQUIRED",K148&amp;" "&amp;O148)),ISNUMBER(SEARCH("IMPLEMENTATION UPDATED",K148&amp;" "&amp;O148)),ISNUMBER(SEARCH("REQUIRED EVERY SESSION",K148&amp;" "&amp;O148))),"Pending",IF(OR(O148="PASS",ISNUMBER(SEARCH("PASS",K148&amp;" "&amp;O148))),"Done","Pending"))))</f>
        <v>Not started</v>
      </c>
      <c r="S148" s="146" t="str">
        <f>IF(OR(LEFT(A148,9)="OPERATOR-",LEFT(A148,8)="PAYMENT-",LEFT(A148,7)="DEPLOY-"),"External","Core")</f>
        <v>Core</v>
      </c>
    </row>
    <row r="149" customFormat="false" ht="15" hidden="false" customHeight="false" outlineLevel="0" collapsed="false">
      <c r="A149" s="138" t="s">
        <v>1343</v>
      </c>
      <c r="B149" s="138" t="s">
        <v>1338</v>
      </c>
      <c r="C149" s="263" t="s">
        <v>66</v>
      </c>
      <c r="D149" s="138" t="s">
        <v>76</v>
      </c>
      <c r="E149" s="138" t="s">
        <v>1344</v>
      </c>
      <c r="F149" s="138" t="s">
        <v>4</v>
      </c>
      <c r="G149" s="138" t="s">
        <v>4</v>
      </c>
      <c r="H149" s="138" t="s">
        <v>1345</v>
      </c>
      <c r="I149" s="138" t="s">
        <v>4</v>
      </c>
      <c r="J149" s="138" t="s">
        <v>1346</v>
      </c>
      <c r="K149" s="138" t="s">
        <v>337</v>
      </c>
      <c r="L149" s="138" t="s">
        <v>1</v>
      </c>
      <c r="M149" s="138" t="s">
        <v>1347</v>
      </c>
      <c r="N149" s="138" t="s">
        <v>1348</v>
      </c>
      <c r="O149" s="138" t="s">
        <v>1</v>
      </c>
      <c r="P149" s="138" t="s">
        <v>1</v>
      </c>
      <c r="Q149" s="138" t="s">
        <v>329</v>
      </c>
      <c r="R149" s="146" t="str">
        <f>IF(OR(ISNUMBER(SEARCH("FAIL",K149&amp;" "&amp;O149)),ISNUMBER(SEARCH("CLEAN RETEST REQUIRED",K149&amp;" "&amp;O149))),"Failed",IF(OR(ISNUMBER(SEARCH("NOT RUN",K149&amp;" "&amp;O149)),ISNUMBER(SEARCH("NOT IMPLEMENTED",K149&amp;" "&amp;O149))),"Not started",IF(OR(ISNUMBER(SEARCH("PARTIAL",K149&amp;" "&amp;O149)),ISNUMBER(SEARCH("PENDING",K149&amp;" "&amp;O149)),ISNUMBER(SEARCH("IN PROGRESS",K149&amp;" "&amp;O149)),ISNUMBER(SEARCH("OPEN",K149&amp;" "&amp;O149)),ISNUMBER(SEARCH("RETEST REQUIRED",K149&amp;" "&amp;O149)),ISNUMBER(SEARCH("IMPLEMENTATION UPDATED",K149&amp;" "&amp;O149)),ISNUMBER(SEARCH("REQUIRED EVERY SESSION",K149&amp;" "&amp;O149))),"Pending",IF(OR(O149="PASS",ISNUMBER(SEARCH("PASS",K149&amp;" "&amp;O149))),"Done","Pending"))))</f>
        <v>Not started</v>
      </c>
      <c r="S149" s="146" t="str">
        <f>IF(OR(LEFT(A149,9)="OPERATOR-",LEFT(A149,8)="PAYMENT-",LEFT(A149,7)="DEPLOY-"),"External","Core")</f>
        <v>Core</v>
      </c>
    </row>
    <row r="150" customFormat="false" ht="15" hidden="false" customHeight="false" outlineLevel="0" collapsed="false">
      <c r="A150" s="138" t="s">
        <v>1349</v>
      </c>
      <c r="B150" s="138" t="s">
        <v>1338</v>
      </c>
      <c r="C150" s="263" t="s">
        <v>66</v>
      </c>
      <c r="D150" s="138" t="s">
        <v>76</v>
      </c>
      <c r="E150" s="138" t="s">
        <v>1350</v>
      </c>
      <c r="F150" s="138" t="s">
        <v>1351</v>
      </c>
      <c r="G150" s="138" t="s">
        <v>4</v>
      </c>
      <c r="H150" s="138" t="s">
        <v>1352</v>
      </c>
      <c r="I150" s="138" t="s">
        <v>4</v>
      </c>
      <c r="J150" s="138" t="s">
        <v>4</v>
      </c>
      <c r="K150" s="138" t="s">
        <v>337</v>
      </c>
      <c r="L150" s="138" t="s">
        <v>1</v>
      </c>
      <c r="M150" s="138" t="s">
        <v>1353</v>
      </c>
      <c r="N150" s="138" t="s">
        <v>1354</v>
      </c>
      <c r="O150" s="138" t="s">
        <v>1</v>
      </c>
      <c r="P150" s="138" t="s">
        <v>1</v>
      </c>
      <c r="Q150" s="138" t="s">
        <v>1355</v>
      </c>
      <c r="R150" s="146" t="str">
        <f>IF(OR(ISNUMBER(SEARCH("FAIL",K150&amp;" "&amp;O150)),ISNUMBER(SEARCH("CLEAN RETEST REQUIRED",K150&amp;" "&amp;O150))),"Failed",IF(OR(ISNUMBER(SEARCH("NOT RUN",K150&amp;" "&amp;O150)),ISNUMBER(SEARCH("NOT IMPLEMENTED",K150&amp;" "&amp;O150))),"Not started",IF(OR(ISNUMBER(SEARCH("PARTIAL",K150&amp;" "&amp;O150)),ISNUMBER(SEARCH("PENDING",K150&amp;" "&amp;O150)),ISNUMBER(SEARCH("IN PROGRESS",K150&amp;" "&amp;O150)),ISNUMBER(SEARCH("OPEN",K150&amp;" "&amp;O150)),ISNUMBER(SEARCH("RETEST REQUIRED",K150&amp;" "&amp;O150)),ISNUMBER(SEARCH("IMPLEMENTATION UPDATED",K150&amp;" "&amp;O150)),ISNUMBER(SEARCH("REQUIRED EVERY SESSION",K150&amp;" "&amp;O150))),"Pending",IF(OR(O150="PASS",ISNUMBER(SEARCH("PASS",K150&amp;" "&amp;O150))),"Done","Pending"))))</f>
        <v>Not started</v>
      </c>
      <c r="S150" s="146" t="str">
        <f>IF(OR(LEFT(A150,9)="OPERATOR-",LEFT(A150,8)="PAYMENT-",LEFT(A150,7)="DEPLOY-"),"External","Core")</f>
        <v>Core</v>
      </c>
    </row>
    <row r="151" customFormat="false" ht="15" hidden="false" customHeight="false" outlineLevel="0" collapsed="false">
      <c r="A151" s="138" t="s">
        <v>1356</v>
      </c>
      <c r="B151" s="138" t="s">
        <v>1338</v>
      </c>
      <c r="C151" s="263" t="s">
        <v>66</v>
      </c>
      <c r="D151" s="138" t="s">
        <v>76</v>
      </c>
      <c r="E151" s="138" t="s">
        <v>1357</v>
      </c>
      <c r="F151" s="138" t="s">
        <v>4</v>
      </c>
      <c r="G151" s="138" t="s">
        <v>4</v>
      </c>
      <c r="H151" s="138" t="s">
        <v>1358</v>
      </c>
      <c r="I151" s="138" t="s">
        <v>4</v>
      </c>
      <c r="J151" s="138" t="s">
        <v>1359</v>
      </c>
      <c r="K151" s="138" t="s">
        <v>337</v>
      </c>
      <c r="L151" s="138" t="s">
        <v>1</v>
      </c>
      <c r="M151" s="138" t="s">
        <v>1360</v>
      </c>
      <c r="N151" s="138" t="s">
        <v>1361</v>
      </c>
      <c r="O151" s="138" t="s">
        <v>1</v>
      </c>
      <c r="P151" s="138" t="s">
        <v>1</v>
      </c>
      <c r="Q151" s="138" t="s">
        <v>1362</v>
      </c>
      <c r="R151" s="146" t="str">
        <f>IF(OR(ISNUMBER(SEARCH("FAIL",K151&amp;" "&amp;O151)),ISNUMBER(SEARCH("CLEAN RETEST REQUIRED",K151&amp;" "&amp;O151))),"Failed",IF(OR(ISNUMBER(SEARCH("NOT RUN",K151&amp;" "&amp;O151)),ISNUMBER(SEARCH("NOT IMPLEMENTED",K151&amp;" "&amp;O151))),"Not started",IF(OR(ISNUMBER(SEARCH("PARTIAL",K151&amp;" "&amp;O151)),ISNUMBER(SEARCH("PENDING",K151&amp;" "&amp;O151)),ISNUMBER(SEARCH("IN PROGRESS",K151&amp;" "&amp;O151)),ISNUMBER(SEARCH("OPEN",K151&amp;" "&amp;O151)),ISNUMBER(SEARCH("RETEST REQUIRED",K151&amp;" "&amp;O151)),ISNUMBER(SEARCH("IMPLEMENTATION UPDATED",K151&amp;" "&amp;O151)),ISNUMBER(SEARCH("REQUIRED EVERY SESSION",K151&amp;" "&amp;O151))),"Pending",IF(OR(O151="PASS",ISNUMBER(SEARCH("PASS",K151&amp;" "&amp;O151))),"Done","Pending"))))</f>
        <v>Not started</v>
      </c>
      <c r="S151" s="146" t="str">
        <f>IF(OR(LEFT(A151,9)="OPERATOR-",LEFT(A151,8)="PAYMENT-",LEFT(A151,7)="DEPLOY-"),"External","Core")</f>
        <v>Core</v>
      </c>
    </row>
    <row r="152" customFormat="false" ht="15" hidden="false" customHeight="false" outlineLevel="0" collapsed="false">
      <c r="A152" s="138" t="s">
        <v>1363</v>
      </c>
      <c r="B152" s="138" t="s">
        <v>1238</v>
      </c>
      <c r="C152" s="263" t="s">
        <v>66</v>
      </c>
      <c r="D152" s="138" t="s">
        <v>76</v>
      </c>
      <c r="E152" s="138" t="s">
        <v>1364</v>
      </c>
      <c r="F152" s="138" t="s">
        <v>1365</v>
      </c>
      <c r="G152" s="138" t="s">
        <v>1366</v>
      </c>
      <c r="H152" s="138" t="s">
        <v>1367</v>
      </c>
      <c r="I152" s="138" t="s">
        <v>1292</v>
      </c>
      <c r="J152" s="138" t="s">
        <v>1368</v>
      </c>
      <c r="K152" s="138" t="s">
        <v>337</v>
      </c>
      <c r="L152" s="138" t="s">
        <v>1</v>
      </c>
      <c r="M152" s="138" t="s">
        <v>1369</v>
      </c>
      <c r="N152" s="138" t="s">
        <v>1370</v>
      </c>
      <c r="O152" s="138" t="s">
        <v>1</v>
      </c>
      <c r="P152" s="138" t="s">
        <v>1</v>
      </c>
      <c r="Q152" s="138" t="s">
        <v>361</v>
      </c>
      <c r="R152" s="146" t="str">
        <f>IF(OR(ISNUMBER(SEARCH("FAIL",K152&amp;" "&amp;O152)),ISNUMBER(SEARCH("CLEAN RETEST REQUIRED",K152&amp;" "&amp;O152))),"Failed",IF(OR(ISNUMBER(SEARCH("NOT RUN",K152&amp;" "&amp;O152)),ISNUMBER(SEARCH("NOT IMPLEMENTED",K152&amp;" "&amp;O152))),"Not started",IF(OR(ISNUMBER(SEARCH("PARTIAL",K152&amp;" "&amp;O152)),ISNUMBER(SEARCH("PENDING",K152&amp;" "&amp;O152)),ISNUMBER(SEARCH("IN PROGRESS",K152&amp;" "&amp;O152)),ISNUMBER(SEARCH("OPEN",K152&amp;" "&amp;O152)),ISNUMBER(SEARCH("RETEST REQUIRED",K152&amp;" "&amp;O152)),ISNUMBER(SEARCH("IMPLEMENTATION UPDATED",K152&amp;" "&amp;O152)),ISNUMBER(SEARCH("REQUIRED EVERY SESSION",K152&amp;" "&amp;O152))),"Pending",IF(OR(O152="PASS",ISNUMBER(SEARCH("PASS",K152&amp;" "&amp;O152))),"Done","Pending"))))</f>
        <v>Not started</v>
      </c>
      <c r="S152" s="146" t="str">
        <f>IF(OR(LEFT(A152,9)="OPERATOR-",LEFT(A152,8)="PAYMENT-",LEFT(A152,7)="DEPLOY-"),"External","Core")</f>
        <v>Core</v>
      </c>
    </row>
    <row r="153" customFormat="false" ht="15" hidden="false" customHeight="false" outlineLevel="0" collapsed="false">
      <c r="A153" s="138" t="s">
        <v>1371</v>
      </c>
      <c r="B153" s="138" t="s">
        <v>1372</v>
      </c>
      <c r="C153" s="263" t="s">
        <v>66</v>
      </c>
      <c r="D153" s="138" t="s">
        <v>1373</v>
      </c>
      <c r="E153" s="138" t="s">
        <v>1374</v>
      </c>
      <c r="F153" s="138" t="s">
        <v>1375</v>
      </c>
      <c r="G153" s="138" t="s">
        <v>1376</v>
      </c>
      <c r="H153" s="138" t="s">
        <v>1377</v>
      </c>
      <c r="I153" s="138" t="s">
        <v>1378</v>
      </c>
      <c r="J153" s="138" t="s">
        <v>1379</v>
      </c>
      <c r="K153" s="138" t="s">
        <v>337</v>
      </c>
      <c r="L153" s="138" t="s">
        <v>1</v>
      </c>
      <c r="M153" s="138" t="s">
        <v>1380</v>
      </c>
      <c r="N153" s="138" t="s">
        <v>1381</v>
      </c>
      <c r="O153" s="138" t="s">
        <v>1</v>
      </c>
      <c r="P153" s="138" t="s">
        <v>1382</v>
      </c>
      <c r="Q153" s="138" t="s">
        <v>372</v>
      </c>
      <c r="R153" s="146" t="str">
        <f>IF(OR(ISNUMBER(SEARCH("FAIL",K153&amp;" "&amp;O153)),ISNUMBER(SEARCH("CLEAN RETEST REQUIRED",K153&amp;" "&amp;O153))),"Failed",IF(OR(ISNUMBER(SEARCH("NOT RUN",K153&amp;" "&amp;O153)),ISNUMBER(SEARCH("NOT IMPLEMENTED",K153&amp;" "&amp;O153))),"Not started",IF(OR(ISNUMBER(SEARCH("PARTIAL",K153&amp;" "&amp;O153)),ISNUMBER(SEARCH("PENDING",K153&amp;" "&amp;O153)),ISNUMBER(SEARCH("IN PROGRESS",K153&amp;" "&amp;O153)),ISNUMBER(SEARCH("OPEN",K153&amp;" "&amp;O153)),ISNUMBER(SEARCH("RETEST REQUIRED",K153&amp;" "&amp;O153)),ISNUMBER(SEARCH("IMPLEMENTATION UPDATED",K153&amp;" "&amp;O153)),ISNUMBER(SEARCH("REQUIRED EVERY SESSION",K153&amp;" "&amp;O153))),"Pending",IF(OR(O153="PASS",ISNUMBER(SEARCH("PASS",K153&amp;" "&amp;O153))),"Done","Pending"))))</f>
        <v>Not started</v>
      </c>
      <c r="S153" s="146" t="str">
        <f>IF(OR(LEFT(A153,9)="OPERATOR-",LEFT(A153,8)="PAYMENT-",LEFT(A153,7)="DEPLOY-"),"External","Core")</f>
        <v>Core</v>
      </c>
    </row>
    <row r="154" customFormat="false" ht="15" hidden="false" customHeight="false" outlineLevel="0" collapsed="false">
      <c r="A154" s="138" t="s">
        <v>1383</v>
      </c>
      <c r="B154" s="138" t="s">
        <v>1384</v>
      </c>
      <c r="C154" s="263" t="s">
        <v>66</v>
      </c>
      <c r="D154" s="138" t="s">
        <v>76</v>
      </c>
      <c r="E154" s="138" t="s">
        <v>1385</v>
      </c>
      <c r="F154" s="138" t="s">
        <v>4</v>
      </c>
      <c r="G154" s="138" t="s">
        <v>4</v>
      </c>
      <c r="H154" s="138" t="s">
        <v>1386</v>
      </c>
      <c r="I154" s="138" t="s">
        <v>4</v>
      </c>
      <c r="J154" s="138" t="s">
        <v>1387</v>
      </c>
      <c r="K154" s="138" t="s">
        <v>337</v>
      </c>
      <c r="L154" s="138" t="s">
        <v>1</v>
      </c>
      <c r="M154" s="138" t="s">
        <v>1388</v>
      </c>
      <c r="N154" s="138" t="s">
        <v>1389</v>
      </c>
      <c r="O154" s="138" t="s">
        <v>1</v>
      </c>
      <c r="P154" s="138" t="s">
        <v>1</v>
      </c>
      <c r="Q154" s="138" t="s">
        <v>307</v>
      </c>
      <c r="R154" s="146" t="str">
        <f>IF(OR(ISNUMBER(SEARCH("FAIL",K154&amp;" "&amp;O154)),ISNUMBER(SEARCH("CLEAN RETEST REQUIRED",K154&amp;" "&amp;O154))),"Failed",IF(OR(ISNUMBER(SEARCH("NOT RUN",K154&amp;" "&amp;O154)),ISNUMBER(SEARCH("NOT IMPLEMENTED",K154&amp;" "&amp;O154))),"Not started",IF(OR(ISNUMBER(SEARCH("PARTIAL",K154&amp;" "&amp;O154)),ISNUMBER(SEARCH("PENDING",K154&amp;" "&amp;O154)),ISNUMBER(SEARCH("IN PROGRESS",K154&amp;" "&amp;O154)),ISNUMBER(SEARCH("OPEN",K154&amp;" "&amp;O154)),ISNUMBER(SEARCH("RETEST REQUIRED",K154&amp;" "&amp;O154)),ISNUMBER(SEARCH("IMPLEMENTATION UPDATED",K154&amp;" "&amp;O154)),ISNUMBER(SEARCH("REQUIRED EVERY SESSION",K154&amp;" "&amp;O154))),"Pending",IF(OR(O154="PASS",ISNUMBER(SEARCH("PASS",K154&amp;" "&amp;O154))),"Done","Pending"))))</f>
        <v>Not started</v>
      </c>
      <c r="S154" s="146" t="str">
        <f>IF(OR(LEFT(A154,9)="OPERATOR-",LEFT(A154,8)="PAYMENT-",LEFT(A154,7)="DEPLOY-"),"External","Core")</f>
        <v>Core</v>
      </c>
    </row>
    <row r="155" customFormat="false" ht="15" hidden="false" customHeight="false" outlineLevel="0" collapsed="false">
      <c r="A155" s="138" t="s">
        <v>1390</v>
      </c>
      <c r="B155" s="138" t="s">
        <v>1391</v>
      </c>
      <c r="C155" s="263" t="s">
        <v>66</v>
      </c>
      <c r="D155" s="138" t="s">
        <v>1392</v>
      </c>
      <c r="E155" s="138" t="s">
        <v>1393</v>
      </c>
      <c r="F155" s="138" t="s">
        <v>4</v>
      </c>
      <c r="G155" s="138" t="s">
        <v>1394</v>
      </c>
      <c r="H155" s="138" t="s">
        <v>1331</v>
      </c>
      <c r="I155" s="138" t="s">
        <v>1332</v>
      </c>
      <c r="J155" s="138" t="s">
        <v>1395</v>
      </c>
      <c r="K155" s="138" t="s">
        <v>337</v>
      </c>
      <c r="L155" s="138" t="s">
        <v>1</v>
      </c>
      <c r="M155" s="138" t="s">
        <v>1396</v>
      </c>
      <c r="N155" s="138" t="s">
        <v>1397</v>
      </c>
      <c r="O155" s="138" t="s">
        <v>1</v>
      </c>
      <c r="P155" s="138" t="s">
        <v>1</v>
      </c>
      <c r="Q155" s="138" t="s">
        <v>112</v>
      </c>
      <c r="R155" s="146" t="str">
        <f>IF(OR(ISNUMBER(SEARCH("FAIL",K155&amp;" "&amp;O155)),ISNUMBER(SEARCH("CLEAN RETEST REQUIRED",K155&amp;" "&amp;O155))),"Failed",IF(OR(ISNUMBER(SEARCH("NOT RUN",K155&amp;" "&amp;O155)),ISNUMBER(SEARCH("NOT IMPLEMENTED",K155&amp;" "&amp;O155))),"Not started",IF(OR(ISNUMBER(SEARCH("PARTIAL",K155&amp;" "&amp;O155)),ISNUMBER(SEARCH("PENDING",K155&amp;" "&amp;O155)),ISNUMBER(SEARCH("IN PROGRESS",K155&amp;" "&amp;O155)),ISNUMBER(SEARCH("OPEN",K155&amp;" "&amp;O155)),ISNUMBER(SEARCH("RETEST REQUIRED",K155&amp;" "&amp;O155)),ISNUMBER(SEARCH("IMPLEMENTATION UPDATED",K155&amp;" "&amp;O155)),ISNUMBER(SEARCH("REQUIRED EVERY SESSION",K155&amp;" "&amp;O155))),"Pending",IF(OR(O155="PASS",ISNUMBER(SEARCH("PASS",K155&amp;" "&amp;O155))),"Done","Pending"))))</f>
        <v>Not started</v>
      </c>
      <c r="S155" s="146" t="str">
        <f>IF(OR(LEFT(A155,9)="OPERATOR-",LEFT(A155,8)="PAYMENT-",LEFT(A155,7)="DEPLOY-"),"External","Core")</f>
        <v>Core</v>
      </c>
    </row>
    <row r="156" customFormat="false" ht="15" hidden="false" customHeight="false" outlineLevel="0" collapsed="false">
      <c r="A156" s="138" t="s">
        <v>1398</v>
      </c>
      <c r="B156" s="138" t="s">
        <v>1399</v>
      </c>
      <c r="C156" s="263" t="s">
        <v>66</v>
      </c>
      <c r="D156" s="138" t="s">
        <v>1400</v>
      </c>
      <c r="E156" s="138" t="s">
        <v>1401</v>
      </c>
      <c r="F156" s="138" t="s">
        <v>1402</v>
      </c>
      <c r="G156" s="138" t="s">
        <v>1403</v>
      </c>
      <c r="H156" s="138" t="s">
        <v>1404</v>
      </c>
      <c r="I156" s="138" t="s">
        <v>1292</v>
      </c>
      <c r="J156" s="138" t="s">
        <v>1405</v>
      </c>
      <c r="K156" s="138" t="s">
        <v>337</v>
      </c>
      <c r="L156" s="138" t="s">
        <v>1</v>
      </c>
      <c r="M156" s="138" t="s">
        <v>1406</v>
      </c>
      <c r="N156" s="138" t="s">
        <v>1407</v>
      </c>
      <c r="O156" s="138" t="s">
        <v>1</v>
      </c>
      <c r="P156" s="138" t="s">
        <v>1</v>
      </c>
      <c r="Q156" s="138" t="s">
        <v>261</v>
      </c>
      <c r="R156" s="146" t="str">
        <f>IF(OR(ISNUMBER(SEARCH("FAIL",K156&amp;" "&amp;O156)),ISNUMBER(SEARCH("CLEAN RETEST REQUIRED",K156&amp;" "&amp;O156))),"Failed",IF(OR(ISNUMBER(SEARCH("NOT RUN",K156&amp;" "&amp;O156)),ISNUMBER(SEARCH("NOT IMPLEMENTED",K156&amp;" "&amp;O156))),"Not started",IF(OR(ISNUMBER(SEARCH("PARTIAL",K156&amp;" "&amp;O156)),ISNUMBER(SEARCH("PENDING",K156&amp;" "&amp;O156)),ISNUMBER(SEARCH("IN PROGRESS",K156&amp;" "&amp;O156)),ISNUMBER(SEARCH("OPEN",K156&amp;" "&amp;O156)),ISNUMBER(SEARCH("RETEST REQUIRED",K156&amp;" "&amp;O156)),ISNUMBER(SEARCH("IMPLEMENTATION UPDATED",K156&amp;" "&amp;O156)),ISNUMBER(SEARCH("REQUIRED EVERY SESSION",K156&amp;" "&amp;O156))),"Pending",IF(OR(O156="PASS",ISNUMBER(SEARCH("PASS",K156&amp;" "&amp;O156))),"Done","Pending"))))</f>
        <v>Not started</v>
      </c>
      <c r="S156" s="146" t="str">
        <f>IF(OR(LEFT(A156,9)="OPERATOR-",LEFT(A156,8)="PAYMENT-",LEFT(A156,7)="DEPLOY-"),"External","Core")</f>
        <v>Core</v>
      </c>
    </row>
    <row r="157" customFormat="false" ht="15" hidden="false" customHeight="false" outlineLevel="0" collapsed="false">
      <c r="A157" s="138" t="s">
        <v>1408</v>
      </c>
      <c r="B157" s="138" t="s">
        <v>1399</v>
      </c>
      <c r="C157" s="263" t="s">
        <v>66</v>
      </c>
      <c r="D157" s="138" t="s">
        <v>1409</v>
      </c>
      <c r="E157" s="138" t="s">
        <v>1410</v>
      </c>
      <c r="F157" s="138" t="s">
        <v>1411</v>
      </c>
      <c r="G157" s="138" t="s">
        <v>1403</v>
      </c>
      <c r="H157" s="138" t="s">
        <v>1412</v>
      </c>
      <c r="I157" s="138" t="s">
        <v>1292</v>
      </c>
      <c r="J157" s="138" t="s">
        <v>1413</v>
      </c>
      <c r="K157" s="138" t="s">
        <v>337</v>
      </c>
      <c r="L157" s="138" t="s">
        <v>1</v>
      </c>
      <c r="M157" s="138" t="s">
        <v>1414</v>
      </c>
      <c r="N157" s="138" t="s">
        <v>1415</v>
      </c>
      <c r="O157" s="138" t="s">
        <v>1</v>
      </c>
      <c r="P157" s="138" t="s">
        <v>1</v>
      </c>
      <c r="Q157" s="138" t="s">
        <v>351</v>
      </c>
      <c r="R157" s="146" t="str">
        <f>IF(OR(ISNUMBER(SEARCH("FAIL",K157&amp;" "&amp;O157)),ISNUMBER(SEARCH("CLEAN RETEST REQUIRED",K157&amp;" "&amp;O157))),"Failed",IF(OR(ISNUMBER(SEARCH("NOT RUN",K157&amp;" "&amp;O157)),ISNUMBER(SEARCH("NOT IMPLEMENTED",K157&amp;" "&amp;O157))),"Not started",IF(OR(ISNUMBER(SEARCH("PARTIAL",K157&amp;" "&amp;O157)),ISNUMBER(SEARCH("PENDING",K157&amp;" "&amp;O157)),ISNUMBER(SEARCH("IN PROGRESS",K157&amp;" "&amp;O157)),ISNUMBER(SEARCH("OPEN",K157&amp;" "&amp;O157)),ISNUMBER(SEARCH("RETEST REQUIRED",K157&amp;" "&amp;O157)),ISNUMBER(SEARCH("IMPLEMENTATION UPDATED",K157&amp;" "&amp;O157)),ISNUMBER(SEARCH("REQUIRED EVERY SESSION",K157&amp;" "&amp;O157))),"Pending",IF(OR(O157="PASS",ISNUMBER(SEARCH("PASS",K157&amp;" "&amp;O157))),"Done","Pending"))))</f>
        <v>Not started</v>
      </c>
      <c r="S157" s="146" t="str">
        <f>IF(OR(LEFT(A157,9)="OPERATOR-",LEFT(A157,8)="PAYMENT-",LEFT(A157,7)="DEPLOY-"),"External","Core")</f>
        <v>Core</v>
      </c>
    </row>
    <row r="158" customFormat="false" ht="15" hidden="false" customHeight="false" outlineLevel="0" collapsed="false">
      <c r="A158" s="138" t="s">
        <v>1416</v>
      </c>
      <c r="B158" s="138" t="s">
        <v>1399</v>
      </c>
      <c r="C158" s="263" t="s">
        <v>66</v>
      </c>
      <c r="D158" s="138" t="s">
        <v>1417</v>
      </c>
      <c r="E158" s="138" t="s">
        <v>1418</v>
      </c>
      <c r="F158" s="138" t="s">
        <v>4</v>
      </c>
      <c r="G158" s="138" t="s">
        <v>1419</v>
      </c>
      <c r="H158" s="138" t="s">
        <v>4</v>
      </c>
      <c r="I158" s="138" t="s">
        <v>1420</v>
      </c>
      <c r="J158" s="138" t="s">
        <v>1421</v>
      </c>
      <c r="K158" s="138" t="s">
        <v>337</v>
      </c>
      <c r="L158" s="138" t="s">
        <v>1</v>
      </c>
      <c r="M158" s="138" t="s">
        <v>1422</v>
      </c>
      <c r="N158" s="138" t="s">
        <v>1423</v>
      </c>
      <c r="O158" s="138" t="s">
        <v>1</v>
      </c>
      <c r="P158" s="138" t="s">
        <v>1424</v>
      </c>
      <c r="Q158" s="138" t="s">
        <v>307</v>
      </c>
      <c r="R158" s="146" t="str">
        <f>IF(OR(ISNUMBER(SEARCH("FAIL",K158&amp;" "&amp;O158)),ISNUMBER(SEARCH("CLEAN RETEST REQUIRED",K158&amp;" "&amp;O158))),"Failed",IF(OR(ISNUMBER(SEARCH("NOT RUN",K158&amp;" "&amp;O158)),ISNUMBER(SEARCH("NOT IMPLEMENTED",K158&amp;" "&amp;O158))),"Not started",IF(OR(ISNUMBER(SEARCH("PARTIAL",K158&amp;" "&amp;O158)),ISNUMBER(SEARCH("PENDING",K158&amp;" "&amp;O158)),ISNUMBER(SEARCH("IN PROGRESS",K158&amp;" "&amp;O158)),ISNUMBER(SEARCH("OPEN",K158&amp;" "&amp;O158)),ISNUMBER(SEARCH("RETEST REQUIRED",K158&amp;" "&amp;O158)),ISNUMBER(SEARCH("IMPLEMENTATION UPDATED",K158&amp;" "&amp;O158)),ISNUMBER(SEARCH("REQUIRED EVERY SESSION",K158&amp;" "&amp;O158))),"Pending",IF(OR(O158="PASS",ISNUMBER(SEARCH("PASS",K158&amp;" "&amp;O158))),"Done","Pending"))))</f>
        <v>Not started</v>
      </c>
      <c r="S158" s="146" t="str">
        <f>IF(OR(LEFT(A158,9)="OPERATOR-",LEFT(A158,8)="PAYMENT-",LEFT(A158,7)="DEPLOY-"),"External","Core")</f>
        <v>Core</v>
      </c>
    </row>
    <row r="159" customFormat="false" ht="15" hidden="false" customHeight="false" outlineLevel="0" collapsed="false">
      <c r="A159" s="138" t="s">
        <v>1425</v>
      </c>
      <c r="B159" s="138" t="s">
        <v>1399</v>
      </c>
      <c r="C159" s="263" t="s">
        <v>66</v>
      </c>
      <c r="D159" s="138" t="s">
        <v>1426</v>
      </c>
      <c r="E159" s="138" t="s">
        <v>1427</v>
      </c>
      <c r="F159" s="138" t="s">
        <v>4</v>
      </c>
      <c r="G159" s="138" t="s">
        <v>1419</v>
      </c>
      <c r="H159" s="138" t="s">
        <v>4</v>
      </c>
      <c r="I159" s="138" t="s">
        <v>1420</v>
      </c>
      <c r="J159" s="138" t="s">
        <v>1428</v>
      </c>
      <c r="K159" s="138" t="s">
        <v>337</v>
      </c>
      <c r="L159" s="138" t="s">
        <v>1</v>
      </c>
      <c r="M159" s="138" t="s">
        <v>1429</v>
      </c>
      <c r="N159" s="138" t="s">
        <v>1430</v>
      </c>
      <c r="O159" s="138" t="s">
        <v>1</v>
      </c>
      <c r="P159" s="138" t="s">
        <v>1431</v>
      </c>
      <c r="Q159" s="138" t="s">
        <v>400</v>
      </c>
      <c r="R159" s="146" t="str">
        <f>IF(OR(ISNUMBER(SEARCH("FAIL",K159&amp;" "&amp;O159)),ISNUMBER(SEARCH("CLEAN RETEST REQUIRED",K159&amp;" "&amp;O159))),"Failed",IF(OR(ISNUMBER(SEARCH("NOT RUN",K159&amp;" "&amp;O159)),ISNUMBER(SEARCH("NOT IMPLEMENTED",K159&amp;" "&amp;O159))),"Not started",IF(OR(ISNUMBER(SEARCH("PARTIAL",K159&amp;" "&amp;O159)),ISNUMBER(SEARCH("PENDING",K159&amp;" "&amp;O159)),ISNUMBER(SEARCH("IN PROGRESS",K159&amp;" "&amp;O159)),ISNUMBER(SEARCH("OPEN",K159&amp;" "&amp;O159)),ISNUMBER(SEARCH("RETEST REQUIRED",K159&amp;" "&amp;O159)),ISNUMBER(SEARCH("IMPLEMENTATION UPDATED",K159&amp;" "&amp;O159)),ISNUMBER(SEARCH("REQUIRED EVERY SESSION",K159&amp;" "&amp;O159))),"Pending",IF(OR(O159="PASS",ISNUMBER(SEARCH("PASS",K159&amp;" "&amp;O159))),"Done","Pending"))))</f>
        <v>Not started</v>
      </c>
      <c r="S159" s="146" t="str">
        <f>IF(OR(LEFT(A159,9)="OPERATOR-",LEFT(A159,8)="PAYMENT-",LEFT(A159,7)="DEPLOY-"),"External","Core")</f>
        <v>Core</v>
      </c>
    </row>
    <row r="160" customFormat="false" ht="15" hidden="false" customHeight="false" outlineLevel="0" collapsed="false">
      <c r="A160" s="138" t="s">
        <v>1432</v>
      </c>
      <c r="B160" s="138" t="s">
        <v>1399</v>
      </c>
      <c r="C160" s="263" t="s">
        <v>66</v>
      </c>
      <c r="D160" s="138" t="s">
        <v>1433</v>
      </c>
      <c r="E160" s="138" t="s">
        <v>1434</v>
      </c>
      <c r="F160" s="138" t="s">
        <v>1411</v>
      </c>
      <c r="G160" s="138" t="s">
        <v>1403</v>
      </c>
      <c r="H160" s="138" t="s">
        <v>1435</v>
      </c>
      <c r="I160" s="138" t="s">
        <v>1292</v>
      </c>
      <c r="J160" s="138" t="s">
        <v>1436</v>
      </c>
      <c r="K160" s="138" t="s">
        <v>337</v>
      </c>
      <c r="L160" s="138" t="s">
        <v>1</v>
      </c>
      <c r="M160" s="138" t="s">
        <v>1437</v>
      </c>
      <c r="N160" s="138" t="s">
        <v>1438</v>
      </c>
      <c r="O160" s="138" t="s">
        <v>1</v>
      </c>
      <c r="P160" s="138" t="s">
        <v>1</v>
      </c>
      <c r="Q160" s="138" t="s">
        <v>1439</v>
      </c>
      <c r="R160" s="146" t="str">
        <f>IF(OR(ISNUMBER(SEARCH("FAIL",K160&amp;" "&amp;O160)),ISNUMBER(SEARCH("CLEAN RETEST REQUIRED",K160&amp;" "&amp;O160))),"Failed",IF(OR(ISNUMBER(SEARCH("NOT RUN",K160&amp;" "&amp;O160)),ISNUMBER(SEARCH("NOT IMPLEMENTED",K160&amp;" "&amp;O160))),"Not started",IF(OR(ISNUMBER(SEARCH("PARTIAL",K160&amp;" "&amp;O160)),ISNUMBER(SEARCH("PENDING",K160&amp;" "&amp;O160)),ISNUMBER(SEARCH("IN PROGRESS",K160&amp;" "&amp;O160)),ISNUMBER(SEARCH("OPEN",K160&amp;" "&amp;O160)),ISNUMBER(SEARCH("RETEST REQUIRED",K160&amp;" "&amp;O160)),ISNUMBER(SEARCH("IMPLEMENTATION UPDATED",K160&amp;" "&amp;O160)),ISNUMBER(SEARCH("REQUIRED EVERY SESSION",K160&amp;" "&amp;O160))),"Pending",IF(OR(O160="PASS",ISNUMBER(SEARCH("PASS",K160&amp;" "&amp;O160))),"Done","Pending"))))</f>
        <v>Not started</v>
      </c>
      <c r="S160" s="146" t="str">
        <f>IF(OR(LEFT(A160,9)="OPERATOR-",LEFT(A160,8)="PAYMENT-",LEFT(A160,7)="DEPLOY-"),"External","Core")</f>
        <v>Core</v>
      </c>
    </row>
    <row r="161" customFormat="false" ht="15" hidden="false" customHeight="false" outlineLevel="0" collapsed="false">
      <c r="A161" s="138" t="s">
        <v>1440</v>
      </c>
      <c r="B161" s="138" t="s">
        <v>1399</v>
      </c>
      <c r="C161" s="263" t="s">
        <v>66</v>
      </c>
      <c r="D161" s="138" t="s">
        <v>1441</v>
      </c>
      <c r="E161" s="138" t="s">
        <v>1442</v>
      </c>
      <c r="F161" s="138" t="s">
        <v>4</v>
      </c>
      <c r="G161" s="138" t="s">
        <v>1443</v>
      </c>
      <c r="H161" s="138" t="s">
        <v>4</v>
      </c>
      <c r="I161" s="138" t="s">
        <v>1420</v>
      </c>
      <c r="J161" s="138" t="s">
        <v>1444</v>
      </c>
      <c r="K161" s="138" t="s">
        <v>1445</v>
      </c>
      <c r="L161" s="138" t="s">
        <v>1</v>
      </c>
      <c r="M161" s="138" t="s">
        <v>1446</v>
      </c>
      <c r="N161" s="138" t="s">
        <v>1447</v>
      </c>
      <c r="O161" s="138" t="s">
        <v>1</v>
      </c>
      <c r="P161" s="138" t="s">
        <v>1448</v>
      </c>
      <c r="Q161" s="138" t="s">
        <v>112</v>
      </c>
      <c r="R161" s="146" t="str">
        <f>IF(OR(ISNUMBER(SEARCH("FAIL",K161&amp;" "&amp;O161)),ISNUMBER(SEARCH("CLEAN RETEST REQUIRED",K161&amp;" "&amp;O161))),"Failed",IF(OR(ISNUMBER(SEARCH("NOT RUN",K161&amp;" "&amp;O161)),ISNUMBER(SEARCH("NOT IMPLEMENTED",K161&amp;" "&amp;O161))),"Not started",IF(OR(ISNUMBER(SEARCH("PARTIAL",K161&amp;" "&amp;O161)),ISNUMBER(SEARCH("PENDING",K161&amp;" "&amp;O161)),ISNUMBER(SEARCH("IN PROGRESS",K161&amp;" "&amp;O161)),ISNUMBER(SEARCH("OPEN",K161&amp;" "&amp;O161)),ISNUMBER(SEARCH("RETEST REQUIRED",K161&amp;" "&amp;O161)),ISNUMBER(SEARCH("IMPLEMENTATION UPDATED",K161&amp;" "&amp;O161)),ISNUMBER(SEARCH("REQUIRED EVERY SESSION",K161&amp;" "&amp;O161))),"Pending",IF(OR(O161="PASS",ISNUMBER(SEARCH("PASS",K161&amp;" "&amp;O161))),"Done","Pending"))))</f>
        <v>Not started</v>
      </c>
      <c r="S161" s="146" t="str">
        <f>IF(OR(LEFT(A161,9)="OPERATOR-",LEFT(A161,8)="PAYMENT-",LEFT(A161,7)="DEPLOY-"),"External","Core")</f>
        <v>Core</v>
      </c>
    </row>
    <row r="162" customFormat="false" ht="15" hidden="false" customHeight="false" outlineLevel="0" collapsed="false">
      <c r="A162" s="138" t="s">
        <v>1449</v>
      </c>
      <c r="B162" s="138" t="s">
        <v>1399</v>
      </c>
      <c r="C162" s="263" t="s">
        <v>66</v>
      </c>
      <c r="D162" s="138" t="s">
        <v>1450</v>
      </c>
      <c r="E162" s="138" t="s">
        <v>1451</v>
      </c>
      <c r="F162" s="138" t="s">
        <v>4</v>
      </c>
      <c r="G162" s="138" t="s">
        <v>1452</v>
      </c>
      <c r="H162" s="138" t="s">
        <v>4</v>
      </c>
      <c r="I162" s="138" t="s">
        <v>1453</v>
      </c>
      <c r="J162" s="138" t="s">
        <v>1454</v>
      </c>
      <c r="K162" s="138" t="s">
        <v>337</v>
      </c>
      <c r="L162" s="138" t="s">
        <v>1</v>
      </c>
      <c r="M162" s="138" t="s">
        <v>1455</v>
      </c>
      <c r="N162" s="138" t="s">
        <v>1456</v>
      </c>
      <c r="O162" s="138" t="s">
        <v>1</v>
      </c>
      <c r="P162" s="138" t="s">
        <v>1</v>
      </c>
      <c r="Q162" s="138" t="s">
        <v>295</v>
      </c>
      <c r="R162" s="146" t="str">
        <f>IF(OR(ISNUMBER(SEARCH("FAIL",K162&amp;" "&amp;O162)),ISNUMBER(SEARCH("CLEAN RETEST REQUIRED",K162&amp;" "&amp;O162))),"Failed",IF(OR(ISNUMBER(SEARCH("NOT RUN",K162&amp;" "&amp;O162)),ISNUMBER(SEARCH("NOT IMPLEMENTED",K162&amp;" "&amp;O162))),"Not started",IF(OR(ISNUMBER(SEARCH("PARTIAL",K162&amp;" "&amp;O162)),ISNUMBER(SEARCH("PENDING",K162&amp;" "&amp;O162)),ISNUMBER(SEARCH("IN PROGRESS",K162&amp;" "&amp;O162)),ISNUMBER(SEARCH("OPEN",K162&amp;" "&amp;O162)),ISNUMBER(SEARCH("RETEST REQUIRED",K162&amp;" "&amp;O162)),ISNUMBER(SEARCH("IMPLEMENTATION UPDATED",K162&amp;" "&amp;O162)),ISNUMBER(SEARCH("REQUIRED EVERY SESSION",K162&amp;" "&amp;O162))),"Pending",IF(OR(O162="PASS",ISNUMBER(SEARCH("PASS",K162&amp;" "&amp;O162))),"Done","Pending"))))</f>
        <v>Not started</v>
      </c>
      <c r="S162" s="146" t="str">
        <f>IF(OR(LEFT(A162,9)="OPERATOR-",LEFT(A162,8)="PAYMENT-",LEFT(A162,7)="DEPLOY-"),"External","Core")</f>
        <v>Core</v>
      </c>
    </row>
    <row r="163" customFormat="false" ht="15" hidden="false" customHeight="false" outlineLevel="0" collapsed="false">
      <c r="A163" s="138" t="s">
        <v>1457</v>
      </c>
      <c r="B163" s="138" t="s">
        <v>1458</v>
      </c>
      <c r="C163" s="263" t="s">
        <v>66</v>
      </c>
      <c r="D163" s="138" t="s">
        <v>1392</v>
      </c>
      <c r="E163" s="138" t="s">
        <v>1459</v>
      </c>
      <c r="F163" s="138" t="s">
        <v>4</v>
      </c>
      <c r="G163" s="138" t="s">
        <v>4</v>
      </c>
      <c r="H163" s="138" t="s">
        <v>4</v>
      </c>
      <c r="I163" s="138" t="s">
        <v>1460</v>
      </c>
      <c r="J163" s="138" t="s">
        <v>1461</v>
      </c>
      <c r="K163" s="138" t="s">
        <v>337</v>
      </c>
      <c r="L163" s="138" t="s">
        <v>1</v>
      </c>
      <c r="M163" s="138" t="s">
        <v>1462</v>
      </c>
      <c r="N163" s="138" t="s">
        <v>1463</v>
      </c>
      <c r="O163" s="138" t="s">
        <v>1</v>
      </c>
      <c r="P163" s="138" t="s">
        <v>1</v>
      </c>
      <c r="Q163" s="138" t="s">
        <v>1464</v>
      </c>
      <c r="R163" s="146" t="str">
        <f>IF(OR(ISNUMBER(SEARCH("FAIL",K163&amp;" "&amp;O163)),ISNUMBER(SEARCH("CLEAN RETEST REQUIRED",K163&amp;" "&amp;O163))),"Failed",IF(OR(ISNUMBER(SEARCH("NOT RUN",K163&amp;" "&amp;O163)),ISNUMBER(SEARCH("NOT IMPLEMENTED",K163&amp;" "&amp;O163))),"Not started",IF(OR(ISNUMBER(SEARCH("PARTIAL",K163&amp;" "&amp;O163)),ISNUMBER(SEARCH("PENDING",K163&amp;" "&amp;O163)),ISNUMBER(SEARCH("IN PROGRESS",K163&amp;" "&amp;O163)),ISNUMBER(SEARCH("OPEN",K163&amp;" "&amp;O163)),ISNUMBER(SEARCH("RETEST REQUIRED",K163&amp;" "&amp;O163)),ISNUMBER(SEARCH("IMPLEMENTATION UPDATED",K163&amp;" "&amp;O163)),ISNUMBER(SEARCH("REQUIRED EVERY SESSION",K163&amp;" "&amp;O163))),"Pending",IF(OR(O163="PASS",ISNUMBER(SEARCH("PASS",K163&amp;" "&amp;O163))),"Done","Pending"))))</f>
        <v>Not started</v>
      </c>
      <c r="S163" s="146" t="str">
        <f>IF(OR(LEFT(A163,9)="OPERATOR-",LEFT(A163,8)="PAYMENT-",LEFT(A163,7)="DEPLOY-"),"External","Core")</f>
        <v>Core</v>
      </c>
    </row>
    <row r="164" customFormat="false" ht="15" hidden="false" customHeight="false" outlineLevel="0" collapsed="false">
      <c r="A164" s="136" t="s">
        <v>1465</v>
      </c>
      <c r="B164" s="136" t="s">
        <v>1466</v>
      </c>
      <c r="C164" s="263" t="s">
        <v>66</v>
      </c>
      <c r="D164" s="136" t="s">
        <v>1467</v>
      </c>
      <c r="E164" s="136" t="s">
        <v>1468</v>
      </c>
      <c r="F164" s="136" t="s">
        <v>4</v>
      </c>
      <c r="G164" s="136" t="s">
        <v>1469</v>
      </c>
      <c r="H164" s="136" t="s">
        <v>4</v>
      </c>
      <c r="I164" s="136" t="s">
        <v>1470</v>
      </c>
      <c r="J164" s="136" t="s">
        <v>1471</v>
      </c>
      <c r="K164" s="136" t="s">
        <v>1472</v>
      </c>
      <c r="L164" s="136" t="s">
        <v>1473</v>
      </c>
      <c r="M164" s="136" t="s">
        <v>1474</v>
      </c>
      <c r="N164" s="136" t="s">
        <v>1475</v>
      </c>
      <c r="O164" s="136" t="s">
        <v>1059</v>
      </c>
      <c r="P164" s="136" t="s">
        <v>1476</v>
      </c>
      <c r="Q164" s="136" t="s">
        <v>1464</v>
      </c>
      <c r="R164" s="146" t="str">
        <f>IF(OR(ISNUMBER(SEARCH("FAIL",K164&amp;" "&amp;O164)),ISNUMBER(SEARCH("CLEAN RETEST REQUIRED",K164&amp;" "&amp;O164))),"Failed",IF(OR(ISNUMBER(SEARCH("NOT RUN",K164&amp;" "&amp;O164)),ISNUMBER(SEARCH("NOT IMPLEMENTED",K164&amp;" "&amp;O164))),"Not started",IF(OR(ISNUMBER(SEARCH("PARTIAL",K164&amp;" "&amp;O164)),ISNUMBER(SEARCH("PENDING",K164&amp;" "&amp;O164)),ISNUMBER(SEARCH("IN PROGRESS",K164&amp;" "&amp;O164)),ISNUMBER(SEARCH("OPEN",K164&amp;" "&amp;O164)),ISNUMBER(SEARCH("RETEST REQUIRED",K164&amp;" "&amp;O164)),ISNUMBER(SEARCH("IMPLEMENTATION UPDATED",K164&amp;" "&amp;O164)),ISNUMBER(SEARCH("REQUIRED EVERY SESSION",K164&amp;" "&amp;O164))),"Pending",IF(OR(O164="PASS",ISNUMBER(SEARCH("PASS",K164&amp;" "&amp;O164))),"Done","Pending"))))</f>
        <v>Pending</v>
      </c>
      <c r="S164" s="146" t="str">
        <f>IF(OR(LEFT(A164,9)="OPERATOR-",LEFT(A164,8)="PAYMENT-",LEFT(A164,7)="DEPLOY-"),"External","Core")</f>
        <v>Core</v>
      </c>
    </row>
    <row r="165" customFormat="false" ht="15" hidden="false" customHeight="false" outlineLevel="0" collapsed="false">
      <c r="A165" s="135" t="s">
        <v>1477</v>
      </c>
      <c r="B165" s="135" t="s">
        <v>1466</v>
      </c>
      <c r="C165" s="263" t="s">
        <v>66</v>
      </c>
      <c r="D165" s="135" t="s">
        <v>1478</v>
      </c>
      <c r="E165" s="135" t="s">
        <v>1479</v>
      </c>
      <c r="F165" s="135" t="s">
        <v>1480</v>
      </c>
      <c r="G165" s="135" t="s">
        <v>1481</v>
      </c>
      <c r="H165" s="135" t="s">
        <v>1263</v>
      </c>
      <c r="I165" s="135" t="s">
        <v>8</v>
      </c>
      <c r="J165" s="135" t="s">
        <v>1482</v>
      </c>
      <c r="K165" s="135" t="s">
        <v>236</v>
      </c>
      <c r="L165" s="135" t="s">
        <v>96</v>
      </c>
      <c r="M165" s="135" t="s">
        <v>1483</v>
      </c>
      <c r="N165" s="135" t="s">
        <v>1484</v>
      </c>
      <c r="O165" s="135" t="s">
        <v>125</v>
      </c>
      <c r="P165" s="135" t="s">
        <v>1485</v>
      </c>
      <c r="Q165" s="135" t="s">
        <v>1439</v>
      </c>
      <c r="R165" s="146" t="str">
        <f>IF(OR(ISNUMBER(SEARCH("FAIL",K165&amp;" "&amp;O165)),ISNUMBER(SEARCH("CLEAN RETEST REQUIRED",K165&amp;" "&amp;O165))),"Failed",IF(OR(ISNUMBER(SEARCH("NOT RUN",K165&amp;" "&amp;O165)),ISNUMBER(SEARCH("NOT IMPLEMENTED",K165&amp;" "&amp;O165))),"Not started",IF(OR(ISNUMBER(SEARCH("PARTIAL",K165&amp;" "&amp;O165)),ISNUMBER(SEARCH("PENDING",K165&amp;" "&amp;O165)),ISNUMBER(SEARCH("IN PROGRESS",K165&amp;" "&amp;O165)),ISNUMBER(SEARCH("OPEN",K165&amp;" "&amp;O165)),ISNUMBER(SEARCH("RETEST REQUIRED",K165&amp;" "&amp;O165)),ISNUMBER(SEARCH("IMPLEMENTATION UPDATED",K165&amp;" "&amp;O165)),ISNUMBER(SEARCH("REQUIRED EVERY SESSION",K165&amp;" "&amp;O165))),"Pending",IF(OR(O165="PASS",ISNUMBER(SEARCH("PASS",K165&amp;" "&amp;O165))),"Done","Pending"))))</f>
        <v>Done</v>
      </c>
      <c r="S165" s="146" t="str">
        <f>IF(OR(LEFT(A165,9)="OPERATOR-",LEFT(A165,8)="PAYMENT-",LEFT(A165,7)="DEPLOY-"),"External","Core")</f>
        <v>Core</v>
      </c>
    </row>
    <row r="166" customFormat="false" ht="15" hidden="false" customHeight="false" outlineLevel="0" collapsed="false">
      <c r="A166" s="136" t="s">
        <v>1486</v>
      </c>
      <c r="B166" s="136" t="s">
        <v>1466</v>
      </c>
      <c r="C166" s="263" t="s">
        <v>66</v>
      </c>
      <c r="D166" s="136" t="s">
        <v>1487</v>
      </c>
      <c r="E166" s="136" t="s">
        <v>1488</v>
      </c>
      <c r="F166" s="136" t="s">
        <v>4</v>
      </c>
      <c r="G166" s="136" t="s">
        <v>1489</v>
      </c>
      <c r="H166" s="136" t="s">
        <v>4</v>
      </c>
      <c r="I166" s="136" t="s">
        <v>8</v>
      </c>
      <c r="J166" s="136" t="s">
        <v>1490</v>
      </c>
      <c r="K166" s="136" t="s">
        <v>1491</v>
      </c>
      <c r="L166" s="136" t="s">
        <v>1283</v>
      </c>
      <c r="M166" s="136" t="s">
        <v>1492</v>
      </c>
      <c r="N166" s="136" t="s">
        <v>1493</v>
      </c>
      <c r="O166" s="136" t="s">
        <v>1059</v>
      </c>
      <c r="P166" s="136" t="s">
        <v>1494</v>
      </c>
      <c r="Q166" s="136" t="s">
        <v>351</v>
      </c>
      <c r="R166" s="146" t="str">
        <f>IF(OR(ISNUMBER(SEARCH("FAIL",K166&amp;" "&amp;O166)),ISNUMBER(SEARCH("CLEAN RETEST REQUIRED",K166&amp;" "&amp;O166))),"Failed",IF(OR(ISNUMBER(SEARCH("NOT RUN",K166&amp;" "&amp;O166)),ISNUMBER(SEARCH("NOT IMPLEMENTED",K166&amp;" "&amp;O166))),"Not started",IF(OR(ISNUMBER(SEARCH("PARTIAL",K166&amp;" "&amp;O166)),ISNUMBER(SEARCH("PENDING",K166&amp;" "&amp;O166)),ISNUMBER(SEARCH("IN PROGRESS",K166&amp;" "&amp;O166)),ISNUMBER(SEARCH("OPEN",K166&amp;" "&amp;O166)),ISNUMBER(SEARCH("RETEST REQUIRED",K166&amp;" "&amp;O166)),ISNUMBER(SEARCH("IMPLEMENTATION UPDATED",K166&amp;" "&amp;O166)),ISNUMBER(SEARCH("REQUIRED EVERY SESSION",K166&amp;" "&amp;O166))),"Pending",IF(OR(O166="PASS",ISNUMBER(SEARCH("PASS",K166&amp;" "&amp;O166))),"Done","Pending"))))</f>
        <v>Pending</v>
      </c>
      <c r="S166" s="146" t="str">
        <f>IF(OR(LEFT(A166,9)="OPERATOR-",LEFT(A166,8)="PAYMENT-",LEFT(A166,7)="DEPLOY-"),"External","Core")</f>
        <v>Core</v>
      </c>
    </row>
    <row r="167" customFormat="false" ht="15" hidden="false" customHeight="false" outlineLevel="0" collapsed="false">
      <c r="A167" s="136" t="s">
        <v>1495</v>
      </c>
      <c r="B167" s="136" t="s">
        <v>1466</v>
      </c>
      <c r="C167" s="263" t="s">
        <v>66</v>
      </c>
      <c r="D167" s="136" t="s">
        <v>1496</v>
      </c>
      <c r="E167" s="136" t="s">
        <v>1497</v>
      </c>
      <c r="F167" s="136" t="s">
        <v>4</v>
      </c>
      <c r="G167" s="136" t="s">
        <v>1498</v>
      </c>
      <c r="H167" s="136" t="s">
        <v>4</v>
      </c>
      <c r="I167" s="136" t="s">
        <v>8</v>
      </c>
      <c r="J167" s="136" t="s">
        <v>1499</v>
      </c>
      <c r="K167" s="136" t="s">
        <v>1491</v>
      </c>
      <c r="L167" s="136" t="s">
        <v>1283</v>
      </c>
      <c r="M167" s="136" t="s">
        <v>1492</v>
      </c>
      <c r="N167" s="136" t="s">
        <v>1500</v>
      </c>
      <c r="O167" s="136" t="s">
        <v>1059</v>
      </c>
      <c r="P167" s="136" t="s">
        <v>1494</v>
      </c>
      <c r="Q167" s="136" t="s">
        <v>1228</v>
      </c>
      <c r="R167" s="146" t="str">
        <f>IF(OR(ISNUMBER(SEARCH("FAIL",K167&amp;" "&amp;O167)),ISNUMBER(SEARCH("CLEAN RETEST REQUIRED",K167&amp;" "&amp;O167))),"Failed",IF(OR(ISNUMBER(SEARCH("NOT RUN",K167&amp;" "&amp;O167)),ISNUMBER(SEARCH("NOT IMPLEMENTED",K167&amp;" "&amp;O167))),"Not started",IF(OR(ISNUMBER(SEARCH("PARTIAL",K167&amp;" "&amp;O167)),ISNUMBER(SEARCH("PENDING",K167&amp;" "&amp;O167)),ISNUMBER(SEARCH("IN PROGRESS",K167&amp;" "&amp;O167)),ISNUMBER(SEARCH("OPEN",K167&amp;" "&amp;O167)),ISNUMBER(SEARCH("RETEST REQUIRED",K167&amp;" "&amp;O167)),ISNUMBER(SEARCH("IMPLEMENTATION UPDATED",K167&amp;" "&amp;O167)),ISNUMBER(SEARCH("REQUIRED EVERY SESSION",K167&amp;" "&amp;O167))),"Pending",IF(OR(O167="PASS",ISNUMBER(SEARCH("PASS",K167&amp;" "&amp;O167))),"Done","Pending"))))</f>
        <v>Pending</v>
      </c>
      <c r="S167" s="146" t="str">
        <f>IF(OR(LEFT(A167,9)="OPERATOR-",LEFT(A167,8)="PAYMENT-",LEFT(A167,7)="DEPLOY-"),"External","Core")</f>
        <v>Core</v>
      </c>
    </row>
    <row r="168" customFormat="false" ht="15" hidden="false" customHeight="false" outlineLevel="0" collapsed="false">
      <c r="A168" s="136" t="s">
        <v>1501</v>
      </c>
      <c r="B168" s="136" t="s">
        <v>1466</v>
      </c>
      <c r="C168" s="263" t="s">
        <v>66</v>
      </c>
      <c r="D168" s="136" t="s">
        <v>1502</v>
      </c>
      <c r="E168" s="136" t="s">
        <v>1503</v>
      </c>
      <c r="F168" s="136" t="s">
        <v>4</v>
      </c>
      <c r="G168" s="136" t="s">
        <v>1504</v>
      </c>
      <c r="H168" s="136" t="s">
        <v>4</v>
      </c>
      <c r="I168" s="136" t="s">
        <v>8</v>
      </c>
      <c r="J168" s="136" t="s">
        <v>1505</v>
      </c>
      <c r="K168" s="136" t="s">
        <v>1491</v>
      </c>
      <c r="L168" s="136" t="s">
        <v>1283</v>
      </c>
      <c r="M168" s="136" t="s">
        <v>1492</v>
      </c>
      <c r="N168" s="136" t="s">
        <v>1506</v>
      </c>
      <c r="O168" s="136" t="s">
        <v>1059</v>
      </c>
      <c r="P168" s="136" t="s">
        <v>1494</v>
      </c>
      <c r="Q168" s="136" t="s">
        <v>1464</v>
      </c>
      <c r="R168" s="146" t="str">
        <f>IF(OR(ISNUMBER(SEARCH("FAIL",K168&amp;" "&amp;O168)),ISNUMBER(SEARCH("CLEAN RETEST REQUIRED",K168&amp;" "&amp;O168))),"Failed",IF(OR(ISNUMBER(SEARCH("NOT RUN",K168&amp;" "&amp;O168)),ISNUMBER(SEARCH("NOT IMPLEMENTED",K168&amp;" "&amp;O168))),"Not started",IF(OR(ISNUMBER(SEARCH("PARTIAL",K168&amp;" "&amp;O168)),ISNUMBER(SEARCH("PENDING",K168&amp;" "&amp;O168)),ISNUMBER(SEARCH("IN PROGRESS",K168&amp;" "&amp;O168)),ISNUMBER(SEARCH("OPEN",K168&amp;" "&amp;O168)),ISNUMBER(SEARCH("RETEST REQUIRED",K168&amp;" "&amp;O168)),ISNUMBER(SEARCH("IMPLEMENTATION UPDATED",K168&amp;" "&amp;O168)),ISNUMBER(SEARCH("REQUIRED EVERY SESSION",K168&amp;" "&amp;O168))),"Pending",IF(OR(O168="PASS",ISNUMBER(SEARCH("PASS",K168&amp;" "&amp;O168))),"Done","Pending"))))</f>
        <v>Pending</v>
      </c>
      <c r="S168" s="146" t="str">
        <f>IF(OR(LEFT(A168,9)="OPERATOR-",LEFT(A168,8)="PAYMENT-",LEFT(A168,7)="DEPLOY-"),"External","Core")</f>
        <v>Core</v>
      </c>
    </row>
    <row r="169" customFormat="false" ht="15" hidden="false" customHeight="false" outlineLevel="0" collapsed="false">
      <c r="A169" s="136" t="s">
        <v>1507</v>
      </c>
      <c r="B169" s="136" t="s">
        <v>1466</v>
      </c>
      <c r="C169" s="263" t="s">
        <v>66</v>
      </c>
      <c r="D169" s="136" t="s">
        <v>1508</v>
      </c>
      <c r="E169" s="136" t="s">
        <v>1509</v>
      </c>
      <c r="F169" s="136" t="s">
        <v>4</v>
      </c>
      <c r="G169" s="136" t="s">
        <v>1510</v>
      </c>
      <c r="H169" s="136" t="s">
        <v>4</v>
      </c>
      <c r="I169" s="136" t="s">
        <v>8</v>
      </c>
      <c r="J169" s="136" t="s">
        <v>1511</v>
      </c>
      <c r="K169" s="136" t="s">
        <v>1491</v>
      </c>
      <c r="L169" s="136" t="s">
        <v>1283</v>
      </c>
      <c r="M169" s="136" t="s">
        <v>1512</v>
      </c>
      <c r="N169" s="136" t="s">
        <v>1513</v>
      </c>
      <c r="O169" s="136" t="s">
        <v>1059</v>
      </c>
      <c r="P169" s="136" t="s">
        <v>1514</v>
      </c>
      <c r="Q169" s="136" t="s">
        <v>295</v>
      </c>
      <c r="R169" s="146" t="str">
        <f>IF(OR(ISNUMBER(SEARCH("FAIL",K169&amp;" "&amp;O169)),ISNUMBER(SEARCH("CLEAN RETEST REQUIRED",K169&amp;" "&amp;O169))),"Failed",IF(OR(ISNUMBER(SEARCH("NOT RUN",K169&amp;" "&amp;O169)),ISNUMBER(SEARCH("NOT IMPLEMENTED",K169&amp;" "&amp;O169))),"Not started",IF(OR(ISNUMBER(SEARCH("PARTIAL",K169&amp;" "&amp;O169)),ISNUMBER(SEARCH("PENDING",K169&amp;" "&amp;O169)),ISNUMBER(SEARCH("IN PROGRESS",K169&amp;" "&amp;O169)),ISNUMBER(SEARCH("OPEN",K169&amp;" "&amp;O169)),ISNUMBER(SEARCH("RETEST REQUIRED",K169&amp;" "&amp;O169)),ISNUMBER(SEARCH("IMPLEMENTATION UPDATED",K169&amp;" "&amp;O169)),ISNUMBER(SEARCH("REQUIRED EVERY SESSION",K169&amp;" "&amp;O169))),"Pending",IF(OR(O169="PASS",ISNUMBER(SEARCH("PASS",K169&amp;" "&amp;O169))),"Done","Pending"))))</f>
        <v>Pending</v>
      </c>
      <c r="S169" s="146" t="str">
        <f>IF(OR(LEFT(A169,9)="OPERATOR-",LEFT(A169,8)="PAYMENT-",LEFT(A169,7)="DEPLOY-"),"External","Core")</f>
        <v>Core</v>
      </c>
    </row>
    <row r="170" customFormat="false" ht="15" hidden="false" customHeight="false" outlineLevel="0" collapsed="false">
      <c r="A170" s="136" t="s">
        <v>1515</v>
      </c>
      <c r="B170" s="136" t="s">
        <v>1466</v>
      </c>
      <c r="C170" s="263" t="s">
        <v>66</v>
      </c>
      <c r="D170" s="136" t="s">
        <v>1516</v>
      </c>
      <c r="E170" s="136" t="s">
        <v>1517</v>
      </c>
      <c r="F170" s="136" t="s">
        <v>1518</v>
      </c>
      <c r="G170" s="136" t="s">
        <v>1519</v>
      </c>
      <c r="H170" s="136" t="s">
        <v>1520</v>
      </c>
      <c r="I170" s="136" t="s">
        <v>8</v>
      </c>
      <c r="J170" s="136" t="s">
        <v>1521</v>
      </c>
      <c r="K170" s="136" t="s">
        <v>1491</v>
      </c>
      <c r="L170" s="136" t="s">
        <v>1283</v>
      </c>
      <c r="M170" s="136" t="s">
        <v>1522</v>
      </c>
      <c r="N170" s="136" t="s">
        <v>1523</v>
      </c>
      <c r="O170" s="136" t="s">
        <v>1059</v>
      </c>
      <c r="P170" s="136" t="s">
        <v>1524</v>
      </c>
      <c r="Q170" s="136" t="s">
        <v>372</v>
      </c>
      <c r="R170" s="146" t="str">
        <f>IF(OR(ISNUMBER(SEARCH("FAIL",K170&amp;" "&amp;O170)),ISNUMBER(SEARCH("CLEAN RETEST REQUIRED",K170&amp;" "&amp;O170))),"Failed",IF(OR(ISNUMBER(SEARCH("NOT RUN",K170&amp;" "&amp;O170)),ISNUMBER(SEARCH("NOT IMPLEMENTED",K170&amp;" "&amp;O170))),"Not started",IF(OR(ISNUMBER(SEARCH("PARTIAL",K170&amp;" "&amp;O170)),ISNUMBER(SEARCH("PENDING",K170&amp;" "&amp;O170)),ISNUMBER(SEARCH("IN PROGRESS",K170&amp;" "&amp;O170)),ISNUMBER(SEARCH("OPEN",K170&amp;" "&amp;O170)),ISNUMBER(SEARCH("RETEST REQUIRED",K170&amp;" "&amp;O170)),ISNUMBER(SEARCH("IMPLEMENTATION UPDATED",K170&amp;" "&amp;O170)),ISNUMBER(SEARCH("REQUIRED EVERY SESSION",K170&amp;" "&amp;O170))),"Pending",IF(OR(O170="PASS",ISNUMBER(SEARCH("PASS",K170&amp;" "&amp;O170))),"Done","Pending"))))</f>
        <v>Pending</v>
      </c>
      <c r="S170" s="146" t="str">
        <f>IF(OR(LEFT(A170,9)="OPERATOR-",LEFT(A170,8)="PAYMENT-",LEFT(A170,7)="DEPLOY-"),"External","Core")</f>
        <v>Core</v>
      </c>
    </row>
    <row r="171" customFormat="false" ht="15" hidden="false" customHeight="false" outlineLevel="0" collapsed="false">
      <c r="A171" s="138" t="s">
        <v>1525</v>
      </c>
      <c r="B171" s="138" t="s">
        <v>1466</v>
      </c>
      <c r="C171" s="263" t="s">
        <v>66</v>
      </c>
      <c r="D171" s="138" t="s">
        <v>1526</v>
      </c>
      <c r="E171" s="138" t="s">
        <v>1527</v>
      </c>
      <c r="F171" s="138" t="s">
        <v>4</v>
      </c>
      <c r="G171" s="138" t="s">
        <v>1504</v>
      </c>
      <c r="H171" s="138" t="s">
        <v>1528</v>
      </c>
      <c r="I171" s="138" t="s">
        <v>8</v>
      </c>
      <c r="J171" s="138" t="s">
        <v>4</v>
      </c>
      <c r="K171" s="138" t="s">
        <v>337</v>
      </c>
      <c r="L171" s="138" t="s">
        <v>1</v>
      </c>
      <c r="M171" s="138" t="s">
        <v>1529</v>
      </c>
      <c r="N171" s="138" t="s">
        <v>1530</v>
      </c>
      <c r="O171" s="138" t="s">
        <v>1</v>
      </c>
      <c r="P171" s="138" t="s">
        <v>1531</v>
      </c>
      <c r="Q171" s="138" t="s">
        <v>372</v>
      </c>
      <c r="R171" s="146" t="str">
        <f>IF(OR(ISNUMBER(SEARCH("FAIL",K171&amp;" "&amp;O171)),ISNUMBER(SEARCH("CLEAN RETEST REQUIRED",K171&amp;" "&amp;O171))),"Failed",IF(OR(ISNUMBER(SEARCH("NOT RUN",K171&amp;" "&amp;O171)),ISNUMBER(SEARCH("NOT IMPLEMENTED",K171&amp;" "&amp;O171))),"Not started",IF(OR(ISNUMBER(SEARCH("PARTIAL",K171&amp;" "&amp;O171)),ISNUMBER(SEARCH("PENDING",K171&amp;" "&amp;O171)),ISNUMBER(SEARCH("IN PROGRESS",K171&amp;" "&amp;O171)),ISNUMBER(SEARCH("OPEN",K171&amp;" "&amp;O171)),ISNUMBER(SEARCH("RETEST REQUIRED",K171&amp;" "&amp;O171)),ISNUMBER(SEARCH("IMPLEMENTATION UPDATED",K171&amp;" "&amp;O171)),ISNUMBER(SEARCH("REQUIRED EVERY SESSION",K171&amp;" "&amp;O171))),"Pending",IF(OR(O171="PASS",ISNUMBER(SEARCH("PASS",K171&amp;" "&amp;O171))),"Done","Pending"))))</f>
        <v>Not started</v>
      </c>
      <c r="S171" s="146" t="str">
        <f>IF(OR(LEFT(A171,9)="OPERATOR-",LEFT(A171,8)="PAYMENT-",LEFT(A171,7)="DEPLOY-"),"External","Core")</f>
        <v>Core</v>
      </c>
    </row>
    <row r="172" customFormat="false" ht="15" hidden="false" customHeight="false" outlineLevel="0" collapsed="false">
      <c r="A172" s="136" t="s">
        <v>1532</v>
      </c>
      <c r="B172" s="136" t="s">
        <v>1466</v>
      </c>
      <c r="C172" s="263" t="s">
        <v>66</v>
      </c>
      <c r="D172" s="136" t="s">
        <v>1533</v>
      </c>
      <c r="E172" s="136" t="s">
        <v>1534</v>
      </c>
      <c r="F172" s="136" t="s">
        <v>4</v>
      </c>
      <c r="G172" s="136" t="s">
        <v>1535</v>
      </c>
      <c r="H172" s="136" t="s">
        <v>4</v>
      </c>
      <c r="I172" s="136" t="s">
        <v>8</v>
      </c>
      <c r="J172" s="136" t="s">
        <v>1536</v>
      </c>
      <c r="K172" s="136" t="s">
        <v>1491</v>
      </c>
      <c r="L172" s="136" t="s">
        <v>1283</v>
      </c>
      <c r="M172" s="136" t="s">
        <v>1492</v>
      </c>
      <c r="N172" s="136" t="s">
        <v>1537</v>
      </c>
      <c r="O172" s="136" t="s">
        <v>1059</v>
      </c>
      <c r="P172" s="136" t="s">
        <v>1494</v>
      </c>
      <c r="Q172" s="136" t="s">
        <v>351</v>
      </c>
      <c r="R172" s="146" t="str">
        <f>IF(OR(ISNUMBER(SEARCH("FAIL",K172&amp;" "&amp;O172)),ISNUMBER(SEARCH("CLEAN RETEST REQUIRED",K172&amp;" "&amp;O172))),"Failed",IF(OR(ISNUMBER(SEARCH("NOT RUN",K172&amp;" "&amp;O172)),ISNUMBER(SEARCH("NOT IMPLEMENTED",K172&amp;" "&amp;O172))),"Not started",IF(OR(ISNUMBER(SEARCH("PARTIAL",K172&amp;" "&amp;O172)),ISNUMBER(SEARCH("PENDING",K172&amp;" "&amp;O172)),ISNUMBER(SEARCH("IN PROGRESS",K172&amp;" "&amp;O172)),ISNUMBER(SEARCH("OPEN",K172&amp;" "&amp;O172)),ISNUMBER(SEARCH("RETEST REQUIRED",K172&amp;" "&amp;O172)),ISNUMBER(SEARCH("IMPLEMENTATION UPDATED",K172&amp;" "&amp;O172)),ISNUMBER(SEARCH("REQUIRED EVERY SESSION",K172&amp;" "&amp;O172))),"Pending",IF(OR(O172="PASS",ISNUMBER(SEARCH("PASS",K172&amp;" "&amp;O172))),"Done","Pending"))))</f>
        <v>Pending</v>
      </c>
      <c r="S172" s="146" t="str">
        <f>IF(OR(LEFT(A172,9)="OPERATOR-",LEFT(A172,8)="PAYMENT-",LEFT(A172,7)="DEPLOY-"),"External","Core")</f>
        <v>Core</v>
      </c>
    </row>
    <row r="173" customFormat="false" ht="15" hidden="false" customHeight="false" outlineLevel="0" collapsed="false">
      <c r="A173" s="136" t="s">
        <v>1538</v>
      </c>
      <c r="B173" s="136" t="s">
        <v>1466</v>
      </c>
      <c r="C173" s="263" t="s">
        <v>66</v>
      </c>
      <c r="D173" s="136" t="s">
        <v>1539</v>
      </c>
      <c r="E173" s="136" t="s">
        <v>1540</v>
      </c>
      <c r="F173" s="136" t="s">
        <v>1541</v>
      </c>
      <c r="G173" s="136" t="s">
        <v>1542</v>
      </c>
      <c r="H173" s="136" t="s">
        <v>1543</v>
      </c>
      <c r="I173" s="136" t="s">
        <v>8</v>
      </c>
      <c r="J173" s="136" t="s">
        <v>1544</v>
      </c>
      <c r="K173" s="136" t="s">
        <v>1491</v>
      </c>
      <c r="L173" s="136" t="s">
        <v>1283</v>
      </c>
      <c r="M173" s="136" t="s">
        <v>1492</v>
      </c>
      <c r="N173" s="136" t="s">
        <v>1545</v>
      </c>
      <c r="O173" s="136" t="s">
        <v>1059</v>
      </c>
      <c r="P173" s="136" t="s">
        <v>1494</v>
      </c>
      <c r="Q173" s="136" t="s">
        <v>127</v>
      </c>
      <c r="R173" s="146" t="str">
        <f>IF(OR(ISNUMBER(SEARCH("FAIL",K173&amp;" "&amp;O173)),ISNUMBER(SEARCH("CLEAN RETEST REQUIRED",K173&amp;" "&amp;O173))),"Failed",IF(OR(ISNUMBER(SEARCH("NOT RUN",K173&amp;" "&amp;O173)),ISNUMBER(SEARCH("NOT IMPLEMENTED",K173&amp;" "&amp;O173))),"Not started",IF(OR(ISNUMBER(SEARCH("PARTIAL",K173&amp;" "&amp;O173)),ISNUMBER(SEARCH("PENDING",K173&amp;" "&amp;O173)),ISNUMBER(SEARCH("IN PROGRESS",K173&amp;" "&amp;O173)),ISNUMBER(SEARCH("OPEN",K173&amp;" "&amp;O173)),ISNUMBER(SEARCH("RETEST REQUIRED",K173&amp;" "&amp;O173)),ISNUMBER(SEARCH("IMPLEMENTATION UPDATED",K173&amp;" "&amp;O173)),ISNUMBER(SEARCH("REQUIRED EVERY SESSION",K173&amp;" "&amp;O173))),"Pending",IF(OR(O173="PASS",ISNUMBER(SEARCH("PASS",K173&amp;" "&amp;O173))),"Done","Pending"))))</f>
        <v>Pending</v>
      </c>
      <c r="S173" s="146" t="str">
        <f>IF(OR(LEFT(A173,9)="OPERATOR-",LEFT(A173,8)="PAYMENT-",LEFT(A173,7)="DEPLOY-"),"External","Core")</f>
        <v>Core</v>
      </c>
    </row>
    <row r="174" customFormat="false" ht="15" hidden="false" customHeight="false" outlineLevel="0" collapsed="false">
      <c r="A174" s="138" t="s">
        <v>1546</v>
      </c>
      <c r="B174" s="138" t="s">
        <v>1547</v>
      </c>
      <c r="C174" s="263" t="s">
        <v>66</v>
      </c>
      <c r="D174" s="138" t="s">
        <v>1548</v>
      </c>
      <c r="E174" s="138" t="s">
        <v>1549</v>
      </c>
      <c r="F174" s="138" t="s">
        <v>1550</v>
      </c>
      <c r="G174" s="138" t="s">
        <v>1551</v>
      </c>
      <c r="H174" s="138" t="s">
        <v>4</v>
      </c>
      <c r="I174" s="138" t="s">
        <v>1552</v>
      </c>
      <c r="J174" s="138" t="s">
        <v>1553</v>
      </c>
      <c r="K174" s="138" t="s">
        <v>1554</v>
      </c>
      <c r="L174" s="138" t="s">
        <v>1</v>
      </c>
      <c r="M174" s="138" t="s">
        <v>1555</v>
      </c>
      <c r="N174" s="138" t="s">
        <v>1556</v>
      </c>
      <c r="O174" s="138" t="s">
        <v>1</v>
      </c>
      <c r="P174" s="138" t="s">
        <v>1557</v>
      </c>
      <c r="Q174" s="138" t="s">
        <v>1558</v>
      </c>
      <c r="R174" s="146" t="str">
        <f>IF(OR(ISNUMBER(SEARCH("FAIL",K174&amp;" "&amp;O174)),ISNUMBER(SEARCH("CLEAN RETEST REQUIRED",K174&amp;" "&amp;O174))),"Failed",IF(OR(ISNUMBER(SEARCH("NOT RUN",K174&amp;" "&amp;O174)),ISNUMBER(SEARCH("NOT IMPLEMENTED",K174&amp;" "&amp;O174))),"Not started",IF(OR(ISNUMBER(SEARCH("PARTIAL",K174&amp;" "&amp;O174)),ISNUMBER(SEARCH("PENDING",K174&amp;" "&amp;O174)),ISNUMBER(SEARCH("IN PROGRESS",K174&amp;" "&amp;O174)),ISNUMBER(SEARCH("OPEN",K174&amp;" "&amp;O174)),ISNUMBER(SEARCH("RETEST REQUIRED",K174&amp;" "&amp;O174)),ISNUMBER(SEARCH("IMPLEMENTATION UPDATED",K174&amp;" "&amp;O174)),ISNUMBER(SEARCH("REQUIRED EVERY SESSION",K174&amp;" "&amp;O174))),"Pending",IF(OR(O174="PASS",ISNUMBER(SEARCH("PASS",K174&amp;" "&amp;O174))),"Done","Pending"))))</f>
        <v>Not started</v>
      </c>
      <c r="S174" s="146" t="str">
        <f>IF(OR(LEFT(A174,9)="OPERATOR-",LEFT(A174,8)="PAYMENT-",LEFT(A174,7)="DEPLOY-"),"External","Core")</f>
        <v>Core</v>
      </c>
    </row>
    <row r="175" customFormat="false" ht="15" hidden="false" customHeight="false" outlineLevel="0" collapsed="false">
      <c r="A175" s="243" t="s">
        <v>1559</v>
      </c>
      <c r="B175" s="243" t="s">
        <v>228</v>
      </c>
      <c r="C175" s="243" t="s">
        <v>37</v>
      </c>
      <c r="D175" s="243" t="s">
        <v>1560</v>
      </c>
      <c r="E175" s="243" t="s">
        <v>1561</v>
      </c>
      <c r="F175" s="243" t="s">
        <v>4</v>
      </c>
      <c r="G175" s="243" t="s">
        <v>1562</v>
      </c>
      <c r="H175" s="243" t="s">
        <v>4</v>
      </c>
      <c r="I175" s="243" t="s">
        <v>1563</v>
      </c>
      <c r="J175" s="243" t="s">
        <v>1564</v>
      </c>
      <c r="K175" s="243" t="s">
        <v>337</v>
      </c>
      <c r="L175" s="243" t="s">
        <v>1</v>
      </c>
      <c r="M175" s="243" t="s">
        <v>1565</v>
      </c>
      <c r="N175" s="243" t="s">
        <v>1566</v>
      </c>
      <c r="O175" s="243" t="s">
        <v>1</v>
      </c>
      <c r="P175" s="243" t="s">
        <v>1567</v>
      </c>
      <c r="Q175" s="243" t="s">
        <v>101</v>
      </c>
      <c r="R175" s="146" t="str">
        <f>IF(OR(ISNUMBER(SEARCH("FAIL",K175&amp;" "&amp;O175)),ISNUMBER(SEARCH("CLEAN RETEST REQUIRED",K175&amp;" "&amp;O175))),"Failed",IF(OR(ISNUMBER(SEARCH("NOT RUN",K175&amp;" "&amp;O175)),ISNUMBER(SEARCH("NOT IMPLEMENTED",K175&amp;" "&amp;O175))),"Not started",IF(OR(ISNUMBER(SEARCH("PARTIAL",K175&amp;" "&amp;O175)),ISNUMBER(SEARCH("PENDING",K175&amp;" "&amp;O175)),ISNUMBER(SEARCH("IN PROGRESS",K175&amp;" "&amp;O175)),ISNUMBER(SEARCH("OPEN",K175&amp;" "&amp;O175)),ISNUMBER(SEARCH("RETEST REQUIRED",K175&amp;" "&amp;O175)),ISNUMBER(SEARCH("IMPLEMENTATION UPDATED",K175&amp;" "&amp;O175)),ISNUMBER(SEARCH("REQUIRED EVERY SESSION",K175&amp;" "&amp;O175))),"Pending",IF(OR(O175="PASS",ISNUMBER(SEARCH("PASS",K175&amp;" "&amp;O175))),"Done","Pending"))))</f>
        <v>Not started</v>
      </c>
      <c r="S175" s="146" t="str">
        <f>IF(OR(LEFT(A175,9)="OPERATOR-",LEFT(A175,8)="PAYMENT-",LEFT(A175,7)="DEPLOY-"),"External","Core")</f>
        <v>External</v>
      </c>
    </row>
    <row r="176" customFormat="false" ht="15" hidden="false" customHeight="false" outlineLevel="0" collapsed="false">
      <c r="A176" s="243" t="s">
        <v>1568</v>
      </c>
      <c r="B176" s="243" t="s">
        <v>160</v>
      </c>
      <c r="C176" s="243" t="s">
        <v>37</v>
      </c>
      <c r="D176" s="243" t="s">
        <v>1569</v>
      </c>
      <c r="E176" s="243" t="s">
        <v>1570</v>
      </c>
      <c r="F176" s="243" t="s">
        <v>4</v>
      </c>
      <c r="G176" s="243" t="s">
        <v>1571</v>
      </c>
      <c r="H176" s="243" t="s">
        <v>4</v>
      </c>
      <c r="I176" s="243" t="s">
        <v>1572</v>
      </c>
      <c r="J176" s="243" t="s">
        <v>1573</v>
      </c>
      <c r="K176" s="243" t="s">
        <v>1574</v>
      </c>
      <c r="L176" s="243" t="s">
        <v>1</v>
      </c>
      <c r="M176" s="243" t="s">
        <v>1575</v>
      </c>
      <c r="N176" s="243" t="s">
        <v>1576</v>
      </c>
      <c r="O176" s="243" t="s">
        <v>1</v>
      </c>
      <c r="P176" s="243" t="s">
        <v>1577</v>
      </c>
      <c r="Q176" s="243" t="s">
        <v>101</v>
      </c>
      <c r="R176" s="146" t="str">
        <f>IF(OR(ISNUMBER(SEARCH("FAIL",K176&amp;" "&amp;O176)),ISNUMBER(SEARCH("CLEAN RETEST REQUIRED",K176&amp;" "&amp;O176))),"Failed",IF(OR(ISNUMBER(SEARCH("NOT RUN",K176&amp;" "&amp;O176)),ISNUMBER(SEARCH("NOT IMPLEMENTED",K176&amp;" "&amp;O176))),"Not started",IF(OR(ISNUMBER(SEARCH("PARTIAL",K176&amp;" "&amp;O176)),ISNUMBER(SEARCH("PENDING",K176&amp;" "&amp;O176)),ISNUMBER(SEARCH("IN PROGRESS",K176&amp;" "&amp;O176)),ISNUMBER(SEARCH("OPEN",K176&amp;" "&amp;O176)),ISNUMBER(SEARCH("RETEST REQUIRED",K176&amp;" "&amp;O176)),ISNUMBER(SEARCH("IMPLEMENTATION UPDATED",K176&amp;" "&amp;O176)),ISNUMBER(SEARCH("REQUIRED EVERY SESSION",K176&amp;" "&amp;O176))),"Pending",IF(OR(O176="PASS",ISNUMBER(SEARCH("PASS",K176&amp;" "&amp;O176))),"Done","Pending"))))</f>
        <v>Not started</v>
      </c>
      <c r="S176" s="146" t="str">
        <f>IF(OR(LEFT(A176,9)="OPERATOR-",LEFT(A176,8)="PAYMENT-",LEFT(A176,7)="DEPLOY-"),"External","Core")</f>
        <v>External</v>
      </c>
    </row>
    <row r="177" customFormat="false" ht="15" hidden="false" customHeight="false" outlineLevel="0" collapsed="false">
      <c r="A177" s="243" t="s">
        <v>1578</v>
      </c>
      <c r="B177" s="243" t="s">
        <v>160</v>
      </c>
      <c r="C177" s="243" t="s">
        <v>37</v>
      </c>
      <c r="D177" s="243" t="s">
        <v>1579</v>
      </c>
      <c r="E177" s="243" t="s">
        <v>1580</v>
      </c>
      <c r="F177" s="243" t="s">
        <v>4</v>
      </c>
      <c r="G177" s="243" t="s">
        <v>1581</v>
      </c>
      <c r="H177" s="243" t="s">
        <v>4</v>
      </c>
      <c r="I177" s="243" t="s">
        <v>4</v>
      </c>
      <c r="J177" s="243" t="s">
        <v>1582</v>
      </c>
      <c r="K177" s="243" t="s">
        <v>1574</v>
      </c>
      <c r="L177" s="243" t="s">
        <v>1</v>
      </c>
      <c r="M177" s="243" t="s">
        <v>1583</v>
      </c>
      <c r="N177" s="243" t="s">
        <v>1584</v>
      </c>
      <c r="O177" s="243" t="s">
        <v>1</v>
      </c>
      <c r="P177" s="243" t="s">
        <v>1585</v>
      </c>
      <c r="Q177" s="243" t="s">
        <v>101</v>
      </c>
      <c r="R177" s="146" t="str">
        <f>IF(OR(ISNUMBER(SEARCH("FAIL",K177&amp;" "&amp;O177)),ISNUMBER(SEARCH("CLEAN RETEST REQUIRED",K177&amp;" "&amp;O177))),"Failed",IF(OR(ISNUMBER(SEARCH("NOT RUN",K177&amp;" "&amp;O177)),ISNUMBER(SEARCH("NOT IMPLEMENTED",K177&amp;" "&amp;O177))),"Not started",IF(OR(ISNUMBER(SEARCH("PARTIAL",K177&amp;" "&amp;O177)),ISNUMBER(SEARCH("PENDING",K177&amp;" "&amp;O177)),ISNUMBER(SEARCH("IN PROGRESS",K177&amp;" "&amp;O177)),ISNUMBER(SEARCH("OPEN",K177&amp;" "&amp;O177)),ISNUMBER(SEARCH("RETEST REQUIRED",K177&amp;" "&amp;O177)),ISNUMBER(SEARCH("IMPLEMENTATION UPDATED",K177&amp;" "&amp;O177)),ISNUMBER(SEARCH("REQUIRED EVERY SESSION",K177&amp;" "&amp;O177))),"Pending",IF(OR(O177="PASS",ISNUMBER(SEARCH("PASS",K177&amp;" "&amp;O177))),"Done","Pending"))))</f>
        <v>Not started</v>
      </c>
      <c r="S177" s="146" t="str">
        <f>IF(OR(LEFT(A177,9)="OPERATOR-",LEFT(A177,8)="PAYMENT-",LEFT(A177,7)="DEPLOY-"),"External","Core")</f>
        <v>External</v>
      </c>
    </row>
    <row r="178" customFormat="false" ht="15" hidden="false" customHeight="false" outlineLevel="0" collapsed="false">
      <c r="A178" s="243" t="s">
        <v>1586</v>
      </c>
      <c r="B178" s="243" t="s">
        <v>114</v>
      </c>
      <c r="C178" s="243" t="s">
        <v>37</v>
      </c>
      <c r="D178" s="243" t="s">
        <v>1587</v>
      </c>
      <c r="E178" s="243" t="s">
        <v>1588</v>
      </c>
      <c r="F178" s="243" t="s">
        <v>4</v>
      </c>
      <c r="G178" s="243" t="s">
        <v>1589</v>
      </c>
      <c r="H178" s="243" t="s">
        <v>4</v>
      </c>
      <c r="I178" s="243" t="s">
        <v>4</v>
      </c>
      <c r="J178" s="243" t="s">
        <v>1590</v>
      </c>
      <c r="K178" s="243" t="s">
        <v>132</v>
      </c>
      <c r="L178" s="243" t="s">
        <v>1</v>
      </c>
      <c r="M178" s="243" t="s">
        <v>1591</v>
      </c>
      <c r="N178" s="243" t="s">
        <v>1592</v>
      </c>
      <c r="O178" s="243" t="s">
        <v>1</v>
      </c>
      <c r="P178" s="243" t="s">
        <v>1593</v>
      </c>
      <c r="Q178" s="243" t="s">
        <v>101</v>
      </c>
      <c r="R178" s="146" t="str">
        <f>IF(OR(ISNUMBER(SEARCH("FAIL",K178&amp;" "&amp;O178)),ISNUMBER(SEARCH("CLEAN RETEST REQUIRED",K178&amp;" "&amp;O178))),"Failed",IF(OR(ISNUMBER(SEARCH("NOT RUN",K178&amp;" "&amp;O178)),ISNUMBER(SEARCH("NOT IMPLEMENTED",K178&amp;" "&amp;O178))),"Not started",IF(OR(ISNUMBER(SEARCH("PARTIAL",K178&amp;" "&amp;O178)),ISNUMBER(SEARCH("PENDING",K178&amp;" "&amp;O178)),ISNUMBER(SEARCH("IN PROGRESS",K178&amp;" "&amp;O178)),ISNUMBER(SEARCH("OPEN",K178&amp;" "&amp;O178)),ISNUMBER(SEARCH("RETEST REQUIRED",K178&amp;" "&amp;O178)),ISNUMBER(SEARCH("IMPLEMENTATION UPDATED",K178&amp;" "&amp;O178)),ISNUMBER(SEARCH("REQUIRED EVERY SESSION",K178&amp;" "&amp;O178))),"Pending",IF(OR(O178="PASS",ISNUMBER(SEARCH("PASS",K178&amp;" "&amp;O178))),"Done","Pending"))))</f>
        <v>Not started</v>
      </c>
      <c r="S178" s="146" t="str">
        <f>IF(OR(LEFT(A178,9)="OPERATOR-",LEFT(A178,8)="PAYMENT-",LEFT(A178,7)="DEPLOY-"),"External","Core")</f>
        <v>External</v>
      </c>
    </row>
    <row r="179" customFormat="false" ht="15" hidden="false" customHeight="false" outlineLevel="0" collapsed="false">
      <c r="A179" s="243" t="s">
        <v>1594</v>
      </c>
      <c r="B179" s="243" t="s">
        <v>114</v>
      </c>
      <c r="C179" s="243" t="s">
        <v>37</v>
      </c>
      <c r="D179" s="243" t="s">
        <v>1595</v>
      </c>
      <c r="E179" s="243" t="s">
        <v>1596</v>
      </c>
      <c r="F179" s="243" t="s">
        <v>4</v>
      </c>
      <c r="G179" s="243" t="s">
        <v>1597</v>
      </c>
      <c r="H179" s="243" t="s">
        <v>4</v>
      </c>
      <c r="I179" s="243" t="s">
        <v>4</v>
      </c>
      <c r="J179" s="243" t="s">
        <v>1598</v>
      </c>
      <c r="K179" s="243" t="s">
        <v>132</v>
      </c>
      <c r="L179" s="243" t="s">
        <v>1</v>
      </c>
      <c r="M179" s="243" t="s">
        <v>1599</v>
      </c>
      <c r="N179" s="243" t="s">
        <v>1600</v>
      </c>
      <c r="O179" s="243" t="s">
        <v>1</v>
      </c>
      <c r="P179" s="243" t="s">
        <v>1601</v>
      </c>
      <c r="Q179" s="243" t="s">
        <v>127</v>
      </c>
      <c r="R179" s="146" t="str">
        <f>IF(OR(ISNUMBER(SEARCH("FAIL",K179&amp;" "&amp;O179)),ISNUMBER(SEARCH("CLEAN RETEST REQUIRED",K179&amp;" "&amp;O179))),"Failed",IF(OR(ISNUMBER(SEARCH("NOT RUN",K179&amp;" "&amp;O179)),ISNUMBER(SEARCH("NOT IMPLEMENTED",K179&amp;" "&amp;O179))),"Not started",IF(OR(ISNUMBER(SEARCH("PARTIAL",K179&amp;" "&amp;O179)),ISNUMBER(SEARCH("PENDING",K179&amp;" "&amp;O179)),ISNUMBER(SEARCH("IN PROGRESS",K179&amp;" "&amp;O179)),ISNUMBER(SEARCH("OPEN",K179&amp;" "&amp;O179)),ISNUMBER(SEARCH("RETEST REQUIRED",K179&amp;" "&amp;O179)),ISNUMBER(SEARCH("IMPLEMENTATION UPDATED",K179&amp;" "&amp;O179)),ISNUMBER(SEARCH("REQUIRED EVERY SESSION",K179&amp;" "&amp;O179))),"Pending",IF(OR(O179="PASS",ISNUMBER(SEARCH("PASS",K179&amp;" "&amp;O179))),"Done","Pending"))))</f>
        <v>Not started</v>
      </c>
      <c r="S179" s="146" t="str">
        <f>IF(OR(LEFT(A179,9)="OPERATOR-",LEFT(A179,8)="PAYMENT-",LEFT(A179,7)="DEPLOY-"),"External","Core")</f>
        <v>External</v>
      </c>
    </row>
    <row r="180" customFormat="false" ht="15" hidden="false" customHeight="false" outlineLevel="0" collapsed="false">
      <c r="A180" s="243" t="s">
        <v>1602</v>
      </c>
      <c r="B180" s="243" t="s">
        <v>114</v>
      </c>
      <c r="C180" s="243" t="s">
        <v>37</v>
      </c>
      <c r="D180" s="243" t="s">
        <v>1603</v>
      </c>
      <c r="E180" s="243" t="s">
        <v>1604</v>
      </c>
      <c r="F180" s="243" t="s">
        <v>4</v>
      </c>
      <c r="G180" s="243" t="s">
        <v>1605</v>
      </c>
      <c r="H180" s="243" t="s">
        <v>4</v>
      </c>
      <c r="I180" s="243" t="s">
        <v>4</v>
      </c>
      <c r="J180" s="243" t="s">
        <v>1606</v>
      </c>
      <c r="K180" s="243" t="s">
        <v>132</v>
      </c>
      <c r="L180" s="243" t="s">
        <v>1</v>
      </c>
      <c r="M180" s="243" t="s">
        <v>1607</v>
      </c>
      <c r="N180" s="243" t="s">
        <v>1608</v>
      </c>
      <c r="O180" s="243" t="s">
        <v>1</v>
      </c>
      <c r="P180" s="243" t="s">
        <v>1609</v>
      </c>
      <c r="Q180" s="243" t="s">
        <v>295</v>
      </c>
      <c r="R180" s="146" t="str">
        <f>IF(OR(ISNUMBER(SEARCH("FAIL",K180&amp;" "&amp;O180)),ISNUMBER(SEARCH("CLEAN RETEST REQUIRED",K180&amp;" "&amp;O180))),"Failed",IF(OR(ISNUMBER(SEARCH("NOT RUN",K180&amp;" "&amp;O180)),ISNUMBER(SEARCH("NOT IMPLEMENTED",K180&amp;" "&amp;O180))),"Not started",IF(OR(ISNUMBER(SEARCH("PARTIAL",K180&amp;" "&amp;O180)),ISNUMBER(SEARCH("PENDING",K180&amp;" "&amp;O180)),ISNUMBER(SEARCH("IN PROGRESS",K180&amp;" "&amp;O180)),ISNUMBER(SEARCH("OPEN",K180&amp;" "&amp;O180)),ISNUMBER(SEARCH("RETEST REQUIRED",K180&amp;" "&amp;O180)),ISNUMBER(SEARCH("IMPLEMENTATION UPDATED",K180&amp;" "&amp;O180)),ISNUMBER(SEARCH("REQUIRED EVERY SESSION",K180&amp;" "&amp;O180))),"Pending",IF(OR(O180="PASS",ISNUMBER(SEARCH("PASS",K180&amp;" "&amp;O180))),"Done","Pending"))))</f>
        <v>Not started</v>
      </c>
      <c r="S180" s="146" t="str">
        <f>IF(OR(LEFT(A180,9)="OPERATOR-",LEFT(A180,8)="PAYMENT-",LEFT(A180,7)="DEPLOY-"),"External","Core")</f>
        <v>External</v>
      </c>
    </row>
    <row r="181" customFormat="false" ht="15" hidden="false" customHeight="false" outlineLevel="0" collapsed="false">
      <c r="A181" s="243" t="s">
        <v>1610</v>
      </c>
      <c r="B181" s="243" t="s">
        <v>114</v>
      </c>
      <c r="C181" s="243" t="s">
        <v>37</v>
      </c>
      <c r="D181" s="243" t="s">
        <v>1611</v>
      </c>
      <c r="E181" s="243" t="s">
        <v>1612</v>
      </c>
      <c r="F181" s="243" t="s">
        <v>4</v>
      </c>
      <c r="G181" s="243" t="s">
        <v>1613</v>
      </c>
      <c r="H181" s="243" t="s">
        <v>4</v>
      </c>
      <c r="I181" s="243" t="s">
        <v>4</v>
      </c>
      <c r="J181" s="243" t="s">
        <v>1614</v>
      </c>
      <c r="K181" s="243" t="s">
        <v>132</v>
      </c>
      <c r="L181" s="243" t="s">
        <v>1</v>
      </c>
      <c r="M181" s="243" t="s">
        <v>1615</v>
      </c>
      <c r="N181" s="243" t="s">
        <v>1616</v>
      </c>
      <c r="O181" s="243" t="s">
        <v>1</v>
      </c>
      <c r="P181" s="243" t="s">
        <v>1617</v>
      </c>
      <c r="Q181" s="243" t="s">
        <v>127</v>
      </c>
      <c r="R181" s="146" t="str">
        <f>IF(OR(ISNUMBER(SEARCH("FAIL",K181&amp;" "&amp;O181)),ISNUMBER(SEARCH("CLEAN RETEST REQUIRED",K181&amp;" "&amp;O181))),"Failed",IF(OR(ISNUMBER(SEARCH("NOT RUN",K181&amp;" "&amp;O181)),ISNUMBER(SEARCH("NOT IMPLEMENTED",K181&amp;" "&amp;O181))),"Not started",IF(OR(ISNUMBER(SEARCH("PARTIAL",K181&amp;" "&amp;O181)),ISNUMBER(SEARCH("PENDING",K181&amp;" "&amp;O181)),ISNUMBER(SEARCH("IN PROGRESS",K181&amp;" "&amp;O181)),ISNUMBER(SEARCH("OPEN",K181&amp;" "&amp;O181)),ISNUMBER(SEARCH("RETEST REQUIRED",K181&amp;" "&amp;O181)),ISNUMBER(SEARCH("IMPLEMENTATION UPDATED",K181&amp;" "&amp;O181)),ISNUMBER(SEARCH("REQUIRED EVERY SESSION",K181&amp;" "&amp;O181))),"Pending",IF(OR(O181="PASS",ISNUMBER(SEARCH("PASS",K181&amp;" "&amp;O181))),"Done","Pending"))))</f>
        <v>Not started</v>
      </c>
      <c r="S181" s="146" t="str">
        <f>IF(OR(LEFT(A181,9)="OPERATOR-",LEFT(A181,8)="PAYMENT-",LEFT(A181,7)="DEPLOY-"),"External","Core")</f>
        <v>External</v>
      </c>
    </row>
    <row r="182" customFormat="false" ht="15" hidden="false" customHeight="false" outlineLevel="0" collapsed="false">
      <c r="A182" s="243" t="s">
        <v>1618</v>
      </c>
      <c r="B182" s="243" t="s">
        <v>114</v>
      </c>
      <c r="C182" s="243" t="s">
        <v>37</v>
      </c>
      <c r="D182" s="243" t="s">
        <v>1611</v>
      </c>
      <c r="E182" s="243" t="s">
        <v>1619</v>
      </c>
      <c r="F182" s="243" t="s">
        <v>4</v>
      </c>
      <c r="G182" s="243" t="s">
        <v>1620</v>
      </c>
      <c r="H182" s="243" t="s">
        <v>4</v>
      </c>
      <c r="I182" s="243" t="s">
        <v>4</v>
      </c>
      <c r="J182" s="243" t="s">
        <v>1621</v>
      </c>
      <c r="K182" s="243" t="s">
        <v>132</v>
      </c>
      <c r="L182" s="243" t="s">
        <v>1</v>
      </c>
      <c r="M182" s="243" t="s">
        <v>1622</v>
      </c>
      <c r="N182" s="243" t="s">
        <v>1623</v>
      </c>
      <c r="O182" s="243" t="s">
        <v>1</v>
      </c>
      <c r="P182" s="243" t="s">
        <v>1624</v>
      </c>
      <c r="Q182" s="243" t="s">
        <v>372</v>
      </c>
      <c r="R182" s="146" t="str">
        <f>IF(OR(ISNUMBER(SEARCH("FAIL",K182&amp;" "&amp;O182)),ISNUMBER(SEARCH("CLEAN RETEST REQUIRED",K182&amp;" "&amp;O182))),"Failed",IF(OR(ISNUMBER(SEARCH("NOT RUN",K182&amp;" "&amp;O182)),ISNUMBER(SEARCH("NOT IMPLEMENTED",K182&amp;" "&amp;O182))),"Not started",IF(OR(ISNUMBER(SEARCH("PARTIAL",K182&amp;" "&amp;O182)),ISNUMBER(SEARCH("PENDING",K182&amp;" "&amp;O182)),ISNUMBER(SEARCH("IN PROGRESS",K182&amp;" "&amp;O182)),ISNUMBER(SEARCH("OPEN",K182&amp;" "&amp;O182)),ISNUMBER(SEARCH("RETEST REQUIRED",K182&amp;" "&amp;O182)),ISNUMBER(SEARCH("IMPLEMENTATION UPDATED",K182&amp;" "&amp;O182)),ISNUMBER(SEARCH("REQUIRED EVERY SESSION",K182&amp;" "&amp;O182))),"Pending",IF(OR(O182="PASS",ISNUMBER(SEARCH("PASS",K182&amp;" "&amp;O182))),"Done","Pending"))))</f>
        <v>Not started</v>
      </c>
      <c r="S182" s="146" t="str">
        <f>IF(OR(LEFT(A182,9)="OPERATOR-",LEFT(A182,8)="PAYMENT-",LEFT(A182,7)="DEPLOY-"),"External","Core")</f>
        <v>External</v>
      </c>
    </row>
    <row r="183" customFormat="false" ht="15" hidden="false" customHeight="false" outlineLevel="0" collapsed="false">
      <c r="A183" s="243" t="s">
        <v>1625</v>
      </c>
      <c r="B183" s="243" t="s">
        <v>1011</v>
      </c>
      <c r="C183" s="243" t="s">
        <v>37</v>
      </c>
      <c r="D183" s="243" t="s">
        <v>1626</v>
      </c>
      <c r="E183" s="243" t="s">
        <v>1627</v>
      </c>
      <c r="F183" s="243" t="s">
        <v>4</v>
      </c>
      <c r="G183" s="243" t="s">
        <v>1628</v>
      </c>
      <c r="H183" s="243" t="s">
        <v>4</v>
      </c>
      <c r="I183" s="243" t="s">
        <v>1629</v>
      </c>
      <c r="J183" s="243" t="s">
        <v>1630</v>
      </c>
      <c r="K183" s="243" t="s">
        <v>132</v>
      </c>
      <c r="L183" s="243" t="s">
        <v>1</v>
      </c>
      <c r="M183" s="243" t="s">
        <v>1631</v>
      </c>
      <c r="N183" s="243" t="s">
        <v>1632</v>
      </c>
      <c r="O183" s="243" t="s">
        <v>1</v>
      </c>
      <c r="P183" s="243" t="s">
        <v>1633</v>
      </c>
      <c r="Q183" s="243" t="s">
        <v>101</v>
      </c>
      <c r="R183" s="146" t="str">
        <f>IF(OR(ISNUMBER(SEARCH("FAIL",K183&amp;" "&amp;O183)),ISNUMBER(SEARCH("CLEAN RETEST REQUIRED",K183&amp;" "&amp;O183))),"Failed",IF(OR(ISNUMBER(SEARCH("NOT RUN",K183&amp;" "&amp;O183)),ISNUMBER(SEARCH("NOT IMPLEMENTED",K183&amp;" "&amp;O183))),"Not started",IF(OR(ISNUMBER(SEARCH("PARTIAL",K183&amp;" "&amp;O183)),ISNUMBER(SEARCH("PENDING",K183&amp;" "&amp;O183)),ISNUMBER(SEARCH("IN PROGRESS",K183&amp;" "&amp;O183)),ISNUMBER(SEARCH("OPEN",K183&amp;" "&amp;O183)),ISNUMBER(SEARCH("RETEST REQUIRED",K183&amp;" "&amp;O183)),ISNUMBER(SEARCH("IMPLEMENTATION UPDATED",K183&amp;" "&amp;O183)),ISNUMBER(SEARCH("REQUIRED EVERY SESSION",K183&amp;" "&amp;O183))),"Pending",IF(OR(O183="PASS",ISNUMBER(SEARCH("PASS",K183&amp;" "&amp;O183))),"Done","Pending"))))</f>
        <v>Not started</v>
      </c>
      <c r="S183" s="146" t="str">
        <f>IF(OR(LEFT(A183,9)="OPERATOR-",LEFT(A183,8)="PAYMENT-",LEFT(A183,7)="DEPLOY-"),"External","Core")</f>
        <v>External</v>
      </c>
    </row>
    <row r="184" customFormat="false" ht="15" hidden="false" customHeight="false" outlineLevel="0" collapsed="false">
      <c r="A184" s="243" t="s">
        <v>1634</v>
      </c>
      <c r="B184" s="243" t="s">
        <v>1011</v>
      </c>
      <c r="C184" s="243" t="s">
        <v>37</v>
      </c>
      <c r="D184" s="243" t="s">
        <v>1626</v>
      </c>
      <c r="E184" s="243" t="s">
        <v>1635</v>
      </c>
      <c r="F184" s="243" t="s">
        <v>4</v>
      </c>
      <c r="G184" s="243" t="s">
        <v>1636</v>
      </c>
      <c r="H184" s="243" t="s">
        <v>4</v>
      </c>
      <c r="I184" s="243" t="s">
        <v>1637</v>
      </c>
      <c r="J184" s="243" t="s">
        <v>1638</v>
      </c>
      <c r="K184" s="243" t="s">
        <v>1018</v>
      </c>
      <c r="L184" s="243" t="s">
        <v>1</v>
      </c>
      <c r="M184" s="243" t="s">
        <v>1639</v>
      </c>
      <c r="N184" s="243" t="s">
        <v>1640</v>
      </c>
      <c r="O184" s="243" t="s">
        <v>1</v>
      </c>
      <c r="P184" s="243" t="s">
        <v>1641</v>
      </c>
      <c r="Q184" s="243" t="s">
        <v>101</v>
      </c>
      <c r="R184" s="146" t="str">
        <f>IF(OR(ISNUMBER(SEARCH("FAIL",K184&amp;" "&amp;O184)),ISNUMBER(SEARCH("CLEAN RETEST REQUIRED",K184&amp;" "&amp;O184))),"Failed",IF(OR(ISNUMBER(SEARCH("NOT RUN",K184&amp;" "&amp;O184)),ISNUMBER(SEARCH("NOT IMPLEMENTED",K184&amp;" "&amp;O184))),"Not started",IF(OR(ISNUMBER(SEARCH("PARTIAL",K184&amp;" "&amp;O184)),ISNUMBER(SEARCH("PENDING",K184&amp;" "&amp;O184)),ISNUMBER(SEARCH("IN PROGRESS",K184&amp;" "&amp;O184)),ISNUMBER(SEARCH("OPEN",K184&amp;" "&amp;O184)),ISNUMBER(SEARCH("RETEST REQUIRED",K184&amp;" "&amp;O184)),ISNUMBER(SEARCH("IMPLEMENTATION UPDATED",K184&amp;" "&amp;O184)),ISNUMBER(SEARCH("REQUIRED EVERY SESSION",K184&amp;" "&amp;O184))),"Pending",IF(OR(O184="PASS",ISNUMBER(SEARCH("PASS",K184&amp;" "&amp;O184))),"Done","Pending"))))</f>
        <v>Not started</v>
      </c>
      <c r="S184" s="146" t="str">
        <f>IF(OR(LEFT(A184,9)="OPERATOR-",LEFT(A184,8)="PAYMENT-",LEFT(A184,7)="DEPLOY-"),"External","Core")</f>
        <v>External</v>
      </c>
    </row>
    <row r="185" customFormat="false" ht="15" hidden="false" customHeight="false" outlineLevel="0" collapsed="false">
      <c r="A185" s="243" t="s">
        <v>1642</v>
      </c>
      <c r="B185" s="243" t="s">
        <v>1643</v>
      </c>
      <c r="C185" s="243" t="s">
        <v>37</v>
      </c>
      <c r="D185" s="243" t="s">
        <v>1644</v>
      </c>
      <c r="E185" s="243" t="s">
        <v>1645</v>
      </c>
      <c r="F185" s="243" t="s">
        <v>4</v>
      </c>
      <c r="G185" s="243" t="s">
        <v>1646</v>
      </c>
      <c r="H185" s="243" t="s">
        <v>4</v>
      </c>
      <c r="I185" s="243" t="s">
        <v>4</v>
      </c>
      <c r="J185" s="243" t="s">
        <v>1647</v>
      </c>
      <c r="K185" s="243" t="s">
        <v>132</v>
      </c>
      <c r="L185" s="243" t="s">
        <v>1</v>
      </c>
      <c r="M185" s="243" t="s">
        <v>1648</v>
      </c>
      <c r="N185" s="243" t="s">
        <v>1649</v>
      </c>
      <c r="O185" s="243" t="s">
        <v>1</v>
      </c>
      <c r="P185" s="243" t="s">
        <v>1650</v>
      </c>
      <c r="Q185" s="243" t="s">
        <v>101</v>
      </c>
      <c r="R185" s="146" t="str">
        <f>IF(OR(ISNUMBER(SEARCH("FAIL",K185&amp;" "&amp;O185)),ISNUMBER(SEARCH("CLEAN RETEST REQUIRED",K185&amp;" "&amp;O185))),"Failed",IF(OR(ISNUMBER(SEARCH("NOT RUN",K185&amp;" "&amp;O185)),ISNUMBER(SEARCH("NOT IMPLEMENTED",K185&amp;" "&amp;O185))),"Not started",IF(OR(ISNUMBER(SEARCH("PARTIAL",K185&amp;" "&amp;O185)),ISNUMBER(SEARCH("PENDING",K185&amp;" "&amp;O185)),ISNUMBER(SEARCH("IN PROGRESS",K185&amp;" "&amp;O185)),ISNUMBER(SEARCH("OPEN",K185&amp;" "&amp;O185)),ISNUMBER(SEARCH("RETEST REQUIRED",K185&amp;" "&amp;O185)),ISNUMBER(SEARCH("IMPLEMENTATION UPDATED",K185&amp;" "&amp;O185)),ISNUMBER(SEARCH("REQUIRED EVERY SESSION",K185&amp;" "&amp;O185))),"Pending",IF(OR(O185="PASS",ISNUMBER(SEARCH("PASS",K185&amp;" "&amp;O185))),"Done","Pending"))))</f>
        <v>Not started</v>
      </c>
      <c r="S185" s="146" t="str">
        <f>IF(OR(LEFT(A185,9)="OPERATOR-",LEFT(A185,8)="PAYMENT-",LEFT(A185,7)="DEPLOY-"),"External","Core")</f>
        <v>External</v>
      </c>
    </row>
    <row r="186" customFormat="false" ht="15" hidden="false" customHeight="false" outlineLevel="0" collapsed="false">
      <c r="A186" s="243" t="s">
        <v>1651</v>
      </c>
      <c r="B186" s="243" t="s">
        <v>1643</v>
      </c>
      <c r="C186" s="243" t="s">
        <v>37</v>
      </c>
      <c r="D186" s="243" t="s">
        <v>1644</v>
      </c>
      <c r="E186" s="243" t="s">
        <v>1652</v>
      </c>
      <c r="F186" s="243" t="s">
        <v>4</v>
      </c>
      <c r="G186" s="243" t="s">
        <v>1653</v>
      </c>
      <c r="H186" s="243" t="s">
        <v>4</v>
      </c>
      <c r="I186" s="243" t="s">
        <v>1654</v>
      </c>
      <c r="J186" s="243" t="s">
        <v>1655</v>
      </c>
      <c r="K186" s="243" t="s">
        <v>132</v>
      </c>
      <c r="L186" s="243" t="s">
        <v>1</v>
      </c>
      <c r="M186" s="243" t="s">
        <v>1656</v>
      </c>
      <c r="N186" s="243" t="s">
        <v>1657</v>
      </c>
      <c r="O186" s="243" t="s">
        <v>1</v>
      </c>
      <c r="P186" s="243" t="s">
        <v>1658</v>
      </c>
      <c r="Q186" s="243" t="s">
        <v>101</v>
      </c>
      <c r="R186" s="146" t="str">
        <f>IF(OR(ISNUMBER(SEARCH("FAIL",K186&amp;" "&amp;O186)),ISNUMBER(SEARCH("CLEAN RETEST REQUIRED",K186&amp;" "&amp;O186))),"Failed",IF(OR(ISNUMBER(SEARCH("NOT RUN",K186&amp;" "&amp;O186)),ISNUMBER(SEARCH("NOT IMPLEMENTED",K186&amp;" "&amp;O186))),"Not started",IF(OR(ISNUMBER(SEARCH("PARTIAL",K186&amp;" "&amp;O186)),ISNUMBER(SEARCH("PENDING",K186&amp;" "&amp;O186)),ISNUMBER(SEARCH("IN PROGRESS",K186&amp;" "&amp;O186)),ISNUMBER(SEARCH("OPEN",K186&amp;" "&amp;O186)),ISNUMBER(SEARCH("RETEST REQUIRED",K186&amp;" "&amp;O186)),ISNUMBER(SEARCH("IMPLEMENTATION UPDATED",K186&amp;" "&amp;O186)),ISNUMBER(SEARCH("REQUIRED EVERY SESSION",K186&amp;" "&amp;O186))),"Pending",IF(OR(O186="PASS",ISNUMBER(SEARCH("PASS",K186&amp;" "&amp;O186))),"Done","Pending"))))</f>
        <v>Not started</v>
      </c>
      <c r="S186" s="146" t="str">
        <f>IF(OR(LEFT(A186,9)="OPERATOR-",LEFT(A186,8)="PAYMENT-",LEFT(A186,7)="DEPLOY-"),"External","Core")</f>
        <v>External</v>
      </c>
    </row>
    <row r="187" customFormat="false" ht="15" hidden="false" customHeight="false" outlineLevel="0" collapsed="false">
      <c r="A187" s="243" t="s">
        <v>1659</v>
      </c>
      <c r="B187" s="243" t="s">
        <v>1643</v>
      </c>
      <c r="C187" s="243" t="s">
        <v>37</v>
      </c>
      <c r="D187" s="243" t="s">
        <v>1660</v>
      </c>
      <c r="E187" s="243" t="s">
        <v>1661</v>
      </c>
      <c r="F187" s="243" t="s">
        <v>4</v>
      </c>
      <c r="G187" s="243" t="s">
        <v>1662</v>
      </c>
      <c r="H187" s="243" t="s">
        <v>4</v>
      </c>
      <c r="I187" s="243" t="s">
        <v>1663</v>
      </c>
      <c r="J187" s="243" t="s">
        <v>1664</v>
      </c>
      <c r="K187" s="243" t="s">
        <v>132</v>
      </c>
      <c r="L187" s="243" t="s">
        <v>1</v>
      </c>
      <c r="M187" s="243" t="s">
        <v>1665</v>
      </c>
      <c r="N187" s="243" t="s">
        <v>1666</v>
      </c>
      <c r="O187" s="243" t="s">
        <v>1</v>
      </c>
      <c r="P187" s="243" t="s">
        <v>1667</v>
      </c>
      <c r="Q187" s="243" t="s">
        <v>101</v>
      </c>
      <c r="R187" s="146" t="str">
        <f>IF(OR(ISNUMBER(SEARCH("FAIL",K187&amp;" "&amp;O187)),ISNUMBER(SEARCH("CLEAN RETEST REQUIRED",K187&amp;" "&amp;O187))),"Failed",IF(OR(ISNUMBER(SEARCH("NOT RUN",K187&amp;" "&amp;O187)),ISNUMBER(SEARCH("NOT IMPLEMENTED",K187&amp;" "&amp;O187))),"Not started",IF(OR(ISNUMBER(SEARCH("PARTIAL",K187&amp;" "&amp;O187)),ISNUMBER(SEARCH("PENDING",K187&amp;" "&amp;O187)),ISNUMBER(SEARCH("IN PROGRESS",K187&amp;" "&amp;O187)),ISNUMBER(SEARCH("OPEN",K187&amp;" "&amp;O187)),ISNUMBER(SEARCH("RETEST REQUIRED",K187&amp;" "&amp;O187)),ISNUMBER(SEARCH("IMPLEMENTATION UPDATED",K187&amp;" "&amp;O187)),ISNUMBER(SEARCH("REQUIRED EVERY SESSION",K187&amp;" "&amp;O187))),"Pending",IF(OR(O187="PASS",ISNUMBER(SEARCH("PASS",K187&amp;" "&amp;O187))),"Done","Pending"))))</f>
        <v>Not started</v>
      </c>
      <c r="S187" s="146" t="str">
        <f>IF(OR(LEFT(A187,9)="OPERATOR-",LEFT(A187,8)="PAYMENT-",LEFT(A187,7)="DEPLOY-"),"External","Core")</f>
        <v>External</v>
      </c>
    </row>
    <row r="188" customFormat="false" ht="15" hidden="false" customHeight="false" outlineLevel="0" collapsed="false">
      <c r="A188" s="243" t="s">
        <v>1668</v>
      </c>
      <c r="B188" s="243" t="s">
        <v>1643</v>
      </c>
      <c r="C188" s="243" t="s">
        <v>37</v>
      </c>
      <c r="D188" s="243" t="s">
        <v>1669</v>
      </c>
      <c r="E188" s="243" t="s">
        <v>1670</v>
      </c>
      <c r="F188" s="243" t="s">
        <v>4</v>
      </c>
      <c r="G188" s="243" t="s">
        <v>1671</v>
      </c>
      <c r="H188" s="243" t="s">
        <v>4</v>
      </c>
      <c r="I188" s="243" t="s">
        <v>1672</v>
      </c>
      <c r="J188" s="243" t="s">
        <v>1673</v>
      </c>
      <c r="K188" s="243" t="s">
        <v>132</v>
      </c>
      <c r="L188" s="243" t="s">
        <v>1</v>
      </c>
      <c r="M188" s="243" t="s">
        <v>1674</v>
      </c>
      <c r="N188" s="243" t="s">
        <v>1675</v>
      </c>
      <c r="O188" s="243" t="s">
        <v>1</v>
      </c>
      <c r="P188" s="243" t="s">
        <v>1676</v>
      </c>
      <c r="Q188" s="243" t="s">
        <v>101</v>
      </c>
      <c r="R188" s="146" t="str">
        <f>IF(OR(ISNUMBER(SEARCH("FAIL",K188&amp;" "&amp;O188)),ISNUMBER(SEARCH("CLEAN RETEST REQUIRED",K188&amp;" "&amp;O188))),"Failed",IF(OR(ISNUMBER(SEARCH("NOT RUN",K188&amp;" "&amp;O188)),ISNUMBER(SEARCH("NOT IMPLEMENTED",K188&amp;" "&amp;O188))),"Not started",IF(OR(ISNUMBER(SEARCH("PARTIAL",K188&amp;" "&amp;O188)),ISNUMBER(SEARCH("PENDING",K188&amp;" "&amp;O188)),ISNUMBER(SEARCH("IN PROGRESS",K188&amp;" "&amp;O188)),ISNUMBER(SEARCH("OPEN",K188&amp;" "&amp;O188)),ISNUMBER(SEARCH("RETEST REQUIRED",K188&amp;" "&amp;O188)),ISNUMBER(SEARCH("IMPLEMENTATION UPDATED",K188&amp;" "&amp;O188)),ISNUMBER(SEARCH("REQUIRED EVERY SESSION",K188&amp;" "&amp;O188))),"Pending",IF(OR(O188="PASS",ISNUMBER(SEARCH("PASS",K188&amp;" "&amp;O188))),"Done","Pending"))))</f>
        <v>Not started</v>
      </c>
      <c r="S188" s="146" t="str">
        <f>IF(OR(LEFT(A188,9)="OPERATOR-",LEFT(A188,8)="PAYMENT-",LEFT(A188,7)="DEPLOY-"),"External","Core")</f>
        <v>External</v>
      </c>
    </row>
    <row r="189" customFormat="false" ht="15" hidden="false" customHeight="false" outlineLevel="0" collapsed="false">
      <c r="A189" s="243" t="s">
        <v>1677</v>
      </c>
      <c r="B189" s="243" t="s">
        <v>1643</v>
      </c>
      <c r="C189" s="243" t="s">
        <v>37</v>
      </c>
      <c r="D189" s="243" t="s">
        <v>1678</v>
      </c>
      <c r="E189" s="243" t="s">
        <v>1679</v>
      </c>
      <c r="F189" s="243" t="s">
        <v>4</v>
      </c>
      <c r="G189" s="243" t="s">
        <v>1680</v>
      </c>
      <c r="H189" s="243" t="s">
        <v>4</v>
      </c>
      <c r="I189" s="243" t="s">
        <v>4</v>
      </c>
      <c r="J189" s="243" t="s">
        <v>1681</v>
      </c>
      <c r="K189" s="243" t="s">
        <v>132</v>
      </c>
      <c r="L189" s="243" t="s">
        <v>1</v>
      </c>
      <c r="M189" s="243" t="s">
        <v>1682</v>
      </c>
      <c r="N189" s="243" t="s">
        <v>1683</v>
      </c>
      <c r="O189" s="243" t="s">
        <v>1</v>
      </c>
      <c r="P189" s="243" t="s">
        <v>1684</v>
      </c>
      <c r="Q189" s="243" t="s">
        <v>372</v>
      </c>
      <c r="R189" s="146" t="str">
        <f>IF(OR(ISNUMBER(SEARCH("FAIL",K189&amp;" "&amp;O189)),ISNUMBER(SEARCH("CLEAN RETEST REQUIRED",K189&amp;" "&amp;O189))),"Failed",IF(OR(ISNUMBER(SEARCH("NOT RUN",K189&amp;" "&amp;O189)),ISNUMBER(SEARCH("NOT IMPLEMENTED",K189&amp;" "&amp;O189))),"Not started",IF(OR(ISNUMBER(SEARCH("PARTIAL",K189&amp;" "&amp;O189)),ISNUMBER(SEARCH("PENDING",K189&amp;" "&amp;O189)),ISNUMBER(SEARCH("IN PROGRESS",K189&amp;" "&amp;O189)),ISNUMBER(SEARCH("OPEN",K189&amp;" "&amp;O189)),ISNUMBER(SEARCH("RETEST REQUIRED",K189&amp;" "&amp;O189)),ISNUMBER(SEARCH("IMPLEMENTATION UPDATED",K189&amp;" "&amp;O189)),ISNUMBER(SEARCH("REQUIRED EVERY SESSION",K189&amp;" "&amp;O189))),"Pending",IF(OR(O189="PASS",ISNUMBER(SEARCH("PASS",K189&amp;" "&amp;O189))),"Done","Pending"))))</f>
        <v>Not started</v>
      </c>
      <c r="S189" s="146" t="str">
        <f>IF(OR(LEFT(A189,9)="OPERATOR-",LEFT(A189,8)="PAYMENT-",LEFT(A189,7)="DEPLOY-"),"External","Core")</f>
        <v>External</v>
      </c>
    </row>
    <row r="190" customFormat="false" ht="15" hidden="false" customHeight="false" outlineLevel="0" collapsed="false">
      <c r="A190" s="243" t="s">
        <v>1685</v>
      </c>
      <c r="B190" s="243" t="s">
        <v>1643</v>
      </c>
      <c r="C190" s="243" t="s">
        <v>37</v>
      </c>
      <c r="D190" s="243" t="s">
        <v>1686</v>
      </c>
      <c r="E190" s="243" t="s">
        <v>1687</v>
      </c>
      <c r="F190" s="243" t="s">
        <v>4</v>
      </c>
      <c r="G190" s="243" t="s">
        <v>1688</v>
      </c>
      <c r="H190" s="243" t="s">
        <v>4</v>
      </c>
      <c r="I190" s="243" t="s">
        <v>4</v>
      </c>
      <c r="J190" s="243" t="s">
        <v>1689</v>
      </c>
      <c r="K190" s="243" t="s">
        <v>132</v>
      </c>
      <c r="L190" s="243" t="s">
        <v>1</v>
      </c>
      <c r="M190" s="243" t="s">
        <v>1690</v>
      </c>
      <c r="N190" s="243" t="s">
        <v>1691</v>
      </c>
      <c r="O190" s="243" t="s">
        <v>1</v>
      </c>
      <c r="P190" s="243" t="s">
        <v>1692</v>
      </c>
      <c r="Q190" s="243" t="s">
        <v>101</v>
      </c>
      <c r="R190" s="146" t="str">
        <f>IF(OR(ISNUMBER(SEARCH("FAIL",K190&amp;" "&amp;O190)),ISNUMBER(SEARCH("CLEAN RETEST REQUIRED",K190&amp;" "&amp;O190))),"Failed",IF(OR(ISNUMBER(SEARCH("NOT RUN",K190&amp;" "&amp;O190)),ISNUMBER(SEARCH("NOT IMPLEMENTED",K190&amp;" "&amp;O190))),"Not started",IF(OR(ISNUMBER(SEARCH("PARTIAL",K190&amp;" "&amp;O190)),ISNUMBER(SEARCH("PENDING",K190&amp;" "&amp;O190)),ISNUMBER(SEARCH("IN PROGRESS",K190&amp;" "&amp;O190)),ISNUMBER(SEARCH("OPEN",K190&amp;" "&amp;O190)),ISNUMBER(SEARCH("RETEST REQUIRED",K190&amp;" "&amp;O190)),ISNUMBER(SEARCH("IMPLEMENTATION UPDATED",K190&amp;" "&amp;O190)),ISNUMBER(SEARCH("REQUIRED EVERY SESSION",K190&amp;" "&amp;O190))),"Pending",IF(OR(O190="PASS",ISNUMBER(SEARCH("PASS",K190&amp;" "&amp;O190))),"Done","Pending"))))</f>
        <v>Not started</v>
      </c>
      <c r="S190" s="146" t="str">
        <f>IF(OR(LEFT(A190,9)="OPERATOR-",LEFT(A190,8)="PAYMENT-",LEFT(A190,7)="DEPLOY-"),"External","Core")</f>
        <v>External</v>
      </c>
    </row>
    <row r="191" customFormat="false" ht="15" hidden="false" customHeight="false" outlineLevel="0" collapsed="false">
      <c r="A191" s="243" t="s">
        <v>1693</v>
      </c>
      <c r="B191" s="243" t="s">
        <v>1643</v>
      </c>
      <c r="C191" s="243" t="s">
        <v>37</v>
      </c>
      <c r="D191" s="243" t="s">
        <v>1694</v>
      </c>
      <c r="E191" s="243" t="s">
        <v>1695</v>
      </c>
      <c r="F191" s="243" t="s">
        <v>4</v>
      </c>
      <c r="G191" s="243" t="s">
        <v>1696</v>
      </c>
      <c r="H191" s="243" t="s">
        <v>4</v>
      </c>
      <c r="I191" s="243" t="s">
        <v>1697</v>
      </c>
      <c r="J191" s="243" t="s">
        <v>1698</v>
      </c>
      <c r="K191" s="243" t="s">
        <v>132</v>
      </c>
      <c r="L191" s="243" t="s">
        <v>1</v>
      </c>
      <c r="M191" s="243" t="s">
        <v>1699</v>
      </c>
      <c r="N191" s="243" t="s">
        <v>1700</v>
      </c>
      <c r="O191" s="243" t="s">
        <v>1</v>
      </c>
      <c r="P191" s="243" t="s">
        <v>1701</v>
      </c>
      <c r="Q191" s="243" t="s">
        <v>127</v>
      </c>
      <c r="R191" s="146" t="str">
        <f>IF(OR(ISNUMBER(SEARCH("FAIL",K191&amp;" "&amp;O191)),ISNUMBER(SEARCH("CLEAN RETEST REQUIRED",K191&amp;" "&amp;O191))),"Failed",IF(OR(ISNUMBER(SEARCH("NOT RUN",K191&amp;" "&amp;O191)),ISNUMBER(SEARCH("NOT IMPLEMENTED",K191&amp;" "&amp;O191))),"Not started",IF(OR(ISNUMBER(SEARCH("PARTIAL",K191&amp;" "&amp;O191)),ISNUMBER(SEARCH("PENDING",K191&amp;" "&amp;O191)),ISNUMBER(SEARCH("IN PROGRESS",K191&amp;" "&amp;O191)),ISNUMBER(SEARCH("OPEN",K191&amp;" "&amp;O191)),ISNUMBER(SEARCH("RETEST REQUIRED",K191&amp;" "&amp;O191)),ISNUMBER(SEARCH("IMPLEMENTATION UPDATED",K191&amp;" "&amp;O191)),ISNUMBER(SEARCH("REQUIRED EVERY SESSION",K191&amp;" "&amp;O191))),"Pending",IF(OR(O191="PASS",ISNUMBER(SEARCH("PASS",K191&amp;" "&amp;O191))),"Done","Pending"))))</f>
        <v>Not started</v>
      </c>
      <c r="S191" s="146" t="str">
        <f>IF(OR(LEFT(A191,9)="OPERATOR-",LEFT(A191,8)="PAYMENT-",LEFT(A191,7)="DEPLOY-"),"External","Core")</f>
        <v>External</v>
      </c>
    </row>
    <row r="192" customFormat="false" ht="15" hidden="false" customHeight="false" outlineLevel="0" collapsed="false">
      <c r="A192" s="243" t="s">
        <v>1702</v>
      </c>
      <c r="B192" s="243" t="s">
        <v>1643</v>
      </c>
      <c r="C192" s="243" t="s">
        <v>37</v>
      </c>
      <c r="D192" s="243" t="s">
        <v>1703</v>
      </c>
      <c r="E192" s="243" t="s">
        <v>1704</v>
      </c>
      <c r="F192" s="243" t="s">
        <v>220</v>
      </c>
      <c r="G192" s="243" t="s">
        <v>1705</v>
      </c>
      <c r="H192" s="243" t="s">
        <v>4</v>
      </c>
      <c r="I192" s="243" t="s">
        <v>1706</v>
      </c>
      <c r="J192" s="243" t="s">
        <v>1707</v>
      </c>
      <c r="K192" s="243" t="s">
        <v>132</v>
      </c>
      <c r="L192" s="243" t="s">
        <v>1</v>
      </c>
      <c r="M192" s="243" t="s">
        <v>1708</v>
      </c>
      <c r="N192" s="243" t="s">
        <v>1709</v>
      </c>
      <c r="O192" s="243" t="s">
        <v>1</v>
      </c>
      <c r="P192" s="243" t="s">
        <v>1710</v>
      </c>
      <c r="Q192" s="243" t="s">
        <v>101</v>
      </c>
      <c r="R192" s="146" t="str">
        <f>IF(OR(ISNUMBER(SEARCH("FAIL",K192&amp;" "&amp;O192)),ISNUMBER(SEARCH("CLEAN RETEST REQUIRED",K192&amp;" "&amp;O192))),"Failed",IF(OR(ISNUMBER(SEARCH("NOT RUN",K192&amp;" "&amp;O192)),ISNUMBER(SEARCH("NOT IMPLEMENTED",K192&amp;" "&amp;O192))),"Not started",IF(OR(ISNUMBER(SEARCH("PARTIAL",K192&amp;" "&amp;O192)),ISNUMBER(SEARCH("PENDING",K192&amp;" "&amp;O192)),ISNUMBER(SEARCH("IN PROGRESS",K192&amp;" "&amp;O192)),ISNUMBER(SEARCH("OPEN",K192&amp;" "&amp;O192)),ISNUMBER(SEARCH("RETEST REQUIRED",K192&amp;" "&amp;O192)),ISNUMBER(SEARCH("IMPLEMENTATION UPDATED",K192&amp;" "&amp;O192)),ISNUMBER(SEARCH("REQUIRED EVERY SESSION",K192&amp;" "&amp;O192))),"Pending",IF(OR(O192="PASS",ISNUMBER(SEARCH("PASS",K192&amp;" "&amp;O192))),"Done","Pending"))))</f>
        <v>Not started</v>
      </c>
      <c r="S192" s="146" t="str">
        <f>IF(OR(LEFT(A192,9)="OPERATOR-",LEFT(A192,8)="PAYMENT-",LEFT(A192,7)="DEPLOY-"),"External","Core")</f>
        <v>External</v>
      </c>
    </row>
    <row r="193" customFormat="false" ht="15" hidden="false" customHeight="false" outlineLevel="0" collapsed="false">
      <c r="A193" s="243" t="s">
        <v>1711</v>
      </c>
      <c r="B193" s="243" t="s">
        <v>1643</v>
      </c>
      <c r="C193" s="243" t="s">
        <v>37</v>
      </c>
      <c r="D193" s="243" t="s">
        <v>1712</v>
      </c>
      <c r="E193" s="243" t="s">
        <v>1713</v>
      </c>
      <c r="F193" s="243" t="s">
        <v>1714</v>
      </c>
      <c r="G193" s="243" t="s">
        <v>4</v>
      </c>
      <c r="H193" s="243" t="s">
        <v>1715</v>
      </c>
      <c r="I193" s="243" t="s">
        <v>4</v>
      </c>
      <c r="J193" s="243" t="s">
        <v>1716</v>
      </c>
      <c r="K193" s="243" t="s">
        <v>132</v>
      </c>
      <c r="L193" s="243" t="s">
        <v>1</v>
      </c>
      <c r="M193" s="243" t="s">
        <v>1717</v>
      </c>
      <c r="N193" s="243" t="s">
        <v>1718</v>
      </c>
      <c r="O193" s="243" t="s">
        <v>1</v>
      </c>
      <c r="P193" s="243" t="s">
        <v>1719</v>
      </c>
      <c r="Q193" s="243" t="s">
        <v>767</v>
      </c>
      <c r="R193" s="146" t="str">
        <f>IF(OR(ISNUMBER(SEARCH("FAIL",K193&amp;" "&amp;O193)),ISNUMBER(SEARCH("CLEAN RETEST REQUIRED",K193&amp;" "&amp;O193))),"Failed",IF(OR(ISNUMBER(SEARCH("NOT RUN",K193&amp;" "&amp;O193)),ISNUMBER(SEARCH("NOT IMPLEMENTED",K193&amp;" "&amp;O193))),"Not started",IF(OR(ISNUMBER(SEARCH("PARTIAL",K193&amp;" "&amp;O193)),ISNUMBER(SEARCH("PENDING",K193&amp;" "&amp;O193)),ISNUMBER(SEARCH("IN PROGRESS",K193&amp;" "&amp;O193)),ISNUMBER(SEARCH("OPEN",K193&amp;" "&amp;O193)),ISNUMBER(SEARCH("RETEST REQUIRED",K193&amp;" "&amp;O193)),ISNUMBER(SEARCH("IMPLEMENTATION UPDATED",K193&amp;" "&amp;O193)),ISNUMBER(SEARCH("REQUIRED EVERY SESSION",K193&amp;" "&amp;O193))),"Pending",IF(OR(O193="PASS",ISNUMBER(SEARCH("PASS",K193&amp;" "&amp;O193))),"Done","Pending"))))</f>
        <v>Not started</v>
      </c>
      <c r="S193" s="146" t="str">
        <f>IF(OR(LEFT(A193,9)="OPERATOR-",LEFT(A193,8)="PAYMENT-",LEFT(A193,7)="DEPLOY-"),"External","Core")</f>
        <v>External</v>
      </c>
    </row>
    <row r="194" customFormat="false" ht="15" hidden="false" customHeight="false" outlineLevel="0" collapsed="false">
      <c r="A194" s="243" t="s">
        <v>1720</v>
      </c>
      <c r="B194" s="243" t="s">
        <v>1643</v>
      </c>
      <c r="C194" s="243" t="s">
        <v>37</v>
      </c>
      <c r="D194" s="243" t="s">
        <v>1721</v>
      </c>
      <c r="E194" s="243" t="s">
        <v>1722</v>
      </c>
      <c r="F194" s="243" t="s">
        <v>1723</v>
      </c>
      <c r="G194" s="243" t="s">
        <v>1724</v>
      </c>
      <c r="H194" s="243" t="s">
        <v>4</v>
      </c>
      <c r="I194" s="243" t="s">
        <v>1725</v>
      </c>
      <c r="J194" s="243" t="s">
        <v>1726</v>
      </c>
      <c r="K194" s="243" t="s">
        <v>132</v>
      </c>
      <c r="L194" s="243" t="s">
        <v>1</v>
      </c>
      <c r="M194" s="243" t="s">
        <v>1727</v>
      </c>
      <c r="N194" s="243" t="s">
        <v>1728</v>
      </c>
      <c r="O194" s="243" t="s">
        <v>1</v>
      </c>
      <c r="P194" s="243" t="s">
        <v>1729</v>
      </c>
      <c r="Q194" s="243" t="s">
        <v>767</v>
      </c>
      <c r="R194" s="146" t="str">
        <f>IF(OR(ISNUMBER(SEARCH("FAIL",K194&amp;" "&amp;O194)),ISNUMBER(SEARCH("CLEAN RETEST REQUIRED",K194&amp;" "&amp;O194))),"Failed",IF(OR(ISNUMBER(SEARCH("NOT RUN",K194&amp;" "&amp;O194)),ISNUMBER(SEARCH("NOT IMPLEMENTED",K194&amp;" "&amp;O194))),"Not started",IF(OR(ISNUMBER(SEARCH("PARTIAL",K194&amp;" "&amp;O194)),ISNUMBER(SEARCH("PENDING",K194&amp;" "&amp;O194)),ISNUMBER(SEARCH("IN PROGRESS",K194&amp;" "&amp;O194)),ISNUMBER(SEARCH("OPEN",K194&amp;" "&amp;O194)),ISNUMBER(SEARCH("RETEST REQUIRED",K194&amp;" "&amp;O194)),ISNUMBER(SEARCH("IMPLEMENTATION UPDATED",K194&amp;" "&amp;O194)),ISNUMBER(SEARCH("REQUIRED EVERY SESSION",K194&amp;" "&amp;O194))),"Pending",IF(OR(O194="PASS",ISNUMBER(SEARCH("PASS",K194&amp;" "&amp;O194))),"Done","Pending"))))</f>
        <v>Not started</v>
      </c>
      <c r="S194" s="146" t="str">
        <f>IF(OR(LEFT(A194,9)="OPERATOR-",LEFT(A194,8)="PAYMENT-",LEFT(A194,7)="DEPLOY-"),"External","Core")</f>
        <v>External</v>
      </c>
    </row>
    <row r="195" customFormat="false" ht="15" hidden="false" customHeight="false" outlineLevel="0" collapsed="false">
      <c r="A195" s="243" t="s">
        <v>1730</v>
      </c>
      <c r="B195" s="243" t="s">
        <v>1643</v>
      </c>
      <c r="C195" s="243" t="s">
        <v>37</v>
      </c>
      <c r="D195" s="243" t="s">
        <v>1731</v>
      </c>
      <c r="E195" s="243" t="s">
        <v>1732</v>
      </c>
      <c r="F195" s="243" t="s">
        <v>4</v>
      </c>
      <c r="G195" s="243" t="s">
        <v>1733</v>
      </c>
      <c r="H195" s="243" t="s">
        <v>4</v>
      </c>
      <c r="I195" s="243" t="s">
        <v>4</v>
      </c>
      <c r="J195" s="243" t="s">
        <v>1734</v>
      </c>
      <c r="K195" s="243" t="s">
        <v>132</v>
      </c>
      <c r="L195" s="243" t="s">
        <v>1</v>
      </c>
      <c r="M195" s="243" t="s">
        <v>1735</v>
      </c>
      <c r="N195" s="243" t="s">
        <v>1736</v>
      </c>
      <c r="O195" s="243" t="s">
        <v>1</v>
      </c>
      <c r="P195" s="243" t="s">
        <v>1737</v>
      </c>
      <c r="Q195" s="243" t="s">
        <v>900</v>
      </c>
      <c r="R195" s="146" t="str">
        <f>IF(OR(ISNUMBER(SEARCH("FAIL",K195&amp;" "&amp;O195)),ISNUMBER(SEARCH("CLEAN RETEST REQUIRED",K195&amp;" "&amp;O195))),"Failed",IF(OR(ISNUMBER(SEARCH("NOT RUN",K195&amp;" "&amp;O195)),ISNUMBER(SEARCH("NOT IMPLEMENTED",K195&amp;" "&amp;O195))),"Not started",IF(OR(ISNUMBER(SEARCH("PARTIAL",K195&amp;" "&amp;O195)),ISNUMBER(SEARCH("PENDING",K195&amp;" "&amp;O195)),ISNUMBER(SEARCH("IN PROGRESS",K195&amp;" "&amp;O195)),ISNUMBER(SEARCH("OPEN",K195&amp;" "&amp;O195)),ISNUMBER(SEARCH("RETEST REQUIRED",K195&amp;" "&amp;O195)),ISNUMBER(SEARCH("IMPLEMENTATION UPDATED",K195&amp;" "&amp;O195)),ISNUMBER(SEARCH("REQUIRED EVERY SESSION",K195&amp;" "&amp;O195))),"Pending",IF(OR(O195="PASS",ISNUMBER(SEARCH("PASS",K195&amp;" "&amp;O195))),"Done","Pending"))))</f>
        <v>Not started</v>
      </c>
      <c r="S195" s="146" t="str">
        <f>IF(OR(LEFT(A195,9)="OPERATOR-",LEFT(A195,8)="PAYMENT-",LEFT(A195,7)="DEPLOY-"),"External","Core")</f>
        <v>External</v>
      </c>
    </row>
    <row r="196" customFormat="false" ht="15" hidden="false" customHeight="false" outlineLevel="0" collapsed="false">
      <c r="A196" s="243" t="s">
        <v>1738</v>
      </c>
      <c r="B196" s="243" t="s">
        <v>1739</v>
      </c>
      <c r="C196" s="243" t="s">
        <v>37</v>
      </c>
      <c r="D196" s="243" t="s">
        <v>1740</v>
      </c>
      <c r="E196" s="243" t="s">
        <v>1741</v>
      </c>
      <c r="F196" s="243" t="s">
        <v>4</v>
      </c>
      <c r="G196" s="243" t="s">
        <v>1742</v>
      </c>
      <c r="H196" s="243" t="s">
        <v>4</v>
      </c>
      <c r="I196" s="243" t="s">
        <v>1743</v>
      </c>
      <c r="J196" s="243" t="s">
        <v>1744</v>
      </c>
      <c r="K196" s="243" t="s">
        <v>132</v>
      </c>
      <c r="L196" s="243" t="s">
        <v>1</v>
      </c>
      <c r="M196" s="243" t="s">
        <v>1745</v>
      </c>
      <c r="N196" s="243" t="s">
        <v>1746</v>
      </c>
      <c r="O196" s="243" t="s">
        <v>1</v>
      </c>
      <c r="P196" s="243" t="s">
        <v>1747</v>
      </c>
      <c r="Q196" s="243" t="s">
        <v>101</v>
      </c>
      <c r="R196" s="146" t="str">
        <f>IF(OR(ISNUMBER(SEARCH("FAIL",K196&amp;" "&amp;O196)),ISNUMBER(SEARCH("CLEAN RETEST REQUIRED",K196&amp;" "&amp;O196))),"Failed",IF(OR(ISNUMBER(SEARCH("NOT RUN",K196&amp;" "&amp;O196)),ISNUMBER(SEARCH("NOT IMPLEMENTED",K196&amp;" "&amp;O196))),"Not started",IF(OR(ISNUMBER(SEARCH("PARTIAL",K196&amp;" "&amp;O196)),ISNUMBER(SEARCH("PENDING",K196&amp;" "&amp;O196)),ISNUMBER(SEARCH("IN PROGRESS",K196&amp;" "&amp;O196)),ISNUMBER(SEARCH("OPEN",K196&amp;" "&amp;O196)),ISNUMBER(SEARCH("RETEST REQUIRED",K196&amp;" "&amp;O196)),ISNUMBER(SEARCH("IMPLEMENTATION UPDATED",K196&amp;" "&amp;O196)),ISNUMBER(SEARCH("REQUIRED EVERY SESSION",K196&amp;" "&amp;O196))),"Pending",IF(OR(O196="PASS",ISNUMBER(SEARCH("PASS",K196&amp;" "&amp;O196))),"Done","Pending"))))</f>
        <v>Not started</v>
      </c>
      <c r="S196" s="146" t="str">
        <f>IF(OR(LEFT(A196,9)="OPERATOR-",LEFT(A196,8)="PAYMENT-",LEFT(A196,7)="DEPLOY-"),"External","Core")</f>
        <v>External</v>
      </c>
    </row>
    <row r="197" customFormat="false" ht="15" hidden="false" customHeight="false" outlineLevel="0" collapsed="false">
      <c r="A197" s="243" t="s">
        <v>1748</v>
      </c>
      <c r="B197" s="243" t="s">
        <v>1739</v>
      </c>
      <c r="C197" s="243" t="s">
        <v>37</v>
      </c>
      <c r="D197" s="243" t="s">
        <v>1740</v>
      </c>
      <c r="E197" s="243" t="s">
        <v>1749</v>
      </c>
      <c r="F197" s="243" t="s">
        <v>4</v>
      </c>
      <c r="G197" s="243" t="s">
        <v>1750</v>
      </c>
      <c r="H197" s="243" t="s">
        <v>4</v>
      </c>
      <c r="I197" s="243" t="s">
        <v>1751</v>
      </c>
      <c r="J197" s="243" t="s">
        <v>1752</v>
      </c>
      <c r="K197" s="243" t="s">
        <v>132</v>
      </c>
      <c r="L197" s="243" t="s">
        <v>1</v>
      </c>
      <c r="M197" s="243" t="s">
        <v>1753</v>
      </c>
      <c r="N197" s="243" t="s">
        <v>1754</v>
      </c>
      <c r="O197" s="243" t="s">
        <v>1</v>
      </c>
      <c r="P197" s="243" t="s">
        <v>1755</v>
      </c>
      <c r="Q197" s="243" t="s">
        <v>101</v>
      </c>
      <c r="R197" s="146" t="str">
        <f>IF(OR(ISNUMBER(SEARCH("FAIL",K197&amp;" "&amp;O197)),ISNUMBER(SEARCH("CLEAN RETEST REQUIRED",K197&amp;" "&amp;O197))),"Failed",IF(OR(ISNUMBER(SEARCH("NOT RUN",K197&amp;" "&amp;O197)),ISNUMBER(SEARCH("NOT IMPLEMENTED",K197&amp;" "&amp;O197))),"Not started",IF(OR(ISNUMBER(SEARCH("PARTIAL",K197&amp;" "&amp;O197)),ISNUMBER(SEARCH("PENDING",K197&amp;" "&amp;O197)),ISNUMBER(SEARCH("IN PROGRESS",K197&amp;" "&amp;O197)),ISNUMBER(SEARCH("OPEN",K197&amp;" "&amp;O197)),ISNUMBER(SEARCH("RETEST REQUIRED",K197&amp;" "&amp;O197)),ISNUMBER(SEARCH("IMPLEMENTATION UPDATED",K197&amp;" "&amp;O197)),ISNUMBER(SEARCH("REQUIRED EVERY SESSION",K197&amp;" "&amp;O197))),"Pending",IF(OR(O197="PASS",ISNUMBER(SEARCH("PASS",K197&amp;" "&amp;O197))),"Done","Pending"))))</f>
        <v>Not started</v>
      </c>
      <c r="S197" s="146" t="str">
        <f>IF(OR(LEFT(A197,9)="OPERATOR-",LEFT(A197,8)="PAYMENT-",LEFT(A197,7)="DEPLOY-"),"External","Core")</f>
        <v>External</v>
      </c>
    </row>
    <row r="198" customFormat="false" ht="15" hidden="false" customHeight="false" outlineLevel="0" collapsed="false">
      <c r="A198" s="243" t="s">
        <v>1756</v>
      </c>
      <c r="B198" s="243" t="s">
        <v>1739</v>
      </c>
      <c r="C198" s="243" t="s">
        <v>37</v>
      </c>
      <c r="D198" s="243" t="s">
        <v>1757</v>
      </c>
      <c r="E198" s="243" t="s">
        <v>1758</v>
      </c>
      <c r="F198" s="243" t="s">
        <v>4</v>
      </c>
      <c r="G198" s="243" t="s">
        <v>1759</v>
      </c>
      <c r="H198" s="243" t="s">
        <v>4</v>
      </c>
      <c r="I198" s="243" t="s">
        <v>1760</v>
      </c>
      <c r="J198" s="243" t="s">
        <v>1761</v>
      </c>
      <c r="K198" s="243" t="s">
        <v>132</v>
      </c>
      <c r="L198" s="243" t="s">
        <v>1</v>
      </c>
      <c r="M198" s="243" t="s">
        <v>1762</v>
      </c>
      <c r="N198" s="243" t="s">
        <v>1763</v>
      </c>
      <c r="O198" s="243" t="s">
        <v>1</v>
      </c>
      <c r="P198" s="243" t="s">
        <v>1764</v>
      </c>
      <c r="Q198" s="243" t="s">
        <v>101</v>
      </c>
      <c r="R198" s="146" t="str">
        <f>IF(OR(ISNUMBER(SEARCH("FAIL",K198&amp;" "&amp;O198)),ISNUMBER(SEARCH("CLEAN RETEST REQUIRED",K198&amp;" "&amp;O198))),"Failed",IF(OR(ISNUMBER(SEARCH("NOT RUN",K198&amp;" "&amp;O198)),ISNUMBER(SEARCH("NOT IMPLEMENTED",K198&amp;" "&amp;O198))),"Not started",IF(OR(ISNUMBER(SEARCH("PARTIAL",K198&amp;" "&amp;O198)),ISNUMBER(SEARCH("PENDING",K198&amp;" "&amp;O198)),ISNUMBER(SEARCH("IN PROGRESS",K198&amp;" "&amp;O198)),ISNUMBER(SEARCH("OPEN",K198&amp;" "&amp;O198)),ISNUMBER(SEARCH("RETEST REQUIRED",K198&amp;" "&amp;O198)),ISNUMBER(SEARCH("IMPLEMENTATION UPDATED",K198&amp;" "&amp;O198)),ISNUMBER(SEARCH("REQUIRED EVERY SESSION",K198&amp;" "&amp;O198))),"Pending",IF(OR(O198="PASS",ISNUMBER(SEARCH("PASS",K198&amp;" "&amp;O198))),"Done","Pending"))))</f>
        <v>Not started</v>
      </c>
      <c r="S198" s="146" t="str">
        <f>IF(OR(LEFT(A198,9)="OPERATOR-",LEFT(A198,8)="PAYMENT-",LEFT(A198,7)="DEPLOY-"),"External","Core")</f>
        <v>External</v>
      </c>
    </row>
    <row r="199" customFormat="false" ht="15" hidden="false" customHeight="false" outlineLevel="0" collapsed="false">
      <c r="A199" s="243" t="s">
        <v>1765</v>
      </c>
      <c r="B199" s="243" t="s">
        <v>1739</v>
      </c>
      <c r="C199" s="243" t="s">
        <v>37</v>
      </c>
      <c r="D199" s="243" t="s">
        <v>1766</v>
      </c>
      <c r="E199" s="243" t="s">
        <v>1767</v>
      </c>
      <c r="F199" s="243" t="s">
        <v>4</v>
      </c>
      <c r="G199" s="243" t="s">
        <v>1768</v>
      </c>
      <c r="H199" s="243" t="s">
        <v>4</v>
      </c>
      <c r="I199" s="243" t="s">
        <v>1769</v>
      </c>
      <c r="J199" s="243" t="s">
        <v>1770</v>
      </c>
      <c r="K199" s="243" t="s">
        <v>132</v>
      </c>
      <c r="L199" s="243" t="s">
        <v>1</v>
      </c>
      <c r="M199" s="243" t="s">
        <v>1771</v>
      </c>
      <c r="N199" s="243" t="s">
        <v>1772</v>
      </c>
      <c r="O199" s="243" t="s">
        <v>1</v>
      </c>
      <c r="P199" s="243" t="s">
        <v>1773</v>
      </c>
      <c r="Q199" s="243" t="s">
        <v>101</v>
      </c>
      <c r="R199" s="146" t="str">
        <f>IF(OR(ISNUMBER(SEARCH("FAIL",K199&amp;" "&amp;O199)),ISNUMBER(SEARCH("CLEAN RETEST REQUIRED",K199&amp;" "&amp;O199))),"Failed",IF(OR(ISNUMBER(SEARCH("NOT RUN",K199&amp;" "&amp;O199)),ISNUMBER(SEARCH("NOT IMPLEMENTED",K199&amp;" "&amp;O199))),"Not started",IF(OR(ISNUMBER(SEARCH("PARTIAL",K199&amp;" "&amp;O199)),ISNUMBER(SEARCH("PENDING",K199&amp;" "&amp;O199)),ISNUMBER(SEARCH("IN PROGRESS",K199&amp;" "&amp;O199)),ISNUMBER(SEARCH("OPEN",K199&amp;" "&amp;O199)),ISNUMBER(SEARCH("RETEST REQUIRED",K199&amp;" "&amp;O199)),ISNUMBER(SEARCH("IMPLEMENTATION UPDATED",K199&amp;" "&amp;O199)),ISNUMBER(SEARCH("REQUIRED EVERY SESSION",K199&amp;" "&amp;O199))),"Pending",IF(OR(O199="PASS",ISNUMBER(SEARCH("PASS",K199&amp;" "&amp;O199))),"Done","Pending"))))</f>
        <v>Not started</v>
      </c>
      <c r="S199" s="146" t="str">
        <f>IF(OR(LEFT(A199,9)="OPERATOR-",LEFT(A199,8)="PAYMENT-",LEFT(A199,7)="DEPLOY-"),"External","Core")</f>
        <v>External</v>
      </c>
    </row>
    <row r="200" customFormat="false" ht="15" hidden="false" customHeight="false" outlineLevel="0" collapsed="false">
      <c r="A200" s="243" t="s">
        <v>1774</v>
      </c>
      <c r="B200" s="243" t="s">
        <v>1739</v>
      </c>
      <c r="C200" s="243" t="s">
        <v>37</v>
      </c>
      <c r="D200" s="243" t="s">
        <v>1775</v>
      </c>
      <c r="E200" s="243" t="s">
        <v>1776</v>
      </c>
      <c r="F200" s="243" t="s">
        <v>4</v>
      </c>
      <c r="G200" s="243" t="s">
        <v>1777</v>
      </c>
      <c r="H200" s="243" t="s">
        <v>4</v>
      </c>
      <c r="I200" s="243" t="s">
        <v>1778</v>
      </c>
      <c r="J200" s="243" t="s">
        <v>1779</v>
      </c>
      <c r="K200" s="243" t="s">
        <v>132</v>
      </c>
      <c r="L200" s="243" t="s">
        <v>1</v>
      </c>
      <c r="M200" s="243" t="s">
        <v>1780</v>
      </c>
      <c r="N200" s="243" t="s">
        <v>1781</v>
      </c>
      <c r="O200" s="243" t="s">
        <v>1</v>
      </c>
      <c r="P200" s="243" t="s">
        <v>1782</v>
      </c>
      <c r="Q200" s="243" t="s">
        <v>101</v>
      </c>
      <c r="R200" s="146" t="str">
        <f>IF(OR(ISNUMBER(SEARCH("FAIL",K200&amp;" "&amp;O200)),ISNUMBER(SEARCH("CLEAN RETEST REQUIRED",K200&amp;" "&amp;O200))),"Failed",IF(OR(ISNUMBER(SEARCH("NOT RUN",K200&amp;" "&amp;O200)),ISNUMBER(SEARCH("NOT IMPLEMENTED",K200&amp;" "&amp;O200))),"Not started",IF(OR(ISNUMBER(SEARCH("PARTIAL",K200&amp;" "&amp;O200)),ISNUMBER(SEARCH("PENDING",K200&amp;" "&amp;O200)),ISNUMBER(SEARCH("IN PROGRESS",K200&amp;" "&amp;O200)),ISNUMBER(SEARCH("OPEN",K200&amp;" "&amp;O200)),ISNUMBER(SEARCH("RETEST REQUIRED",K200&amp;" "&amp;O200)),ISNUMBER(SEARCH("IMPLEMENTATION UPDATED",K200&amp;" "&amp;O200)),ISNUMBER(SEARCH("REQUIRED EVERY SESSION",K200&amp;" "&amp;O200))),"Pending",IF(OR(O200="PASS",ISNUMBER(SEARCH("PASS",K200&amp;" "&amp;O200))),"Done","Pending"))))</f>
        <v>Not started</v>
      </c>
      <c r="S200" s="146" t="str">
        <f>IF(OR(LEFT(A200,9)="OPERATOR-",LEFT(A200,8)="PAYMENT-",LEFT(A200,7)="DEPLOY-"),"External","Core")</f>
        <v>External</v>
      </c>
    </row>
    <row r="201" customFormat="false" ht="15" hidden="false" customHeight="false" outlineLevel="0" collapsed="false">
      <c r="A201" s="243" t="s">
        <v>1783</v>
      </c>
      <c r="B201" s="243" t="s">
        <v>1739</v>
      </c>
      <c r="C201" s="243" t="s">
        <v>37</v>
      </c>
      <c r="D201" s="243" t="s">
        <v>1784</v>
      </c>
      <c r="E201" s="243" t="s">
        <v>1785</v>
      </c>
      <c r="F201" s="243" t="s">
        <v>4</v>
      </c>
      <c r="G201" s="243" t="s">
        <v>1786</v>
      </c>
      <c r="H201" s="243" t="s">
        <v>4</v>
      </c>
      <c r="I201" s="243" t="s">
        <v>1787</v>
      </c>
      <c r="J201" s="243" t="s">
        <v>1788</v>
      </c>
      <c r="K201" s="243" t="s">
        <v>132</v>
      </c>
      <c r="L201" s="243" t="s">
        <v>1</v>
      </c>
      <c r="M201" s="243" t="s">
        <v>1789</v>
      </c>
      <c r="N201" s="243" t="s">
        <v>1790</v>
      </c>
      <c r="O201" s="243" t="s">
        <v>1</v>
      </c>
      <c r="P201" s="243" t="s">
        <v>1791</v>
      </c>
      <c r="Q201" s="243" t="s">
        <v>127</v>
      </c>
      <c r="R201" s="146" t="str">
        <f>IF(OR(ISNUMBER(SEARCH("FAIL",K201&amp;" "&amp;O201)),ISNUMBER(SEARCH("CLEAN RETEST REQUIRED",K201&amp;" "&amp;O201))),"Failed",IF(OR(ISNUMBER(SEARCH("NOT RUN",K201&amp;" "&amp;O201)),ISNUMBER(SEARCH("NOT IMPLEMENTED",K201&amp;" "&amp;O201))),"Not started",IF(OR(ISNUMBER(SEARCH("PARTIAL",K201&amp;" "&amp;O201)),ISNUMBER(SEARCH("PENDING",K201&amp;" "&amp;O201)),ISNUMBER(SEARCH("IN PROGRESS",K201&amp;" "&amp;O201)),ISNUMBER(SEARCH("OPEN",K201&amp;" "&amp;O201)),ISNUMBER(SEARCH("RETEST REQUIRED",K201&amp;" "&amp;O201)),ISNUMBER(SEARCH("IMPLEMENTATION UPDATED",K201&amp;" "&amp;O201)),ISNUMBER(SEARCH("REQUIRED EVERY SESSION",K201&amp;" "&amp;O201))),"Pending",IF(OR(O201="PASS",ISNUMBER(SEARCH("PASS",K201&amp;" "&amp;O201))),"Done","Pending"))))</f>
        <v>Not started</v>
      </c>
      <c r="S201" s="146" t="str">
        <f>IF(OR(LEFT(A201,9)="OPERATOR-",LEFT(A201,8)="PAYMENT-",LEFT(A201,7)="DEPLOY-"),"External","Core")</f>
        <v>External</v>
      </c>
    </row>
    <row r="202" customFormat="false" ht="15" hidden="false" customHeight="false" outlineLevel="0" collapsed="false">
      <c r="A202" s="243" t="s">
        <v>1792</v>
      </c>
      <c r="B202" s="243" t="s">
        <v>1793</v>
      </c>
      <c r="C202" s="243" t="s">
        <v>37</v>
      </c>
      <c r="D202" s="243" t="s">
        <v>1794</v>
      </c>
      <c r="E202" s="243" t="s">
        <v>1795</v>
      </c>
      <c r="F202" s="243" t="s">
        <v>1796</v>
      </c>
      <c r="G202" s="243" t="s">
        <v>1797</v>
      </c>
      <c r="H202" s="243" t="s">
        <v>4</v>
      </c>
      <c r="I202" s="243" t="s">
        <v>1798</v>
      </c>
      <c r="J202" s="243" t="s">
        <v>1799</v>
      </c>
      <c r="K202" s="243" t="s">
        <v>132</v>
      </c>
      <c r="L202" s="243" t="s">
        <v>1</v>
      </c>
      <c r="M202" s="243" t="s">
        <v>1800</v>
      </c>
      <c r="N202" s="243" t="s">
        <v>1801</v>
      </c>
      <c r="O202" s="243" t="s">
        <v>1</v>
      </c>
      <c r="P202" s="243" t="s">
        <v>1802</v>
      </c>
      <c r="Q202" s="243" t="s">
        <v>127</v>
      </c>
      <c r="R202" s="146" t="str">
        <f>IF(OR(ISNUMBER(SEARCH("FAIL",K202&amp;" "&amp;O202)),ISNUMBER(SEARCH("CLEAN RETEST REQUIRED",K202&amp;" "&amp;O202))),"Failed",IF(OR(ISNUMBER(SEARCH("NOT RUN",K202&amp;" "&amp;O202)),ISNUMBER(SEARCH("NOT IMPLEMENTED",K202&amp;" "&amp;O202))),"Not started",IF(OR(ISNUMBER(SEARCH("PARTIAL",K202&amp;" "&amp;O202)),ISNUMBER(SEARCH("PENDING",K202&amp;" "&amp;O202)),ISNUMBER(SEARCH("IN PROGRESS",K202&amp;" "&amp;O202)),ISNUMBER(SEARCH("OPEN",K202&amp;" "&amp;O202)),ISNUMBER(SEARCH("RETEST REQUIRED",K202&amp;" "&amp;O202)),ISNUMBER(SEARCH("IMPLEMENTATION UPDATED",K202&amp;" "&amp;O202)),ISNUMBER(SEARCH("REQUIRED EVERY SESSION",K202&amp;" "&amp;O202))),"Pending",IF(OR(O202="PASS",ISNUMBER(SEARCH("PASS",K202&amp;" "&amp;O202))),"Done","Pending"))))</f>
        <v>Not started</v>
      </c>
      <c r="S202" s="146" t="str">
        <f>IF(OR(LEFT(A202,9)="OPERATOR-",LEFT(A202,8)="PAYMENT-",LEFT(A202,7)="DEPLOY-"),"External","Core")</f>
        <v>External</v>
      </c>
    </row>
    <row r="203" customFormat="false" ht="15" hidden="false" customHeight="false" outlineLevel="0" collapsed="false">
      <c r="A203" s="243" t="s">
        <v>1803</v>
      </c>
      <c r="B203" s="243" t="s">
        <v>1793</v>
      </c>
      <c r="C203" s="243" t="s">
        <v>37</v>
      </c>
      <c r="D203" s="243" t="s">
        <v>1804</v>
      </c>
      <c r="E203" s="243" t="s">
        <v>1805</v>
      </c>
      <c r="F203" s="243" t="s">
        <v>4</v>
      </c>
      <c r="G203" s="243" t="s">
        <v>1806</v>
      </c>
      <c r="H203" s="243" t="s">
        <v>4</v>
      </c>
      <c r="I203" s="243" t="s">
        <v>1807</v>
      </c>
      <c r="J203" s="243" t="s">
        <v>1808</v>
      </c>
      <c r="K203" s="243" t="s">
        <v>132</v>
      </c>
      <c r="L203" s="243" t="s">
        <v>1</v>
      </c>
      <c r="M203" s="243" t="s">
        <v>1809</v>
      </c>
      <c r="N203" s="243" t="s">
        <v>1810</v>
      </c>
      <c r="O203" s="243" t="s">
        <v>1</v>
      </c>
      <c r="P203" s="243" t="s">
        <v>1811</v>
      </c>
      <c r="Q203" s="243" t="s">
        <v>1179</v>
      </c>
      <c r="R203" s="146" t="str">
        <f>IF(OR(ISNUMBER(SEARCH("FAIL",K203&amp;" "&amp;O203)),ISNUMBER(SEARCH("CLEAN RETEST REQUIRED",K203&amp;" "&amp;O203))),"Failed",IF(OR(ISNUMBER(SEARCH("NOT RUN",K203&amp;" "&amp;O203)),ISNUMBER(SEARCH("NOT IMPLEMENTED",K203&amp;" "&amp;O203))),"Not started",IF(OR(ISNUMBER(SEARCH("PARTIAL",K203&amp;" "&amp;O203)),ISNUMBER(SEARCH("PENDING",K203&amp;" "&amp;O203)),ISNUMBER(SEARCH("IN PROGRESS",K203&amp;" "&amp;O203)),ISNUMBER(SEARCH("OPEN",K203&amp;" "&amp;O203)),ISNUMBER(SEARCH("RETEST REQUIRED",K203&amp;" "&amp;O203)),ISNUMBER(SEARCH("IMPLEMENTATION UPDATED",K203&amp;" "&amp;O203)),ISNUMBER(SEARCH("REQUIRED EVERY SESSION",K203&amp;" "&amp;O203))),"Pending",IF(OR(O203="PASS",ISNUMBER(SEARCH("PASS",K203&amp;" "&amp;O203))),"Done","Pending"))))</f>
        <v>Not started</v>
      </c>
      <c r="S203" s="146" t="str">
        <f>IF(OR(LEFT(A203,9)="OPERATOR-",LEFT(A203,8)="PAYMENT-",LEFT(A203,7)="DEPLOY-"),"External","Core")</f>
        <v>External</v>
      </c>
    </row>
    <row r="204" customFormat="false" ht="15" hidden="false" customHeight="false" outlineLevel="0" collapsed="false">
      <c r="A204" s="243" t="s">
        <v>1812</v>
      </c>
      <c r="B204" s="243" t="s">
        <v>1793</v>
      </c>
      <c r="C204" s="243" t="s">
        <v>37</v>
      </c>
      <c r="D204" s="243" t="s">
        <v>1813</v>
      </c>
      <c r="E204" s="243" t="s">
        <v>1814</v>
      </c>
      <c r="F204" s="243" t="s">
        <v>1815</v>
      </c>
      <c r="G204" s="243" t="s">
        <v>1816</v>
      </c>
      <c r="H204" s="243" t="s">
        <v>4</v>
      </c>
      <c r="I204" s="243" t="s">
        <v>4</v>
      </c>
      <c r="J204" s="243" t="s">
        <v>1817</v>
      </c>
      <c r="K204" s="243" t="s">
        <v>132</v>
      </c>
      <c r="L204" s="243" t="s">
        <v>1</v>
      </c>
      <c r="M204" s="243" t="s">
        <v>1818</v>
      </c>
      <c r="N204" s="243" t="s">
        <v>1819</v>
      </c>
      <c r="O204" s="243" t="s">
        <v>1</v>
      </c>
      <c r="P204" s="243" t="s">
        <v>1820</v>
      </c>
      <c r="Q204" s="243" t="s">
        <v>127</v>
      </c>
      <c r="R204" s="146" t="str">
        <f>IF(OR(ISNUMBER(SEARCH("FAIL",K204&amp;" "&amp;O204)),ISNUMBER(SEARCH("CLEAN RETEST REQUIRED",K204&amp;" "&amp;O204))),"Failed",IF(OR(ISNUMBER(SEARCH("NOT RUN",K204&amp;" "&amp;O204)),ISNUMBER(SEARCH("NOT IMPLEMENTED",K204&amp;" "&amp;O204))),"Not started",IF(OR(ISNUMBER(SEARCH("PARTIAL",K204&amp;" "&amp;O204)),ISNUMBER(SEARCH("PENDING",K204&amp;" "&amp;O204)),ISNUMBER(SEARCH("IN PROGRESS",K204&amp;" "&amp;O204)),ISNUMBER(SEARCH("OPEN",K204&amp;" "&amp;O204)),ISNUMBER(SEARCH("RETEST REQUIRED",K204&amp;" "&amp;O204)),ISNUMBER(SEARCH("IMPLEMENTATION UPDATED",K204&amp;" "&amp;O204)),ISNUMBER(SEARCH("REQUIRED EVERY SESSION",K204&amp;" "&amp;O204))),"Pending",IF(OR(O204="PASS",ISNUMBER(SEARCH("PASS",K204&amp;" "&amp;O204))),"Done","Pending"))))</f>
        <v>Not started</v>
      </c>
      <c r="S204" s="146" t="str">
        <f>IF(OR(LEFT(A204,9)="OPERATOR-",LEFT(A204,8)="PAYMENT-",LEFT(A204,7)="DEPLOY-"),"External","Core")</f>
        <v>External</v>
      </c>
    </row>
    <row r="205" customFormat="false" ht="15" hidden="false" customHeight="false" outlineLevel="0" collapsed="false">
      <c r="A205" s="243" t="s">
        <v>1821</v>
      </c>
      <c r="B205" s="243" t="s">
        <v>1793</v>
      </c>
      <c r="C205" s="243" t="s">
        <v>37</v>
      </c>
      <c r="D205" s="243" t="s">
        <v>1822</v>
      </c>
      <c r="E205" s="243" t="s">
        <v>1823</v>
      </c>
      <c r="F205" s="243" t="s">
        <v>1824</v>
      </c>
      <c r="G205" s="243" t="s">
        <v>1825</v>
      </c>
      <c r="H205" s="243" t="s">
        <v>1826</v>
      </c>
      <c r="I205" s="243" t="s">
        <v>1827</v>
      </c>
      <c r="J205" s="243" t="s">
        <v>1828</v>
      </c>
      <c r="K205" s="243" t="s">
        <v>132</v>
      </c>
      <c r="L205" s="243" t="s">
        <v>1</v>
      </c>
      <c r="M205" s="243" t="s">
        <v>1829</v>
      </c>
      <c r="N205" s="243" t="s">
        <v>1830</v>
      </c>
      <c r="O205" s="243" t="s">
        <v>1</v>
      </c>
      <c r="P205" s="243" t="s">
        <v>1831</v>
      </c>
      <c r="Q205" s="243" t="s">
        <v>767</v>
      </c>
      <c r="R205" s="146" t="str">
        <f>IF(OR(ISNUMBER(SEARCH("FAIL",K205&amp;" "&amp;O205)),ISNUMBER(SEARCH("CLEAN RETEST REQUIRED",K205&amp;" "&amp;O205))),"Failed",IF(OR(ISNUMBER(SEARCH("NOT RUN",K205&amp;" "&amp;O205)),ISNUMBER(SEARCH("NOT IMPLEMENTED",K205&amp;" "&amp;O205))),"Not started",IF(OR(ISNUMBER(SEARCH("PARTIAL",K205&amp;" "&amp;O205)),ISNUMBER(SEARCH("PENDING",K205&amp;" "&amp;O205)),ISNUMBER(SEARCH("IN PROGRESS",K205&amp;" "&amp;O205)),ISNUMBER(SEARCH("OPEN",K205&amp;" "&amp;O205)),ISNUMBER(SEARCH("RETEST REQUIRED",K205&amp;" "&amp;O205)),ISNUMBER(SEARCH("IMPLEMENTATION UPDATED",K205&amp;" "&amp;O205)),ISNUMBER(SEARCH("REQUIRED EVERY SESSION",K205&amp;" "&amp;O205))),"Pending",IF(OR(O205="PASS",ISNUMBER(SEARCH("PASS",K205&amp;" "&amp;O205))),"Done","Pending"))))</f>
        <v>Not started</v>
      </c>
      <c r="S205" s="146" t="str">
        <f>IF(OR(LEFT(A205,9)="OPERATOR-",LEFT(A205,8)="PAYMENT-",LEFT(A205,7)="DEPLOY-"),"External","Core")</f>
        <v>External</v>
      </c>
    </row>
    <row r="206" customFormat="false" ht="15" hidden="false" customHeight="false" outlineLevel="0" collapsed="false">
      <c r="A206" s="243" t="s">
        <v>1832</v>
      </c>
      <c r="B206" s="243" t="s">
        <v>1793</v>
      </c>
      <c r="C206" s="243" t="s">
        <v>37</v>
      </c>
      <c r="D206" s="243" t="s">
        <v>1833</v>
      </c>
      <c r="E206" s="243" t="s">
        <v>1834</v>
      </c>
      <c r="F206" s="243" t="s">
        <v>4</v>
      </c>
      <c r="G206" s="243" t="s">
        <v>1835</v>
      </c>
      <c r="H206" s="243" t="s">
        <v>4</v>
      </c>
      <c r="I206" s="243" t="s">
        <v>1807</v>
      </c>
      <c r="J206" s="243" t="s">
        <v>1836</v>
      </c>
      <c r="K206" s="243" t="s">
        <v>132</v>
      </c>
      <c r="L206" s="243" t="s">
        <v>1</v>
      </c>
      <c r="M206" s="243" t="s">
        <v>1837</v>
      </c>
      <c r="N206" s="243" t="s">
        <v>1838</v>
      </c>
      <c r="O206" s="243" t="s">
        <v>1</v>
      </c>
      <c r="P206" s="243" t="s">
        <v>1839</v>
      </c>
      <c r="Q206" s="243" t="s">
        <v>767</v>
      </c>
      <c r="R206" s="146" t="str">
        <f>IF(OR(ISNUMBER(SEARCH("FAIL",K206&amp;" "&amp;O206)),ISNUMBER(SEARCH("CLEAN RETEST REQUIRED",K206&amp;" "&amp;O206))),"Failed",IF(OR(ISNUMBER(SEARCH("NOT RUN",K206&amp;" "&amp;O206)),ISNUMBER(SEARCH("NOT IMPLEMENTED",K206&amp;" "&amp;O206))),"Not started",IF(OR(ISNUMBER(SEARCH("PARTIAL",K206&amp;" "&amp;O206)),ISNUMBER(SEARCH("PENDING",K206&amp;" "&amp;O206)),ISNUMBER(SEARCH("IN PROGRESS",K206&amp;" "&amp;O206)),ISNUMBER(SEARCH("OPEN",K206&amp;" "&amp;O206)),ISNUMBER(SEARCH("RETEST REQUIRED",K206&amp;" "&amp;O206)),ISNUMBER(SEARCH("IMPLEMENTATION UPDATED",K206&amp;" "&amp;O206)),ISNUMBER(SEARCH("REQUIRED EVERY SESSION",K206&amp;" "&amp;O206))),"Pending",IF(OR(O206="PASS",ISNUMBER(SEARCH("PASS",K206&amp;" "&amp;O206))),"Done","Pending"))))</f>
        <v>Not started</v>
      </c>
      <c r="S206" s="146" t="str">
        <f>IF(OR(LEFT(A206,9)="OPERATOR-",LEFT(A206,8)="PAYMENT-",LEFT(A206,7)="DEPLOY-"),"External","Core")</f>
        <v>External</v>
      </c>
    </row>
    <row r="207" customFormat="false" ht="15" hidden="false" customHeight="false" outlineLevel="0" collapsed="false">
      <c r="A207" s="243" t="s">
        <v>1840</v>
      </c>
      <c r="B207" s="243" t="s">
        <v>1841</v>
      </c>
      <c r="C207" s="272" t="s">
        <v>46</v>
      </c>
      <c r="D207" s="243" t="s">
        <v>1842</v>
      </c>
      <c r="E207" s="243" t="s">
        <v>1843</v>
      </c>
      <c r="F207" s="243" t="s">
        <v>4</v>
      </c>
      <c r="G207" s="243" t="s">
        <v>1844</v>
      </c>
      <c r="H207" s="243" t="s">
        <v>4</v>
      </c>
      <c r="I207" s="243" t="s">
        <v>4</v>
      </c>
      <c r="J207" s="243" t="s">
        <v>1845</v>
      </c>
      <c r="K207" s="243" t="s">
        <v>1846</v>
      </c>
      <c r="L207" s="243" t="s">
        <v>1</v>
      </c>
      <c r="M207" s="243" t="s">
        <v>1847</v>
      </c>
      <c r="N207" s="243" t="s">
        <v>1848</v>
      </c>
      <c r="O207" s="243" t="s">
        <v>1</v>
      </c>
      <c r="P207" s="243" t="s">
        <v>1849</v>
      </c>
      <c r="Q207" s="243" t="s">
        <v>101</v>
      </c>
      <c r="R207" s="146" t="str">
        <f>IF(OR(ISNUMBER(SEARCH("FAIL",K207&amp;" "&amp;O207)),ISNUMBER(SEARCH("CLEAN RETEST REQUIRED",K207&amp;" "&amp;O207))),"Failed",IF(OR(ISNUMBER(SEARCH("NOT RUN",K207&amp;" "&amp;O207)),ISNUMBER(SEARCH("NOT IMPLEMENTED",K207&amp;" "&amp;O207))),"Not started",IF(OR(ISNUMBER(SEARCH("PARTIAL",K207&amp;" "&amp;O207)),ISNUMBER(SEARCH("PENDING",K207&amp;" "&amp;O207)),ISNUMBER(SEARCH("IN PROGRESS",K207&amp;" "&amp;O207)),ISNUMBER(SEARCH("OPEN",K207&amp;" "&amp;O207)),ISNUMBER(SEARCH("RETEST REQUIRED",K207&amp;" "&amp;O207)),ISNUMBER(SEARCH("IMPLEMENTATION UPDATED",K207&amp;" "&amp;O207)),ISNUMBER(SEARCH("REQUIRED EVERY SESSION",K207&amp;" "&amp;O207))),"Pending",IF(OR(O207="PASS",ISNUMBER(SEARCH("PASS",K207&amp;" "&amp;O207))),"Done","Pending"))))</f>
        <v>Not started</v>
      </c>
      <c r="S207" s="146" t="str">
        <f>IF(OR(LEFT(A207,9)="OPERATOR-",LEFT(A207,8)="PAYMENT-",LEFT(A207,7)="DEPLOY-"),"External","Core")</f>
        <v>External</v>
      </c>
    </row>
    <row r="208" customFormat="false" ht="15" hidden="false" customHeight="false" outlineLevel="0" collapsed="false">
      <c r="A208" s="243" t="s">
        <v>1850</v>
      </c>
      <c r="B208" s="243" t="s">
        <v>1841</v>
      </c>
      <c r="C208" s="272" t="s">
        <v>46</v>
      </c>
      <c r="D208" s="243" t="s">
        <v>1842</v>
      </c>
      <c r="E208" s="243" t="s">
        <v>1851</v>
      </c>
      <c r="F208" s="243" t="s">
        <v>1852</v>
      </c>
      <c r="G208" s="243" t="s">
        <v>1853</v>
      </c>
      <c r="H208" s="243" t="s">
        <v>4</v>
      </c>
      <c r="I208" s="243" t="s">
        <v>1854</v>
      </c>
      <c r="J208" s="243" t="s">
        <v>1855</v>
      </c>
      <c r="K208" s="243" t="s">
        <v>1846</v>
      </c>
      <c r="L208" s="243" t="s">
        <v>1</v>
      </c>
      <c r="M208" s="243" t="s">
        <v>1856</v>
      </c>
      <c r="N208" s="243" t="s">
        <v>1857</v>
      </c>
      <c r="O208" s="243" t="s">
        <v>1</v>
      </c>
      <c r="P208" s="243" t="s">
        <v>1858</v>
      </c>
      <c r="Q208" s="243" t="s">
        <v>101</v>
      </c>
      <c r="R208" s="146" t="str">
        <f>IF(OR(ISNUMBER(SEARCH("FAIL",K208&amp;" "&amp;O208)),ISNUMBER(SEARCH("CLEAN RETEST REQUIRED",K208&amp;" "&amp;O208))),"Failed",IF(OR(ISNUMBER(SEARCH("NOT RUN",K208&amp;" "&amp;O208)),ISNUMBER(SEARCH("NOT IMPLEMENTED",K208&amp;" "&amp;O208))),"Not started",IF(OR(ISNUMBER(SEARCH("PARTIAL",K208&amp;" "&amp;O208)),ISNUMBER(SEARCH("PENDING",K208&amp;" "&amp;O208)),ISNUMBER(SEARCH("IN PROGRESS",K208&amp;" "&amp;O208)),ISNUMBER(SEARCH("OPEN",K208&amp;" "&amp;O208)),ISNUMBER(SEARCH("RETEST REQUIRED",K208&amp;" "&amp;O208)),ISNUMBER(SEARCH("IMPLEMENTATION UPDATED",K208&amp;" "&amp;O208)),ISNUMBER(SEARCH("REQUIRED EVERY SESSION",K208&amp;" "&amp;O208))),"Pending",IF(OR(O208="PASS",ISNUMBER(SEARCH("PASS",K208&amp;" "&amp;O208))),"Done","Pending"))))</f>
        <v>Not started</v>
      </c>
      <c r="S208" s="146" t="str">
        <f>IF(OR(LEFT(A208,9)="OPERATOR-",LEFT(A208,8)="PAYMENT-",LEFT(A208,7)="DEPLOY-"),"External","Core")</f>
        <v>External</v>
      </c>
    </row>
    <row r="209" customFormat="false" ht="15" hidden="false" customHeight="false" outlineLevel="0" collapsed="false">
      <c r="A209" s="243" t="s">
        <v>1859</v>
      </c>
      <c r="B209" s="243" t="s">
        <v>1841</v>
      </c>
      <c r="C209" s="272" t="s">
        <v>46</v>
      </c>
      <c r="D209" s="243" t="s">
        <v>1860</v>
      </c>
      <c r="E209" s="243" t="s">
        <v>1861</v>
      </c>
      <c r="F209" s="243" t="s">
        <v>4</v>
      </c>
      <c r="G209" s="243" t="s">
        <v>1862</v>
      </c>
      <c r="H209" s="243" t="s">
        <v>4</v>
      </c>
      <c r="I209" s="243" t="s">
        <v>4</v>
      </c>
      <c r="J209" s="243" t="s">
        <v>1863</v>
      </c>
      <c r="K209" s="243" t="s">
        <v>1846</v>
      </c>
      <c r="L209" s="243" t="s">
        <v>1</v>
      </c>
      <c r="M209" s="243" t="s">
        <v>1864</v>
      </c>
      <c r="N209" s="243" t="s">
        <v>1865</v>
      </c>
      <c r="O209" s="243" t="s">
        <v>1</v>
      </c>
      <c r="P209" s="243" t="s">
        <v>1866</v>
      </c>
      <c r="Q209" s="243" t="s">
        <v>101</v>
      </c>
      <c r="R209" s="146" t="str">
        <f>IF(OR(ISNUMBER(SEARCH("FAIL",K209&amp;" "&amp;O209)),ISNUMBER(SEARCH("CLEAN RETEST REQUIRED",K209&amp;" "&amp;O209))),"Failed",IF(OR(ISNUMBER(SEARCH("NOT RUN",K209&amp;" "&amp;O209)),ISNUMBER(SEARCH("NOT IMPLEMENTED",K209&amp;" "&amp;O209))),"Not started",IF(OR(ISNUMBER(SEARCH("PARTIAL",K209&amp;" "&amp;O209)),ISNUMBER(SEARCH("PENDING",K209&amp;" "&amp;O209)),ISNUMBER(SEARCH("IN PROGRESS",K209&amp;" "&amp;O209)),ISNUMBER(SEARCH("OPEN",K209&amp;" "&amp;O209)),ISNUMBER(SEARCH("RETEST REQUIRED",K209&amp;" "&amp;O209)),ISNUMBER(SEARCH("IMPLEMENTATION UPDATED",K209&amp;" "&amp;O209)),ISNUMBER(SEARCH("REQUIRED EVERY SESSION",K209&amp;" "&amp;O209))),"Pending",IF(OR(O209="PASS",ISNUMBER(SEARCH("PASS",K209&amp;" "&amp;O209))),"Done","Pending"))))</f>
        <v>Not started</v>
      </c>
      <c r="S209" s="146" t="str">
        <f>IF(OR(LEFT(A209,9)="OPERATOR-",LEFT(A209,8)="PAYMENT-",LEFT(A209,7)="DEPLOY-"),"External","Core")</f>
        <v>External</v>
      </c>
    </row>
    <row r="210" customFormat="false" ht="15" hidden="false" customHeight="false" outlineLevel="0" collapsed="false">
      <c r="A210" s="243" t="s">
        <v>1867</v>
      </c>
      <c r="B210" s="243" t="s">
        <v>1841</v>
      </c>
      <c r="C210" s="272" t="s">
        <v>46</v>
      </c>
      <c r="D210" s="243" t="s">
        <v>1868</v>
      </c>
      <c r="E210" s="243" t="s">
        <v>1869</v>
      </c>
      <c r="F210" s="243" t="s">
        <v>4</v>
      </c>
      <c r="G210" s="243" t="s">
        <v>1870</v>
      </c>
      <c r="H210" s="243" t="s">
        <v>4</v>
      </c>
      <c r="I210" s="243" t="s">
        <v>1871</v>
      </c>
      <c r="J210" s="243" t="s">
        <v>1872</v>
      </c>
      <c r="K210" s="243" t="s">
        <v>1846</v>
      </c>
      <c r="L210" s="243" t="s">
        <v>1</v>
      </c>
      <c r="M210" s="243" t="s">
        <v>1873</v>
      </c>
      <c r="N210" s="243" t="s">
        <v>1874</v>
      </c>
      <c r="O210" s="243" t="s">
        <v>1</v>
      </c>
      <c r="P210" s="243" t="s">
        <v>1875</v>
      </c>
      <c r="Q210" s="243" t="s">
        <v>101</v>
      </c>
      <c r="R210" s="146" t="str">
        <f>IF(OR(ISNUMBER(SEARCH("FAIL",K210&amp;" "&amp;O210)),ISNUMBER(SEARCH("CLEAN RETEST REQUIRED",K210&amp;" "&amp;O210))),"Failed",IF(OR(ISNUMBER(SEARCH("NOT RUN",K210&amp;" "&amp;O210)),ISNUMBER(SEARCH("NOT IMPLEMENTED",K210&amp;" "&amp;O210))),"Not started",IF(OR(ISNUMBER(SEARCH("PARTIAL",K210&amp;" "&amp;O210)),ISNUMBER(SEARCH("PENDING",K210&amp;" "&amp;O210)),ISNUMBER(SEARCH("IN PROGRESS",K210&amp;" "&amp;O210)),ISNUMBER(SEARCH("OPEN",K210&amp;" "&amp;O210)),ISNUMBER(SEARCH("RETEST REQUIRED",K210&amp;" "&amp;O210)),ISNUMBER(SEARCH("IMPLEMENTATION UPDATED",K210&amp;" "&amp;O210)),ISNUMBER(SEARCH("REQUIRED EVERY SESSION",K210&amp;" "&amp;O210))),"Pending",IF(OR(O210="PASS",ISNUMBER(SEARCH("PASS",K210&amp;" "&amp;O210))),"Done","Pending"))))</f>
        <v>Not started</v>
      </c>
      <c r="S210" s="146" t="str">
        <f>IF(OR(LEFT(A210,9)="OPERATOR-",LEFT(A210,8)="PAYMENT-",LEFT(A210,7)="DEPLOY-"),"External","Core")</f>
        <v>External</v>
      </c>
    </row>
    <row r="211" customFormat="false" ht="15" hidden="false" customHeight="false" outlineLevel="0" collapsed="false">
      <c r="A211" s="243" t="s">
        <v>1876</v>
      </c>
      <c r="B211" s="243" t="s">
        <v>1841</v>
      </c>
      <c r="C211" s="272" t="s">
        <v>46</v>
      </c>
      <c r="D211" s="243" t="s">
        <v>1877</v>
      </c>
      <c r="E211" s="243" t="s">
        <v>1878</v>
      </c>
      <c r="F211" s="243" t="s">
        <v>4</v>
      </c>
      <c r="G211" s="243" t="s">
        <v>1879</v>
      </c>
      <c r="H211" s="243" t="s">
        <v>4</v>
      </c>
      <c r="I211" s="243" t="s">
        <v>1880</v>
      </c>
      <c r="J211" s="243" t="s">
        <v>1881</v>
      </c>
      <c r="K211" s="243" t="s">
        <v>1846</v>
      </c>
      <c r="L211" s="243" t="s">
        <v>1</v>
      </c>
      <c r="M211" s="243" t="s">
        <v>1882</v>
      </c>
      <c r="N211" s="243" t="s">
        <v>1883</v>
      </c>
      <c r="O211" s="243" t="s">
        <v>1</v>
      </c>
      <c r="P211" s="243" t="s">
        <v>1884</v>
      </c>
      <c r="Q211" s="243" t="s">
        <v>101</v>
      </c>
      <c r="R211" s="146" t="str">
        <f>IF(OR(ISNUMBER(SEARCH("FAIL",K211&amp;" "&amp;O211)),ISNUMBER(SEARCH("CLEAN RETEST REQUIRED",K211&amp;" "&amp;O211))),"Failed",IF(OR(ISNUMBER(SEARCH("NOT RUN",K211&amp;" "&amp;O211)),ISNUMBER(SEARCH("NOT IMPLEMENTED",K211&amp;" "&amp;O211))),"Not started",IF(OR(ISNUMBER(SEARCH("PARTIAL",K211&amp;" "&amp;O211)),ISNUMBER(SEARCH("PENDING",K211&amp;" "&amp;O211)),ISNUMBER(SEARCH("IN PROGRESS",K211&amp;" "&amp;O211)),ISNUMBER(SEARCH("OPEN",K211&amp;" "&amp;O211)),ISNUMBER(SEARCH("RETEST REQUIRED",K211&amp;" "&amp;O211)),ISNUMBER(SEARCH("IMPLEMENTATION UPDATED",K211&amp;" "&amp;O211)),ISNUMBER(SEARCH("REQUIRED EVERY SESSION",K211&amp;" "&amp;O211))),"Pending",IF(OR(O211="PASS",ISNUMBER(SEARCH("PASS",K211&amp;" "&amp;O211))),"Done","Pending"))))</f>
        <v>Not started</v>
      </c>
      <c r="S211" s="146" t="str">
        <f>IF(OR(LEFT(A211,9)="OPERATOR-",LEFT(A211,8)="PAYMENT-",LEFT(A211,7)="DEPLOY-"),"External","Core")</f>
        <v>External</v>
      </c>
    </row>
    <row r="212" customFormat="false" ht="15" hidden="false" customHeight="false" outlineLevel="0" collapsed="false">
      <c r="A212" s="243" t="s">
        <v>1885</v>
      </c>
      <c r="B212" s="243" t="s">
        <v>1841</v>
      </c>
      <c r="C212" s="272" t="s">
        <v>46</v>
      </c>
      <c r="D212" s="243" t="s">
        <v>1842</v>
      </c>
      <c r="E212" s="243" t="s">
        <v>1886</v>
      </c>
      <c r="F212" s="243" t="s">
        <v>1852</v>
      </c>
      <c r="G212" s="243" t="s">
        <v>1887</v>
      </c>
      <c r="H212" s="243" t="s">
        <v>4</v>
      </c>
      <c r="I212" s="243" t="s">
        <v>1854</v>
      </c>
      <c r="J212" s="243" t="s">
        <v>1888</v>
      </c>
      <c r="K212" s="243" t="s">
        <v>1846</v>
      </c>
      <c r="L212" s="243" t="s">
        <v>1</v>
      </c>
      <c r="M212" s="243" t="s">
        <v>1889</v>
      </c>
      <c r="N212" s="243" t="s">
        <v>1890</v>
      </c>
      <c r="O212" s="243" t="s">
        <v>1</v>
      </c>
      <c r="P212" s="243" t="s">
        <v>1891</v>
      </c>
      <c r="Q212" s="243" t="s">
        <v>101</v>
      </c>
      <c r="R212" s="146" t="str">
        <f>IF(OR(ISNUMBER(SEARCH("FAIL",K212&amp;" "&amp;O212)),ISNUMBER(SEARCH("CLEAN RETEST REQUIRED",K212&amp;" "&amp;O212))),"Failed",IF(OR(ISNUMBER(SEARCH("NOT RUN",K212&amp;" "&amp;O212)),ISNUMBER(SEARCH("NOT IMPLEMENTED",K212&amp;" "&amp;O212))),"Not started",IF(OR(ISNUMBER(SEARCH("PARTIAL",K212&amp;" "&amp;O212)),ISNUMBER(SEARCH("PENDING",K212&amp;" "&amp;O212)),ISNUMBER(SEARCH("IN PROGRESS",K212&amp;" "&amp;O212)),ISNUMBER(SEARCH("OPEN",K212&amp;" "&amp;O212)),ISNUMBER(SEARCH("RETEST REQUIRED",K212&amp;" "&amp;O212)),ISNUMBER(SEARCH("IMPLEMENTATION UPDATED",K212&amp;" "&amp;O212)),ISNUMBER(SEARCH("REQUIRED EVERY SESSION",K212&amp;" "&amp;O212))),"Pending",IF(OR(O212="PASS",ISNUMBER(SEARCH("PASS",K212&amp;" "&amp;O212))),"Done","Pending"))))</f>
        <v>Not started</v>
      </c>
      <c r="S212" s="146" t="str">
        <f>IF(OR(LEFT(A212,9)="OPERATOR-",LEFT(A212,8)="PAYMENT-",LEFT(A212,7)="DEPLOY-"),"External","Core")</f>
        <v>External</v>
      </c>
    </row>
    <row r="213" customFormat="false" ht="15" hidden="false" customHeight="false" outlineLevel="0" collapsed="false">
      <c r="A213" s="243" t="s">
        <v>1892</v>
      </c>
      <c r="B213" s="243" t="s">
        <v>1841</v>
      </c>
      <c r="C213" s="272" t="s">
        <v>46</v>
      </c>
      <c r="D213" s="243" t="s">
        <v>1893</v>
      </c>
      <c r="E213" s="243" t="s">
        <v>1894</v>
      </c>
      <c r="F213" s="243" t="s">
        <v>4</v>
      </c>
      <c r="G213" s="243" t="s">
        <v>1895</v>
      </c>
      <c r="H213" s="243" t="s">
        <v>4</v>
      </c>
      <c r="I213" s="243" t="s">
        <v>1896</v>
      </c>
      <c r="J213" s="243" t="s">
        <v>1897</v>
      </c>
      <c r="K213" s="243" t="s">
        <v>1846</v>
      </c>
      <c r="L213" s="243" t="s">
        <v>1</v>
      </c>
      <c r="M213" s="243" t="s">
        <v>1898</v>
      </c>
      <c r="N213" s="243" t="s">
        <v>1899</v>
      </c>
      <c r="O213" s="243" t="s">
        <v>1</v>
      </c>
      <c r="P213" s="243" t="s">
        <v>1900</v>
      </c>
      <c r="Q213" s="243" t="s">
        <v>101</v>
      </c>
      <c r="R213" s="146" t="str">
        <f>IF(OR(ISNUMBER(SEARCH("FAIL",K213&amp;" "&amp;O213)),ISNUMBER(SEARCH("CLEAN RETEST REQUIRED",K213&amp;" "&amp;O213))),"Failed",IF(OR(ISNUMBER(SEARCH("NOT RUN",K213&amp;" "&amp;O213)),ISNUMBER(SEARCH("NOT IMPLEMENTED",K213&amp;" "&amp;O213))),"Not started",IF(OR(ISNUMBER(SEARCH("PARTIAL",K213&amp;" "&amp;O213)),ISNUMBER(SEARCH("PENDING",K213&amp;" "&amp;O213)),ISNUMBER(SEARCH("IN PROGRESS",K213&amp;" "&amp;O213)),ISNUMBER(SEARCH("OPEN",K213&amp;" "&amp;O213)),ISNUMBER(SEARCH("RETEST REQUIRED",K213&amp;" "&amp;O213)),ISNUMBER(SEARCH("IMPLEMENTATION UPDATED",K213&amp;" "&amp;O213)),ISNUMBER(SEARCH("REQUIRED EVERY SESSION",K213&amp;" "&amp;O213))),"Pending",IF(OR(O213="PASS",ISNUMBER(SEARCH("PASS",K213&amp;" "&amp;O213))),"Done","Pending"))))</f>
        <v>Not started</v>
      </c>
      <c r="S213" s="146" t="str">
        <f>IF(OR(LEFT(A213,9)="OPERATOR-",LEFT(A213,8)="PAYMENT-",LEFT(A213,7)="DEPLOY-"),"External","Core")</f>
        <v>External</v>
      </c>
    </row>
    <row r="214" customFormat="false" ht="15" hidden="false" customHeight="false" outlineLevel="0" collapsed="false">
      <c r="A214" s="243" t="s">
        <v>1901</v>
      </c>
      <c r="B214" s="243" t="s">
        <v>1902</v>
      </c>
      <c r="C214" s="272" t="s">
        <v>46</v>
      </c>
      <c r="D214" s="243" t="s">
        <v>1903</v>
      </c>
      <c r="E214" s="243" t="s">
        <v>1904</v>
      </c>
      <c r="F214" s="243" t="s">
        <v>1905</v>
      </c>
      <c r="G214" s="243" t="s">
        <v>1906</v>
      </c>
      <c r="H214" s="243" t="s">
        <v>4</v>
      </c>
      <c r="I214" s="243" t="s">
        <v>1907</v>
      </c>
      <c r="J214" s="243" t="s">
        <v>1908</v>
      </c>
      <c r="K214" s="243" t="s">
        <v>1846</v>
      </c>
      <c r="L214" s="243" t="s">
        <v>1</v>
      </c>
      <c r="M214" s="243" t="s">
        <v>1909</v>
      </c>
      <c r="N214" s="243" t="s">
        <v>1910</v>
      </c>
      <c r="O214" s="243" t="s">
        <v>1</v>
      </c>
      <c r="P214" s="243" t="s">
        <v>1911</v>
      </c>
      <c r="Q214" s="243" t="s">
        <v>101</v>
      </c>
      <c r="R214" s="146" t="str">
        <f>IF(OR(ISNUMBER(SEARCH("FAIL",K214&amp;" "&amp;O214)),ISNUMBER(SEARCH("CLEAN RETEST REQUIRED",K214&amp;" "&amp;O214))),"Failed",IF(OR(ISNUMBER(SEARCH("NOT RUN",K214&amp;" "&amp;O214)),ISNUMBER(SEARCH("NOT IMPLEMENTED",K214&amp;" "&amp;O214))),"Not started",IF(OR(ISNUMBER(SEARCH("PARTIAL",K214&amp;" "&amp;O214)),ISNUMBER(SEARCH("PENDING",K214&amp;" "&amp;O214)),ISNUMBER(SEARCH("IN PROGRESS",K214&amp;" "&amp;O214)),ISNUMBER(SEARCH("OPEN",K214&amp;" "&amp;O214)),ISNUMBER(SEARCH("RETEST REQUIRED",K214&amp;" "&amp;O214)),ISNUMBER(SEARCH("IMPLEMENTATION UPDATED",K214&amp;" "&amp;O214)),ISNUMBER(SEARCH("REQUIRED EVERY SESSION",K214&amp;" "&amp;O214))),"Pending",IF(OR(O214="PASS",ISNUMBER(SEARCH("PASS",K214&amp;" "&amp;O214))),"Done","Pending"))))</f>
        <v>Not started</v>
      </c>
      <c r="S214" s="146" t="str">
        <f>IF(OR(LEFT(A214,9)="OPERATOR-",LEFT(A214,8)="PAYMENT-",LEFT(A214,7)="DEPLOY-"),"External","Core")</f>
        <v>External</v>
      </c>
    </row>
    <row r="215" customFormat="false" ht="15" hidden="false" customHeight="false" outlineLevel="0" collapsed="false">
      <c r="A215" s="243" t="s">
        <v>1912</v>
      </c>
      <c r="B215" s="243" t="s">
        <v>1902</v>
      </c>
      <c r="C215" s="272" t="s">
        <v>46</v>
      </c>
      <c r="D215" s="243" t="s">
        <v>1913</v>
      </c>
      <c r="E215" s="243" t="s">
        <v>1914</v>
      </c>
      <c r="F215" s="243" t="s">
        <v>4</v>
      </c>
      <c r="G215" s="243" t="s">
        <v>1915</v>
      </c>
      <c r="H215" s="243" t="s">
        <v>4</v>
      </c>
      <c r="I215" s="243" t="s">
        <v>1916</v>
      </c>
      <c r="J215" s="243" t="s">
        <v>1917</v>
      </c>
      <c r="K215" s="243" t="s">
        <v>1846</v>
      </c>
      <c r="L215" s="243" t="s">
        <v>1</v>
      </c>
      <c r="M215" s="243" t="s">
        <v>1918</v>
      </c>
      <c r="N215" s="243" t="s">
        <v>1919</v>
      </c>
      <c r="O215" s="243" t="s">
        <v>1</v>
      </c>
      <c r="P215" s="243" t="s">
        <v>1920</v>
      </c>
      <c r="Q215" s="243" t="s">
        <v>101</v>
      </c>
      <c r="R215" s="146" t="str">
        <f>IF(OR(ISNUMBER(SEARCH("FAIL",K215&amp;" "&amp;O215)),ISNUMBER(SEARCH("CLEAN RETEST REQUIRED",K215&amp;" "&amp;O215))),"Failed",IF(OR(ISNUMBER(SEARCH("NOT RUN",K215&amp;" "&amp;O215)),ISNUMBER(SEARCH("NOT IMPLEMENTED",K215&amp;" "&amp;O215))),"Not started",IF(OR(ISNUMBER(SEARCH("PARTIAL",K215&amp;" "&amp;O215)),ISNUMBER(SEARCH("PENDING",K215&amp;" "&amp;O215)),ISNUMBER(SEARCH("IN PROGRESS",K215&amp;" "&amp;O215)),ISNUMBER(SEARCH("OPEN",K215&amp;" "&amp;O215)),ISNUMBER(SEARCH("RETEST REQUIRED",K215&amp;" "&amp;O215)),ISNUMBER(SEARCH("IMPLEMENTATION UPDATED",K215&amp;" "&amp;O215)),ISNUMBER(SEARCH("REQUIRED EVERY SESSION",K215&amp;" "&amp;O215))),"Pending",IF(OR(O215="PASS",ISNUMBER(SEARCH("PASS",K215&amp;" "&amp;O215))),"Done","Pending"))))</f>
        <v>Not started</v>
      </c>
      <c r="S215" s="146" t="str">
        <f>IF(OR(LEFT(A215,9)="OPERATOR-",LEFT(A215,8)="PAYMENT-",LEFT(A215,7)="DEPLOY-"),"External","Core")</f>
        <v>External</v>
      </c>
    </row>
    <row r="216" customFormat="false" ht="15" hidden="false" customHeight="false" outlineLevel="0" collapsed="false">
      <c r="A216" s="243" t="s">
        <v>1921</v>
      </c>
      <c r="B216" s="243" t="s">
        <v>1902</v>
      </c>
      <c r="C216" s="272" t="s">
        <v>46</v>
      </c>
      <c r="D216" s="243" t="s">
        <v>1913</v>
      </c>
      <c r="E216" s="243" t="s">
        <v>1922</v>
      </c>
      <c r="F216" s="243" t="s">
        <v>4</v>
      </c>
      <c r="G216" s="243" t="s">
        <v>1923</v>
      </c>
      <c r="H216" s="243" t="s">
        <v>4</v>
      </c>
      <c r="I216" s="243" t="s">
        <v>1924</v>
      </c>
      <c r="J216" s="243" t="s">
        <v>1925</v>
      </c>
      <c r="K216" s="243" t="s">
        <v>1846</v>
      </c>
      <c r="L216" s="243" t="s">
        <v>1</v>
      </c>
      <c r="M216" s="243" t="s">
        <v>1926</v>
      </c>
      <c r="N216" s="243" t="s">
        <v>1927</v>
      </c>
      <c r="O216" s="243" t="s">
        <v>1</v>
      </c>
      <c r="P216" s="243" t="s">
        <v>1928</v>
      </c>
      <c r="Q216" s="243" t="s">
        <v>101</v>
      </c>
      <c r="R216" s="146" t="str">
        <f>IF(OR(ISNUMBER(SEARCH("FAIL",K216&amp;" "&amp;O216)),ISNUMBER(SEARCH("CLEAN RETEST REQUIRED",K216&amp;" "&amp;O216))),"Failed",IF(OR(ISNUMBER(SEARCH("NOT RUN",K216&amp;" "&amp;O216)),ISNUMBER(SEARCH("NOT IMPLEMENTED",K216&amp;" "&amp;O216))),"Not started",IF(OR(ISNUMBER(SEARCH("PARTIAL",K216&amp;" "&amp;O216)),ISNUMBER(SEARCH("PENDING",K216&amp;" "&amp;O216)),ISNUMBER(SEARCH("IN PROGRESS",K216&amp;" "&amp;O216)),ISNUMBER(SEARCH("OPEN",K216&amp;" "&amp;O216)),ISNUMBER(SEARCH("RETEST REQUIRED",K216&amp;" "&amp;O216)),ISNUMBER(SEARCH("IMPLEMENTATION UPDATED",K216&amp;" "&amp;O216)),ISNUMBER(SEARCH("REQUIRED EVERY SESSION",K216&amp;" "&amp;O216))),"Pending",IF(OR(O216="PASS",ISNUMBER(SEARCH("PASS",K216&amp;" "&amp;O216))),"Done","Pending"))))</f>
        <v>Not started</v>
      </c>
      <c r="S216" s="146" t="str">
        <f>IF(OR(LEFT(A216,9)="OPERATOR-",LEFT(A216,8)="PAYMENT-",LEFT(A216,7)="DEPLOY-"),"External","Core")</f>
        <v>External</v>
      </c>
    </row>
    <row r="217" customFormat="false" ht="15" hidden="false" customHeight="false" outlineLevel="0" collapsed="false">
      <c r="A217" s="243" t="s">
        <v>1929</v>
      </c>
      <c r="B217" s="243" t="s">
        <v>1902</v>
      </c>
      <c r="C217" s="272" t="s">
        <v>46</v>
      </c>
      <c r="D217" s="243" t="s">
        <v>1930</v>
      </c>
      <c r="E217" s="243" t="s">
        <v>1931</v>
      </c>
      <c r="F217" s="243" t="s">
        <v>1932</v>
      </c>
      <c r="G217" s="243" t="s">
        <v>1933</v>
      </c>
      <c r="H217" s="243" t="s">
        <v>4</v>
      </c>
      <c r="I217" s="243" t="s">
        <v>1934</v>
      </c>
      <c r="J217" s="243" t="s">
        <v>1935</v>
      </c>
      <c r="K217" s="243" t="s">
        <v>1936</v>
      </c>
      <c r="L217" s="243" t="s">
        <v>1</v>
      </c>
      <c r="M217" s="243" t="s">
        <v>1937</v>
      </c>
      <c r="N217" s="243" t="s">
        <v>1938</v>
      </c>
      <c r="O217" s="243" t="s">
        <v>1</v>
      </c>
      <c r="P217" s="243" t="s">
        <v>1939</v>
      </c>
      <c r="Q217" s="243" t="s">
        <v>101</v>
      </c>
      <c r="R217" s="146" t="str">
        <f>IF(OR(ISNUMBER(SEARCH("FAIL",K217&amp;" "&amp;O217)),ISNUMBER(SEARCH("CLEAN RETEST REQUIRED",K217&amp;" "&amp;O217))),"Failed",IF(OR(ISNUMBER(SEARCH("NOT RUN",K217&amp;" "&amp;O217)),ISNUMBER(SEARCH("NOT IMPLEMENTED",K217&amp;" "&amp;O217))),"Not started",IF(OR(ISNUMBER(SEARCH("PARTIAL",K217&amp;" "&amp;O217)),ISNUMBER(SEARCH("PENDING",K217&amp;" "&amp;O217)),ISNUMBER(SEARCH("IN PROGRESS",K217&amp;" "&amp;O217)),ISNUMBER(SEARCH("OPEN",K217&amp;" "&amp;O217)),ISNUMBER(SEARCH("RETEST REQUIRED",K217&amp;" "&amp;O217)),ISNUMBER(SEARCH("IMPLEMENTATION UPDATED",K217&amp;" "&amp;O217)),ISNUMBER(SEARCH("REQUIRED EVERY SESSION",K217&amp;" "&amp;O217))),"Pending",IF(OR(O217="PASS",ISNUMBER(SEARCH("PASS",K217&amp;" "&amp;O217))),"Done","Pending"))))</f>
        <v>Pending</v>
      </c>
      <c r="S217" s="146" t="str">
        <f>IF(OR(LEFT(A217,9)="OPERATOR-",LEFT(A217,8)="PAYMENT-",LEFT(A217,7)="DEPLOY-"),"External","Core")</f>
        <v>External</v>
      </c>
    </row>
    <row r="218" customFormat="false" ht="15" hidden="false" customHeight="false" outlineLevel="0" collapsed="false">
      <c r="A218" s="243" t="s">
        <v>1940</v>
      </c>
      <c r="B218" s="243" t="s">
        <v>1902</v>
      </c>
      <c r="C218" s="272" t="s">
        <v>46</v>
      </c>
      <c r="D218" s="243" t="s">
        <v>1941</v>
      </c>
      <c r="E218" s="243" t="s">
        <v>1942</v>
      </c>
      <c r="F218" s="243" t="s">
        <v>4</v>
      </c>
      <c r="G218" s="243" t="s">
        <v>1943</v>
      </c>
      <c r="H218" s="243" t="s">
        <v>4</v>
      </c>
      <c r="I218" s="243" t="s">
        <v>1944</v>
      </c>
      <c r="J218" s="243" t="s">
        <v>1945</v>
      </c>
      <c r="K218" s="243" t="s">
        <v>1936</v>
      </c>
      <c r="L218" s="243" t="s">
        <v>1</v>
      </c>
      <c r="M218" s="243" t="s">
        <v>1946</v>
      </c>
      <c r="N218" s="243" t="s">
        <v>1947</v>
      </c>
      <c r="O218" s="243" t="s">
        <v>1</v>
      </c>
      <c r="P218" s="243" t="s">
        <v>1948</v>
      </c>
      <c r="Q218" s="243" t="s">
        <v>101</v>
      </c>
      <c r="R218" s="146" t="str">
        <f>IF(OR(ISNUMBER(SEARCH("FAIL",K218&amp;" "&amp;O218)),ISNUMBER(SEARCH("CLEAN RETEST REQUIRED",K218&amp;" "&amp;O218))),"Failed",IF(OR(ISNUMBER(SEARCH("NOT RUN",K218&amp;" "&amp;O218)),ISNUMBER(SEARCH("NOT IMPLEMENTED",K218&amp;" "&amp;O218))),"Not started",IF(OR(ISNUMBER(SEARCH("PARTIAL",K218&amp;" "&amp;O218)),ISNUMBER(SEARCH("PENDING",K218&amp;" "&amp;O218)),ISNUMBER(SEARCH("IN PROGRESS",K218&amp;" "&amp;O218)),ISNUMBER(SEARCH("OPEN",K218&amp;" "&amp;O218)),ISNUMBER(SEARCH("RETEST REQUIRED",K218&amp;" "&amp;O218)),ISNUMBER(SEARCH("IMPLEMENTATION UPDATED",K218&amp;" "&amp;O218)),ISNUMBER(SEARCH("REQUIRED EVERY SESSION",K218&amp;" "&amp;O218))),"Pending",IF(OR(O218="PASS",ISNUMBER(SEARCH("PASS",K218&amp;" "&amp;O218))),"Done","Pending"))))</f>
        <v>Pending</v>
      </c>
      <c r="S218" s="146" t="str">
        <f>IF(OR(LEFT(A218,9)="OPERATOR-",LEFT(A218,8)="PAYMENT-",LEFT(A218,7)="DEPLOY-"),"External","Core")</f>
        <v>External</v>
      </c>
    </row>
    <row r="219" customFormat="false" ht="15" hidden="false" customHeight="false" outlineLevel="0" collapsed="false">
      <c r="A219" s="243" t="s">
        <v>1949</v>
      </c>
      <c r="B219" s="243" t="s">
        <v>1902</v>
      </c>
      <c r="C219" s="272" t="s">
        <v>46</v>
      </c>
      <c r="D219" s="243" t="s">
        <v>1903</v>
      </c>
      <c r="E219" s="243" t="s">
        <v>1950</v>
      </c>
      <c r="F219" s="243" t="s">
        <v>1951</v>
      </c>
      <c r="G219" s="243" t="s">
        <v>1952</v>
      </c>
      <c r="H219" s="243" t="s">
        <v>4</v>
      </c>
      <c r="I219" s="243" t="s">
        <v>1953</v>
      </c>
      <c r="J219" s="243" t="s">
        <v>1954</v>
      </c>
      <c r="K219" s="243" t="s">
        <v>132</v>
      </c>
      <c r="L219" s="243" t="s">
        <v>1</v>
      </c>
      <c r="M219" s="243" t="s">
        <v>1955</v>
      </c>
      <c r="N219" s="243" t="s">
        <v>1956</v>
      </c>
      <c r="O219" s="243" t="s">
        <v>1</v>
      </c>
      <c r="P219" s="243" t="s">
        <v>1957</v>
      </c>
      <c r="Q219" s="243" t="s">
        <v>372</v>
      </c>
      <c r="R219" s="146" t="str">
        <f>IF(OR(ISNUMBER(SEARCH("FAIL",K219&amp;" "&amp;O219)),ISNUMBER(SEARCH("CLEAN RETEST REQUIRED",K219&amp;" "&amp;O219))),"Failed",IF(OR(ISNUMBER(SEARCH("NOT RUN",K219&amp;" "&amp;O219)),ISNUMBER(SEARCH("NOT IMPLEMENTED",K219&amp;" "&amp;O219))),"Not started",IF(OR(ISNUMBER(SEARCH("PARTIAL",K219&amp;" "&amp;O219)),ISNUMBER(SEARCH("PENDING",K219&amp;" "&amp;O219)),ISNUMBER(SEARCH("IN PROGRESS",K219&amp;" "&amp;O219)),ISNUMBER(SEARCH("OPEN",K219&amp;" "&amp;O219)),ISNUMBER(SEARCH("RETEST REQUIRED",K219&amp;" "&amp;O219)),ISNUMBER(SEARCH("IMPLEMENTATION UPDATED",K219&amp;" "&amp;O219)),ISNUMBER(SEARCH("REQUIRED EVERY SESSION",K219&amp;" "&amp;O219))),"Pending",IF(OR(O219="PASS",ISNUMBER(SEARCH("PASS",K219&amp;" "&amp;O219))),"Done","Pending"))))</f>
        <v>Not started</v>
      </c>
      <c r="S219" s="146" t="str">
        <f>IF(OR(LEFT(A219,9)="OPERATOR-",LEFT(A219,8)="PAYMENT-",LEFT(A219,7)="DEPLOY-"),"External","Core")</f>
        <v>External</v>
      </c>
    </row>
    <row r="220" customFormat="false" ht="15" hidden="false" customHeight="false" outlineLevel="0" collapsed="false">
      <c r="A220" s="243" t="s">
        <v>1958</v>
      </c>
      <c r="B220" s="243" t="s">
        <v>1902</v>
      </c>
      <c r="C220" s="272" t="s">
        <v>46</v>
      </c>
      <c r="D220" s="243" t="s">
        <v>1959</v>
      </c>
      <c r="E220" s="243" t="s">
        <v>1960</v>
      </c>
      <c r="F220" s="243" t="s">
        <v>4</v>
      </c>
      <c r="G220" s="243" t="s">
        <v>1961</v>
      </c>
      <c r="H220" s="243" t="s">
        <v>4</v>
      </c>
      <c r="I220" s="243" t="s">
        <v>4</v>
      </c>
      <c r="J220" s="243" t="s">
        <v>1962</v>
      </c>
      <c r="K220" s="243" t="s">
        <v>1846</v>
      </c>
      <c r="L220" s="243" t="s">
        <v>1</v>
      </c>
      <c r="M220" s="243" t="s">
        <v>1963</v>
      </c>
      <c r="N220" s="243" t="s">
        <v>1964</v>
      </c>
      <c r="O220" s="243" t="s">
        <v>1</v>
      </c>
      <c r="P220" s="243" t="s">
        <v>1965</v>
      </c>
      <c r="Q220" s="243" t="s">
        <v>127</v>
      </c>
      <c r="R220" s="146" t="str">
        <f>IF(OR(ISNUMBER(SEARCH("FAIL",K220&amp;" "&amp;O220)),ISNUMBER(SEARCH("CLEAN RETEST REQUIRED",K220&amp;" "&amp;O220))),"Failed",IF(OR(ISNUMBER(SEARCH("NOT RUN",K220&amp;" "&amp;O220)),ISNUMBER(SEARCH("NOT IMPLEMENTED",K220&amp;" "&amp;O220))),"Not started",IF(OR(ISNUMBER(SEARCH("PARTIAL",K220&amp;" "&amp;O220)),ISNUMBER(SEARCH("PENDING",K220&amp;" "&amp;O220)),ISNUMBER(SEARCH("IN PROGRESS",K220&amp;" "&amp;O220)),ISNUMBER(SEARCH("OPEN",K220&amp;" "&amp;O220)),ISNUMBER(SEARCH("RETEST REQUIRED",K220&amp;" "&amp;O220)),ISNUMBER(SEARCH("IMPLEMENTATION UPDATED",K220&amp;" "&amp;O220)),ISNUMBER(SEARCH("REQUIRED EVERY SESSION",K220&amp;" "&amp;O220))),"Pending",IF(OR(O220="PASS",ISNUMBER(SEARCH("PASS",K220&amp;" "&amp;O220))),"Done","Pending"))))</f>
        <v>Not started</v>
      </c>
      <c r="S220" s="146" t="str">
        <f>IF(OR(LEFT(A220,9)="OPERATOR-",LEFT(A220,8)="PAYMENT-",LEFT(A220,7)="DEPLOY-"),"External","Core")</f>
        <v>External</v>
      </c>
    </row>
    <row r="221" customFormat="false" ht="15" hidden="false" customHeight="false" outlineLevel="0" collapsed="false">
      <c r="A221" s="243" t="s">
        <v>1966</v>
      </c>
      <c r="B221" s="243" t="s">
        <v>1902</v>
      </c>
      <c r="C221" s="272" t="s">
        <v>46</v>
      </c>
      <c r="D221" s="243" t="s">
        <v>1967</v>
      </c>
      <c r="E221" s="243" t="s">
        <v>1968</v>
      </c>
      <c r="F221" s="243" t="s">
        <v>4</v>
      </c>
      <c r="G221" s="243" t="s">
        <v>1969</v>
      </c>
      <c r="H221" s="243" t="s">
        <v>4</v>
      </c>
      <c r="I221" s="243" t="s">
        <v>4</v>
      </c>
      <c r="J221" s="243" t="s">
        <v>1970</v>
      </c>
      <c r="K221" s="243" t="s">
        <v>1846</v>
      </c>
      <c r="L221" s="243" t="s">
        <v>1</v>
      </c>
      <c r="M221" s="243" t="s">
        <v>1971</v>
      </c>
      <c r="N221" s="243" t="s">
        <v>1972</v>
      </c>
      <c r="O221" s="243" t="s">
        <v>1</v>
      </c>
      <c r="P221" s="243" t="s">
        <v>1973</v>
      </c>
      <c r="Q221" s="243" t="s">
        <v>101</v>
      </c>
      <c r="R221" s="146" t="str">
        <f>IF(OR(ISNUMBER(SEARCH("FAIL",K221&amp;" "&amp;O221)),ISNUMBER(SEARCH("CLEAN RETEST REQUIRED",K221&amp;" "&amp;O221))),"Failed",IF(OR(ISNUMBER(SEARCH("NOT RUN",K221&amp;" "&amp;O221)),ISNUMBER(SEARCH("NOT IMPLEMENTED",K221&amp;" "&amp;O221))),"Not started",IF(OR(ISNUMBER(SEARCH("PARTIAL",K221&amp;" "&amp;O221)),ISNUMBER(SEARCH("PENDING",K221&amp;" "&amp;O221)),ISNUMBER(SEARCH("IN PROGRESS",K221&amp;" "&amp;O221)),ISNUMBER(SEARCH("OPEN",K221&amp;" "&amp;O221)),ISNUMBER(SEARCH("RETEST REQUIRED",K221&amp;" "&amp;O221)),ISNUMBER(SEARCH("IMPLEMENTATION UPDATED",K221&amp;" "&amp;O221)),ISNUMBER(SEARCH("REQUIRED EVERY SESSION",K221&amp;" "&amp;O221))),"Pending",IF(OR(O221="PASS",ISNUMBER(SEARCH("PASS",K221&amp;" "&amp;O221))),"Done","Pending"))))</f>
        <v>Not started</v>
      </c>
      <c r="S221" s="146" t="str">
        <f>IF(OR(LEFT(A221,9)="OPERATOR-",LEFT(A221,8)="PAYMENT-",LEFT(A221,7)="DEPLOY-"),"External","Core")</f>
        <v>External</v>
      </c>
    </row>
    <row r="222" customFormat="false" ht="15" hidden="false" customHeight="false" outlineLevel="0" collapsed="false">
      <c r="A222" s="243" t="s">
        <v>1974</v>
      </c>
      <c r="B222" s="243" t="s">
        <v>1902</v>
      </c>
      <c r="C222" s="272" t="s">
        <v>46</v>
      </c>
      <c r="D222" s="243" t="s">
        <v>1975</v>
      </c>
      <c r="E222" s="243" t="s">
        <v>1976</v>
      </c>
      <c r="F222" s="243" t="s">
        <v>4</v>
      </c>
      <c r="G222" s="243" t="s">
        <v>1977</v>
      </c>
      <c r="H222" s="243" t="s">
        <v>4</v>
      </c>
      <c r="I222" s="243" t="s">
        <v>1978</v>
      </c>
      <c r="J222" s="243" t="s">
        <v>1979</v>
      </c>
      <c r="K222" s="243" t="s">
        <v>1846</v>
      </c>
      <c r="L222" s="243" t="s">
        <v>1</v>
      </c>
      <c r="M222" s="243" t="s">
        <v>1980</v>
      </c>
      <c r="N222" s="243" t="s">
        <v>1981</v>
      </c>
      <c r="O222" s="243" t="s">
        <v>1</v>
      </c>
      <c r="P222" s="243" t="s">
        <v>1982</v>
      </c>
      <c r="Q222" s="243" t="s">
        <v>101</v>
      </c>
      <c r="R222" s="146" t="str">
        <f>IF(OR(ISNUMBER(SEARCH("FAIL",K222&amp;" "&amp;O222)),ISNUMBER(SEARCH("CLEAN RETEST REQUIRED",K222&amp;" "&amp;O222))),"Failed",IF(OR(ISNUMBER(SEARCH("NOT RUN",K222&amp;" "&amp;O222)),ISNUMBER(SEARCH("NOT IMPLEMENTED",K222&amp;" "&amp;O222))),"Not started",IF(OR(ISNUMBER(SEARCH("PARTIAL",K222&amp;" "&amp;O222)),ISNUMBER(SEARCH("PENDING",K222&amp;" "&amp;O222)),ISNUMBER(SEARCH("IN PROGRESS",K222&amp;" "&amp;O222)),ISNUMBER(SEARCH("OPEN",K222&amp;" "&amp;O222)),ISNUMBER(SEARCH("RETEST REQUIRED",K222&amp;" "&amp;O222)),ISNUMBER(SEARCH("IMPLEMENTATION UPDATED",K222&amp;" "&amp;O222)),ISNUMBER(SEARCH("REQUIRED EVERY SESSION",K222&amp;" "&amp;O222))),"Pending",IF(OR(O222="PASS",ISNUMBER(SEARCH("PASS",K222&amp;" "&amp;O222))),"Done","Pending"))))</f>
        <v>Not started</v>
      </c>
      <c r="S222" s="146" t="str">
        <f>IF(OR(LEFT(A222,9)="OPERATOR-",LEFT(A222,8)="PAYMENT-",LEFT(A222,7)="DEPLOY-"),"External","Core")</f>
        <v>External</v>
      </c>
    </row>
    <row r="223" customFormat="false" ht="15" hidden="false" customHeight="false" outlineLevel="0" collapsed="false">
      <c r="A223" s="243" t="s">
        <v>1983</v>
      </c>
      <c r="B223" s="243" t="s">
        <v>1739</v>
      </c>
      <c r="C223" s="273" t="s">
        <v>55</v>
      </c>
      <c r="D223" s="243" t="s">
        <v>1984</v>
      </c>
      <c r="E223" s="243" t="s">
        <v>1985</v>
      </c>
      <c r="F223" s="243" t="s">
        <v>4</v>
      </c>
      <c r="G223" s="243" t="s">
        <v>4</v>
      </c>
      <c r="H223" s="243" t="s">
        <v>4</v>
      </c>
      <c r="I223" s="243" t="s">
        <v>4</v>
      </c>
      <c r="J223" s="243" t="s">
        <v>1986</v>
      </c>
      <c r="K223" s="243" t="s">
        <v>132</v>
      </c>
      <c r="L223" s="243" t="s">
        <v>1</v>
      </c>
      <c r="M223" s="243" t="s">
        <v>1987</v>
      </c>
      <c r="N223" s="243" t="s">
        <v>1988</v>
      </c>
      <c r="O223" s="243" t="s">
        <v>1</v>
      </c>
      <c r="P223" s="243" t="s">
        <v>1989</v>
      </c>
      <c r="Q223" s="243" t="s">
        <v>101</v>
      </c>
      <c r="R223" s="146" t="str">
        <f>IF(OR(ISNUMBER(SEARCH("FAIL",K223&amp;" "&amp;O223)),ISNUMBER(SEARCH("CLEAN RETEST REQUIRED",K223&amp;" "&amp;O223))),"Failed",IF(OR(ISNUMBER(SEARCH("NOT RUN",K223&amp;" "&amp;O223)),ISNUMBER(SEARCH("NOT IMPLEMENTED",K223&amp;" "&amp;O223))),"Not started",IF(OR(ISNUMBER(SEARCH("PARTIAL",K223&amp;" "&amp;O223)),ISNUMBER(SEARCH("PENDING",K223&amp;" "&amp;O223)),ISNUMBER(SEARCH("IN PROGRESS",K223&amp;" "&amp;O223)),ISNUMBER(SEARCH("OPEN",K223&amp;" "&amp;O223)),ISNUMBER(SEARCH("RETEST REQUIRED",K223&amp;" "&amp;O223)),ISNUMBER(SEARCH("IMPLEMENTATION UPDATED",K223&amp;" "&amp;O223)),ISNUMBER(SEARCH("REQUIRED EVERY SESSION",K223&amp;" "&amp;O223))),"Pending",IF(OR(O223="PASS",ISNUMBER(SEARCH("PASS",K223&amp;" "&amp;O223))),"Done","Pending"))))</f>
        <v>Not started</v>
      </c>
      <c r="S223" s="146" t="str">
        <f>IF(OR(LEFT(A223,9)="OPERATOR-",LEFT(A223,8)="PAYMENT-",LEFT(A223,7)="DEPLOY-"),"External","Core")</f>
        <v>External</v>
      </c>
    </row>
    <row r="224" customFormat="false" ht="15" hidden="false" customHeight="false" outlineLevel="0" collapsed="false">
      <c r="A224" s="243" t="s">
        <v>1990</v>
      </c>
      <c r="B224" s="243" t="s">
        <v>1739</v>
      </c>
      <c r="C224" s="273" t="s">
        <v>55</v>
      </c>
      <c r="D224" s="243" t="s">
        <v>1991</v>
      </c>
      <c r="E224" s="243" t="s">
        <v>1992</v>
      </c>
      <c r="F224" s="243" t="s">
        <v>4</v>
      </c>
      <c r="G224" s="243" t="s">
        <v>1993</v>
      </c>
      <c r="H224" s="243" t="s">
        <v>4</v>
      </c>
      <c r="I224" s="243" t="s">
        <v>1994</v>
      </c>
      <c r="J224" s="243" t="s">
        <v>1995</v>
      </c>
      <c r="K224" s="243" t="s">
        <v>132</v>
      </c>
      <c r="L224" s="243" t="s">
        <v>1</v>
      </c>
      <c r="M224" s="243" t="s">
        <v>1996</v>
      </c>
      <c r="N224" s="243" t="s">
        <v>1997</v>
      </c>
      <c r="O224" s="243" t="s">
        <v>1</v>
      </c>
      <c r="P224" s="243" t="s">
        <v>1998</v>
      </c>
      <c r="Q224" s="243" t="s">
        <v>101</v>
      </c>
      <c r="R224" s="146" t="str">
        <f>IF(OR(ISNUMBER(SEARCH("FAIL",K224&amp;" "&amp;O224)),ISNUMBER(SEARCH("CLEAN RETEST REQUIRED",K224&amp;" "&amp;O224))),"Failed",IF(OR(ISNUMBER(SEARCH("NOT RUN",K224&amp;" "&amp;O224)),ISNUMBER(SEARCH("NOT IMPLEMENTED",K224&amp;" "&amp;O224))),"Not started",IF(OR(ISNUMBER(SEARCH("PARTIAL",K224&amp;" "&amp;O224)),ISNUMBER(SEARCH("PENDING",K224&amp;" "&amp;O224)),ISNUMBER(SEARCH("IN PROGRESS",K224&amp;" "&amp;O224)),ISNUMBER(SEARCH("OPEN",K224&amp;" "&amp;O224)),ISNUMBER(SEARCH("RETEST REQUIRED",K224&amp;" "&amp;O224)),ISNUMBER(SEARCH("IMPLEMENTATION UPDATED",K224&amp;" "&amp;O224)),ISNUMBER(SEARCH("REQUIRED EVERY SESSION",K224&amp;" "&amp;O224))),"Pending",IF(OR(O224="PASS",ISNUMBER(SEARCH("PASS",K224&amp;" "&amp;O224))),"Done","Pending"))))</f>
        <v>Not started</v>
      </c>
      <c r="S224" s="146" t="str">
        <f>IF(OR(LEFT(A224,9)="OPERATOR-",LEFT(A224,8)="PAYMENT-",LEFT(A224,7)="DEPLOY-"),"External","Core")</f>
        <v>External</v>
      </c>
    </row>
    <row r="225" customFormat="false" ht="15" hidden="false" customHeight="false" outlineLevel="0" collapsed="false">
      <c r="A225" s="243" t="s">
        <v>1999</v>
      </c>
      <c r="B225" s="243" t="s">
        <v>1739</v>
      </c>
      <c r="C225" s="273" t="s">
        <v>55</v>
      </c>
      <c r="D225" s="243" t="s">
        <v>2000</v>
      </c>
      <c r="E225" s="243" t="s">
        <v>2001</v>
      </c>
      <c r="F225" s="243" t="s">
        <v>4</v>
      </c>
      <c r="G225" s="243" t="s">
        <v>2002</v>
      </c>
      <c r="H225" s="243" t="s">
        <v>4</v>
      </c>
      <c r="I225" s="243" t="s">
        <v>2003</v>
      </c>
      <c r="J225" s="243" t="s">
        <v>2004</v>
      </c>
      <c r="K225" s="243" t="s">
        <v>132</v>
      </c>
      <c r="L225" s="243" t="s">
        <v>1</v>
      </c>
      <c r="M225" s="243" t="s">
        <v>2005</v>
      </c>
      <c r="N225" s="243" t="s">
        <v>2006</v>
      </c>
      <c r="O225" s="243" t="s">
        <v>1</v>
      </c>
      <c r="P225" s="243" t="s">
        <v>2007</v>
      </c>
      <c r="Q225" s="243" t="s">
        <v>101</v>
      </c>
      <c r="R225" s="146" t="str">
        <f>IF(OR(ISNUMBER(SEARCH("FAIL",K225&amp;" "&amp;O225)),ISNUMBER(SEARCH("CLEAN RETEST REQUIRED",K225&amp;" "&amp;O225))),"Failed",IF(OR(ISNUMBER(SEARCH("NOT RUN",K225&amp;" "&amp;O225)),ISNUMBER(SEARCH("NOT IMPLEMENTED",K225&amp;" "&amp;O225))),"Not started",IF(OR(ISNUMBER(SEARCH("PARTIAL",K225&amp;" "&amp;O225)),ISNUMBER(SEARCH("PENDING",K225&amp;" "&amp;O225)),ISNUMBER(SEARCH("IN PROGRESS",K225&amp;" "&amp;O225)),ISNUMBER(SEARCH("OPEN",K225&amp;" "&amp;O225)),ISNUMBER(SEARCH("RETEST REQUIRED",K225&amp;" "&amp;O225)),ISNUMBER(SEARCH("IMPLEMENTATION UPDATED",K225&amp;" "&amp;O225)),ISNUMBER(SEARCH("REQUIRED EVERY SESSION",K225&amp;" "&amp;O225))),"Pending",IF(OR(O225="PASS",ISNUMBER(SEARCH("PASS",K225&amp;" "&amp;O225))),"Done","Pending"))))</f>
        <v>Not started</v>
      </c>
      <c r="S225" s="146" t="str">
        <f>IF(OR(LEFT(A225,9)="OPERATOR-",LEFT(A225,8)="PAYMENT-",LEFT(A225,7)="DEPLOY-"),"External","Core")</f>
        <v>External</v>
      </c>
    </row>
    <row r="226" customFormat="false" ht="15" hidden="false" customHeight="false" outlineLevel="0" collapsed="false">
      <c r="A226" s="243" t="s">
        <v>2008</v>
      </c>
      <c r="B226" s="243" t="s">
        <v>1739</v>
      </c>
      <c r="C226" s="273" t="s">
        <v>55</v>
      </c>
      <c r="D226" s="243" t="s">
        <v>2009</v>
      </c>
      <c r="E226" s="243" t="s">
        <v>2010</v>
      </c>
      <c r="F226" s="243" t="s">
        <v>2011</v>
      </c>
      <c r="G226" s="243" t="s">
        <v>2012</v>
      </c>
      <c r="H226" s="243" t="s">
        <v>4</v>
      </c>
      <c r="I226" s="243" t="s">
        <v>2013</v>
      </c>
      <c r="J226" s="243" t="s">
        <v>2014</v>
      </c>
      <c r="K226" s="243" t="s">
        <v>132</v>
      </c>
      <c r="L226" s="243" t="s">
        <v>1</v>
      </c>
      <c r="M226" s="243" t="s">
        <v>2015</v>
      </c>
      <c r="N226" s="243" t="s">
        <v>2016</v>
      </c>
      <c r="O226" s="243" t="s">
        <v>1</v>
      </c>
      <c r="P226" s="243" t="s">
        <v>2017</v>
      </c>
      <c r="Q226" s="243" t="s">
        <v>101</v>
      </c>
      <c r="R226" s="146" t="str">
        <f>IF(OR(ISNUMBER(SEARCH("FAIL",K226&amp;" "&amp;O226)),ISNUMBER(SEARCH("CLEAN RETEST REQUIRED",K226&amp;" "&amp;O226))),"Failed",IF(OR(ISNUMBER(SEARCH("NOT RUN",K226&amp;" "&amp;O226)),ISNUMBER(SEARCH("NOT IMPLEMENTED",K226&amp;" "&amp;O226))),"Not started",IF(OR(ISNUMBER(SEARCH("PARTIAL",K226&amp;" "&amp;O226)),ISNUMBER(SEARCH("PENDING",K226&amp;" "&amp;O226)),ISNUMBER(SEARCH("IN PROGRESS",K226&amp;" "&amp;O226)),ISNUMBER(SEARCH("OPEN",K226&amp;" "&amp;O226)),ISNUMBER(SEARCH("RETEST REQUIRED",K226&amp;" "&amp;O226)),ISNUMBER(SEARCH("IMPLEMENTATION UPDATED",K226&amp;" "&amp;O226)),ISNUMBER(SEARCH("REQUIRED EVERY SESSION",K226&amp;" "&amp;O226))),"Pending",IF(OR(O226="PASS",ISNUMBER(SEARCH("PASS",K226&amp;" "&amp;O226))),"Done","Pending"))))</f>
        <v>Not started</v>
      </c>
      <c r="S226" s="146" t="str">
        <f>IF(OR(LEFT(A226,9)="OPERATOR-",LEFT(A226,8)="PAYMENT-",LEFT(A226,7)="DEPLOY-"),"External","Core")</f>
        <v>External</v>
      </c>
    </row>
    <row r="227" customFormat="false" ht="15" hidden="false" customHeight="false" outlineLevel="0" collapsed="false">
      <c r="A227" s="243" t="s">
        <v>2018</v>
      </c>
      <c r="B227" s="243" t="s">
        <v>1739</v>
      </c>
      <c r="C227" s="273" t="s">
        <v>55</v>
      </c>
      <c r="D227" s="243" t="s">
        <v>2019</v>
      </c>
      <c r="E227" s="243" t="s">
        <v>2020</v>
      </c>
      <c r="F227" s="243" t="s">
        <v>4</v>
      </c>
      <c r="G227" s="243" t="s">
        <v>2021</v>
      </c>
      <c r="H227" s="243" t="s">
        <v>4</v>
      </c>
      <c r="I227" s="243" t="s">
        <v>4</v>
      </c>
      <c r="J227" s="243" t="s">
        <v>2022</v>
      </c>
      <c r="K227" s="243" t="s">
        <v>132</v>
      </c>
      <c r="L227" s="243" t="s">
        <v>1</v>
      </c>
      <c r="M227" s="243" t="s">
        <v>2023</v>
      </c>
      <c r="N227" s="243" t="s">
        <v>2024</v>
      </c>
      <c r="O227" s="243" t="s">
        <v>1</v>
      </c>
      <c r="P227" s="243" t="s">
        <v>2025</v>
      </c>
      <c r="Q227" s="243" t="s">
        <v>101</v>
      </c>
      <c r="R227" s="146" t="str">
        <f>IF(OR(ISNUMBER(SEARCH("FAIL",K227&amp;" "&amp;O227)),ISNUMBER(SEARCH("CLEAN RETEST REQUIRED",K227&amp;" "&amp;O227))),"Failed",IF(OR(ISNUMBER(SEARCH("NOT RUN",K227&amp;" "&amp;O227)),ISNUMBER(SEARCH("NOT IMPLEMENTED",K227&amp;" "&amp;O227))),"Not started",IF(OR(ISNUMBER(SEARCH("PARTIAL",K227&amp;" "&amp;O227)),ISNUMBER(SEARCH("PENDING",K227&amp;" "&amp;O227)),ISNUMBER(SEARCH("IN PROGRESS",K227&amp;" "&amp;O227)),ISNUMBER(SEARCH("OPEN",K227&amp;" "&amp;O227)),ISNUMBER(SEARCH("RETEST REQUIRED",K227&amp;" "&amp;O227)),ISNUMBER(SEARCH("IMPLEMENTATION UPDATED",K227&amp;" "&amp;O227)),ISNUMBER(SEARCH("REQUIRED EVERY SESSION",K227&amp;" "&amp;O227))),"Pending",IF(OR(O227="PASS",ISNUMBER(SEARCH("PASS",K227&amp;" "&amp;O227))),"Done","Pending"))))</f>
        <v>Not started</v>
      </c>
      <c r="S227" s="146" t="str">
        <f>IF(OR(LEFT(A227,9)="OPERATOR-",LEFT(A227,8)="PAYMENT-",LEFT(A227,7)="DEPLOY-"),"External","Core")</f>
        <v>External</v>
      </c>
    </row>
    <row r="228" customFormat="false" ht="15" hidden="false" customHeight="false" outlineLevel="0" collapsed="false">
      <c r="A228" s="243" t="s">
        <v>2026</v>
      </c>
      <c r="B228" s="243" t="s">
        <v>1739</v>
      </c>
      <c r="C228" s="273" t="s">
        <v>55</v>
      </c>
      <c r="D228" s="243" t="s">
        <v>2027</v>
      </c>
      <c r="E228" s="243" t="s">
        <v>2028</v>
      </c>
      <c r="F228" s="243" t="s">
        <v>4</v>
      </c>
      <c r="G228" s="243" t="s">
        <v>2029</v>
      </c>
      <c r="H228" s="243" t="s">
        <v>4</v>
      </c>
      <c r="I228" s="243" t="s">
        <v>2030</v>
      </c>
      <c r="J228" s="243" t="s">
        <v>2031</v>
      </c>
      <c r="K228" s="243" t="s">
        <v>132</v>
      </c>
      <c r="L228" s="243" t="s">
        <v>1</v>
      </c>
      <c r="M228" s="243" t="s">
        <v>2032</v>
      </c>
      <c r="N228" s="243" t="s">
        <v>2033</v>
      </c>
      <c r="O228" s="243" t="s">
        <v>1</v>
      </c>
      <c r="P228" s="243" t="s">
        <v>2034</v>
      </c>
      <c r="Q228" s="243" t="s">
        <v>101</v>
      </c>
      <c r="R228" s="146" t="str">
        <f>IF(OR(ISNUMBER(SEARCH("FAIL",K228&amp;" "&amp;O228)),ISNUMBER(SEARCH("CLEAN RETEST REQUIRED",K228&amp;" "&amp;O228))),"Failed",IF(OR(ISNUMBER(SEARCH("NOT RUN",K228&amp;" "&amp;O228)),ISNUMBER(SEARCH("NOT IMPLEMENTED",K228&amp;" "&amp;O228))),"Not started",IF(OR(ISNUMBER(SEARCH("PARTIAL",K228&amp;" "&amp;O228)),ISNUMBER(SEARCH("PENDING",K228&amp;" "&amp;O228)),ISNUMBER(SEARCH("IN PROGRESS",K228&amp;" "&amp;O228)),ISNUMBER(SEARCH("OPEN",K228&amp;" "&amp;O228)),ISNUMBER(SEARCH("RETEST REQUIRED",K228&amp;" "&amp;O228)),ISNUMBER(SEARCH("IMPLEMENTATION UPDATED",K228&amp;" "&amp;O228)),ISNUMBER(SEARCH("REQUIRED EVERY SESSION",K228&amp;" "&amp;O228))),"Pending",IF(OR(O228="PASS",ISNUMBER(SEARCH("PASS",K228&amp;" "&amp;O228))),"Done","Pending"))))</f>
        <v>Not started</v>
      </c>
      <c r="S228" s="146" t="str">
        <f>IF(OR(LEFT(A228,9)="OPERATOR-",LEFT(A228,8)="PAYMENT-",LEFT(A228,7)="DEPLOY-"),"External","Core")</f>
        <v>External</v>
      </c>
    </row>
    <row r="229" customFormat="false" ht="15" hidden="false" customHeight="false" outlineLevel="0" collapsed="false">
      <c r="A229" s="243" t="s">
        <v>2035</v>
      </c>
      <c r="B229" s="243" t="s">
        <v>1739</v>
      </c>
      <c r="C229" s="273" t="s">
        <v>55</v>
      </c>
      <c r="D229" s="243" t="s">
        <v>2036</v>
      </c>
      <c r="E229" s="243" t="s">
        <v>2037</v>
      </c>
      <c r="F229" s="243" t="s">
        <v>4</v>
      </c>
      <c r="G229" s="243" t="s">
        <v>2038</v>
      </c>
      <c r="H229" s="243" t="s">
        <v>4</v>
      </c>
      <c r="I229" s="243" t="s">
        <v>2039</v>
      </c>
      <c r="J229" s="243" t="s">
        <v>2040</v>
      </c>
      <c r="K229" s="243" t="s">
        <v>132</v>
      </c>
      <c r="L229" s="243" t="s">
        <v>1</v>
      </c>
      <c r="M229" s="243" t="s">
        <v>2041</v>
      </c>
      <c r="N229" s="243" t="s">
        <v>2042</v>
      </c>
      <c r="O229" s="243" t="s">
        <v>1</v>
      </c>
      <c r="P229" s="243" t="s">
        <v>2043</v>
      </c>
      <c r="Q229" s="243" t="s">
        <v>101</v>
      </c>
      <c r="R229" s="146" t="str">
        <f>IF(OR(ISNUMBER(SEARCH("FAIL",K229&amp;" "&amp;O229)),ISNUMBER(SEARCH("CLEAN RETEST REQUIRED",K229&amp;" "&amp;O229))),"Failed",IF(OR(ISNUMBER(SEARCH("NOT RUN",K229&amp;" "&amp;O229)),ISNUMBER(SEARCH("NOT IMPLEMENTED",K229&amp;" "&amp;O229))),"Not started",IF(OR(ISNUMBER(SEARCH("PARTIAL",K229&amp;" "&amp;O229)),ISNUMBER(SEARCH("PENDING",K229&amp;" "&amp;O229)),ISNUMBER(SEARCH("IN PROGRESS",K229&amp;" "&amp;O229)),ISNUMBER(SEARCH("OPEN",K229&amp;" "&amp;O229)),ISNUMBER(SEARCH("RETEST REQUIRED",K229&amp;" "&amp;O229)),ISNUMBER(SEARCH("IMPLEMENTATION UPDATED",K229&amp;" "&amp;O229)),ISNUMBER(SEARCH("REQUIRED EVERY SESSION",K229&amp;" "&amp;O229))),"Pending",IF(OR(O229="PASS",ISNUMBER(SEARCH("PASS",K229&amp;" "&amp;O229))),"Done","Pending"))))</f>
        <v>Not started</v>
      </c>
      <c r="S229" s="146" t="str">
        <f>IF(OR(LEFT(A229,9)="OPERATOR-",LEFT(A229,8)="PAYMENT-",LEFT(A229,7)="DEPLOY-"),"External","Core")</f>
        <v>External</v>
      </c>
    </row>
    <row r="230" customFormat="false" ht="15" hidden="false" customHeight="false" outlineLevel="0" collapsed="false">
      <c r="A230" s="243" t="s">
        <v>2044</v>
      </c>
      <c r="B230" s="243" t="s">
        <v>1739</v>
      </c>
      <c r="C230" s="273" t="s">
        <v>55</v>
      </c>
      <c r="D230" s="243" t="s">
        <v>2045</v>
      </c>
      <c r="E230" s="243" t="s">
        <v>2046</v>
      </c>
      <c r="F230" s="243" t="s">
        <v>4</v>
      </c>
      <c r="G230" s="243" t="s">
        <v>2047</v>
      </c>
      <c r="H230" s="243" t="s">
        <v>4</v>
      </c>
      <c r="I230" s="243" t="s">
        <v>4</v>
      </c>
      <c r="J230" s="243" t="s">
        <v>2048</v>
      </c>
      <c r="K230" s="243" t="s">
        <v>132</v>
      </c>
      <c r="L230" s="243" t="s">
        <v>1</v>
      </c>
      <c r="M230" s="243" t="s">
        <v>2049</v>
      </c>
      <c r="N230" s="243" t="s">
        <v>2050</v>
      </c>
      <c r="O230" s="243" t="s">
        <v>1</v>
      </c>
      <c r="P230" s="243" t="s">
        <v>2051</v>
      </c>
      <c r="Q230" s="243" t="s">
        <v>101</v>
      </c>
      <c r="R230" s="146" t="str">
        <f>IF(OR(ISNUMBER(SEARCH("FAIL",K230&amp;" "&amp;O230)),ISNUMBER(SEARCH("CLEAN RETEST REQUIRED",K230&amp;" "&amp;O230))),"Failed",IF(OR(ISNUMBER(SEARCH("NOT RUN",K230&amp;" "&amp;O230)),ISNUMBER(SEARCH("NOT IMPLEMENTED",K230&amp;" "&amp;O230))),"Not started",IF(OR(ISNUMBER(SEARCH("PARTIAL",K230&amp;" "&amp;O230)),ISNUMBER(SEARCH("PENDING",K230&amp;" "&amp;O230)),ISNUMBER(SEARCH("IN PROGRESS",K230&amp;" "&amp;O230)),ISNUMBER(SEARCH("OPEN",K230&amp;" "&amp;O230)),ISNUMBER(SEARCH("RETEST REQUIRED",K230&amp;" "&amp;O230)),ISNUMBER(SEARCH("IMPLEMENTATION UPDATED",K230&amp;" "&amp;O230)),ISNUMBER(SEARCH("REQUIRED EVERY SESSION",K230&amp;" "&amp;O230))),"Pending",IF(OR(O230="PASS",ISNUMBER(SEARCH("PASS",K230&amp;" "&amp;O230))),"Done","Pending"))))</f>
        <v>Not started</v>
      </c>
      <c r="S230" s="146" t="str">
        <f>IF(OR(LEFT(A230,9)="OPERATOR-",LEFT(A230,8)="PAYMENT-",LEFT(A230,7)="DEPLOY-"),"External","Core")</f>
        <v>External</v>
      </c>
    </row>
  </sheetData>
  <mergeCells count="39">
    <mergeCell ref="A1:B1"/>
    <mergeCell ref="A8:Q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Q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