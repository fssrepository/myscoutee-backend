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<sst xmlns="http://schemas.openxmlformats.org/spreadsheetml/2006/main" count="2380" uniqueCount="1140">
  <si>
    <t>EFFECT / SCOPE MARKERS</t>
  </si>
  <si>
    <t/>
  </si>
  <si>
    <t>Done</t>
  </si>
  <si>
    <t>101 (97%)</t>
  </si>
  <si>
    <t>X</t>
  </si>
  <si>
    <t>No expected effect — An unchanged X cell is PASS</t>
  </si>
  <si>
    <t>Pending</t>
  </si>
  <si>
    <t>3</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</si>
  <si>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</si>
  <si>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</si>
  <si>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</si>
  <si>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</si>
  <si>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</si>
  <si>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</si>
  <si>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</si>
  <si>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</si>
  <si>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</si>
  <si>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</si>
  <si>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</si>
  <si>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</si>
  <si>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</si>
  <si>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</si>
  <si>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</si>
  <si>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</si>
  <si>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</si>
  <si>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</si>
  <si>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</si>
  <si>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</si>
  <si>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</si>
  <si>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</si>
  <si>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</si>
  <si>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</si>
  <si>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</si>
  <si>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</si>
  <si>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</si>
  <si>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</si>
  <si>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</si>
  <si>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</si>
  <si>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</si>
  <si>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</si>
  <si>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</si>
  <si>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</si>
  <si>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</si>
  <si>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</si>
  <si>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</si>
  <si>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</si>
  <si>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</si>
  <si>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</si>
  <si>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</si>
  <si>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</si>
  <si>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</si>
  <si>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</si>
  <si>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</si>
  <si>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</si>
  <si>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</si>
  <si>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</si>
  <si>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</si>
  <si>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</si>
  <si>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</si>
  <si>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</si>
  <si>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</si>
  <si>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</si>
  <si>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</si>
  <si>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</si>
  <si>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</si>
  <si>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</si>
  <si>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</si>
  <si>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</si>
  <si>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</si>
  <si>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</si>
  <si>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</si>
  <si>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</si>
  <si>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</si>
  <si>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</si>
  <si>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</si>
  <si>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</si>
  <si>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</si>
  <si>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</si>
  <si>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</si>
  <si>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</si>
  <si>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</si>
  <si>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</si>
  <si>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</si>
  <si>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</si>
  <si>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</si>
  <si>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</si>
  <si>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</si>
  <si>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</si>
  <si>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</si>
  <si>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</si>
  <si>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</si>
  <si>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</si>
  <si>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</si>
  <si>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</si>
  <si>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</si>
  <si>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</si>
  <si>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</si>
  <si>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</si>
  <si>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</si>
  <si>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</si>
  <si>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</si>
  <si>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</si>
  <si>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</si>
  <si>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</si>
  <si>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</si>
  <si>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</si>
  <si>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</si>
  <si>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</si>
  <si>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</si>
  <si>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</si>
  <si>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</si>
  <si>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</si>
  <si>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</si>
  <si>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</si>
  <si>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</si>
  <si>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</si>
  <si>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</si>
  <si>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</si>
  <si>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</si>
  <si>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</si>
  <si>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</si>
  <si>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</si>
  <si>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</si>
  <si>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</si>
  <si>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</si>
  <si>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</si>
  <si>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</si>
  <si>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</si>
  <si>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</si>
  <si>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</si>
  <si>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</si>
  <si>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</si>
  <si>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</si>
  <si>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</si>
  <si>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</si>
  <si>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</si>
  <si>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</si>
  <si>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</si>
  <si>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</si>
  <si>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</si>
  <si>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</si>
  <si>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</si>
  <si>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</si>
  <si>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</si>
  <si>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</si>
  <si>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</si>
  <si>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</si>
  <si>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</si>
  <si>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</si>
  <si>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</si>
  <si>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</si>
  <si>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</si>
  <si>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</si>
  <si>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</si>
  <si>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</si>
  <si>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</si>
  <si>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</si>
  <si>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</si>
  <si>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</si>
  <si>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</si>
  <si>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</si>
  <si>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</si>
  <si>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</si>
  <si>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</si>
  <si>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</si>
  <si>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</si>
  <si>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</si>
  <si>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</si>
  <si>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</si>
  <si>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</si>
  <si>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</si>
  <si>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</si>
  <si>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</si>
  <si>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</si>
  <si>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</si>
  <si>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</si>
  <si>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</si>
  <si>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</si>
  <si>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</si>
  <si>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</si>
  <si>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</si>
  <si>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</si>
  <si>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</si>
  <si>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</si>
  <si>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</si>
  <si>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</si>
  <si>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</si>
  <si>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</si>
  <si>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</si>
  <si>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</si>
  <si>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</si>
  <si>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</si>
  <si>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</si>
  <si>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</si>
  <si>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</si>
  <si>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</si>
  <si>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</si>
  <si>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</si>
  <si>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</si>
  <si>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</si>
  <si>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</si>
  <si>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</si>
  <si>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</si>
  <si>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</si>
  <si>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</si>
  <si>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</si>
  <si>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</si>
  <si>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</si>
  <si>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</si>
  <si>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</si>
  <si>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</si>
  <si>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</si>
  <si>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</si>
  <si>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</si>
  <si>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</si>
  <si>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</si>
  <si>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</si>
  <si>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</si>
  <si>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</si>
  <si>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</si>
  <si>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</si>
  <si>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</si>
  <si>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</si>
  <si>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</si>
  <si>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</si>
  <si>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</si>
  <si>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</si>
  <si>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</si>
  <si>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</si>
  <si>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</si>
  <si>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</si>
  <si>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</si>
  <si>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</si>
  <si>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</si>
  <si>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</si>
  <si>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</si>
  <si>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</si>
  <si>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</si>
  <si>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</si>
  <si>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</si>
  <si>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</si>
  <si>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</si>
  <si>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</si>
  <si>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</si>
  <si>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</si>
  <si>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</si>
  <si>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</si>
  <si>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</si>
  <si>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</si>
  <si>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</si>
  <si>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</si>
  <si>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</si>
  <si>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</si>
  <si>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</si>
  <si>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</si>
  <si>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</si>
  <si>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</si>
  <si>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</si>
  <si>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</si>
  <si>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</si>
  <si>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</si>
  <si>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</si>
  <si>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</si>
  <si>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</si>
  <si>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</si>
  <si>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</si>
  <si>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</si>
  <si>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</si>
  <si>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</si>
  <si>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</si>
  <si>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</si>
  <si>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</si>
  <si>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</si>
  <si>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</si>
  <si>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</si>
  <si>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</si>
  <si>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</si>
  <si>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</si>
  <si>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</si>
  <si>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</si>
  <si>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</si>
  <si>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</si>
  <si>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</si>
  <si>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</si>
  <si>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</si>
  <si>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</si>
  <si>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</si>
  <si>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</si>
  <si>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</si>
  <si>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</si>
  <si>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</si>
  <si>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</si>
  <si>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</si>
  <si>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</si>
  <si>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</si>
  <si>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</si>
  <si>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</si>
  <si>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</si>
  <si>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</si>
  <si>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</si>
  <si>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</si>
  <si>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</si>
  <si>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</si>
  <si>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</si>
  <si>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</si>
  <si>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</si>
  <si>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</si>
  <si>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</si>
  <si>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</si>
  <si>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</si>
  <si>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</si>
  <si>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</si>
  <si>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</si>
  <si>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</si>
  <si>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</si>
  <si>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</si>
  <si>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</si>
  <si>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</si>
  <si>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</si>
  <si>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</si>
  <si>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</si>
  <si>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</si>
  <si>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</si>
  <si>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</si>
  <si>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</si>
  <si>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</si>
  <si>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</si>
  <si>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</si>
  <si>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</si>
  <si>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</si>
  <si>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</si>
  <si>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</si>
  <si>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</si>
  <si>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</si>
  <si>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</si>
  <si>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</si>
  <si>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</si>
  <si>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</si>
  <si>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</si>
  <si>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</si>
  <si>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</si>
  <si>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</si>
  <si>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</si>
  <si>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</si>
  <si>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</si>
  <si>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</si>
  <si>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</si>
  <si>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</si>
  <si>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</si>
  <si>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</si>
  <si>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</si>
  <si>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</si>
  <si>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</si>
  <si>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</si>
  <si>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</si>
  <si>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</si>
  <si>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</si>
  <si>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</si>
  <si>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</si>
  <si>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</si>
  <si>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</si>
  <si>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</si>
  <si>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</si>
  <si>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</si>
  <si>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</si>
  <si>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</si>
  <si>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</si>
  <si>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</si>
  <si>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</si>
  <si>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</si>
  <si>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</si>
  <si>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</si>
  <si>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</si>
  <si>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</si>
  <si>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</si>
  <si>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</si>
  <si>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</si>
  <si>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</si>
  <si>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</si>
  <si>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</si>
  <si>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</si>
  <si>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</si>
  <si>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</si>
  <si>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</si>
  <si>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</si>
  <si>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</si>
  <si>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</si>
  <si>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</si>
  <si>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</si>
  <si>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</si>
  <si>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</si>
  <si>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</si>
  <si>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</si>
  <si>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</si>
  <si>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</si>
  <si>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</si>
  <si>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</si>
  <si>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</si>
  <si>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</si>
  <si>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</si>
  <si>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</si>
  <si>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</si>
  <si>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</si>
  <si>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</si>
  <si>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</si>
  <si>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</si>
  <si>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</si>
  <si>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</si>
  <si>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</si>
  <si>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</si>
  <si>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</si>
  <si>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</si>
  <si>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</si>
  <si>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</si>
  <si>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</si>
  <si>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</si>
  <si>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</si>
  <si>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</si>
  <si>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</si>
  <si>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</si>
  <si>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</si>
  <si>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</si>
  <si>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</si>
  <si>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</si>
  <si>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</si>
  <si>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</si>
  <si>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</si>
  <si>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</si>
  <si>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</si>
  <si>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</si>
  <si>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</si>
  <si>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</si>
  <si>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</si>
  <si>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</si>
  <si>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</si>
  <si>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</si>
  <si>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</si>
  <si>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</si>
  <si>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</si>
  <si>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</si>
  <si>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</si>
  <si>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</si>
  <si>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</si>
  <si>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</si>
  <si>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</si>
  <si>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</si>
  <si>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</si>
  <si>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</si>
  <si>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</si>
  <si>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</si>
  <si>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</si>
  <si>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</si>
  <si>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</si>
  <si>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</si>
  <si>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</si>
  <si>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</si>
  <si>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</si>
  <si>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</si>
  <si>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</si>
  <si>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</si>
  <si>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</si>
  <si>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</si>
  <si>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</si>
  <si>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</si>
  <si>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</si>
  <si>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</si>
  <si>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</si>
  <si>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</si>
  <si>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</si>
  <si>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</si>
  <si>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</si>
  <si>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</si>
  <si>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</si>
  <si>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</si>
  <si>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</si>
  <si>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</si>
  <si>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</si>
  <si>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</si>
  <si>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</si>
  <si>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</si>
  <si>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</si>
  <si>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</si>
  <si>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</si>
  <si>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</si>
  <si>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</si>
  <si>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</si>
  <si>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</si>
  <si>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</si>
  <si>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</si>
  <si>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</si>
  <si>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</si>
  <si>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</si>
  <si>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</si>
  <si>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</si>
  <si>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</si>
  <si>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</si>
  <si>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</si>
  <si>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</si>
  <si>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</si>
  <si>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</si>
  <si>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</si>
  <si>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</si>
  <si>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</si>
  <si>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</si>
  <si>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</si>
  <si>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</si>
  <si>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</si>
  <si>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</si>
  <si>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</si>
  <si>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</si>
  <si>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</si>
  <si>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</si>
  <si>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</si>
  <si>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</si>
  <si>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</si>
  <si>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</si>
  <si>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</si>
  <si>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</si>
  <si>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</si>
  <si>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</si>
  <si>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</si>
  <si>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</si>
  <si>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</si>
  <si>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</si>
  <si>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</si>
  <si>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</si>
  <si>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</si>
  <si>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</si>
  <si>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</si>
  <si>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</si>
  <si>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</si>
  <si>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</si>
  <si>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</si>
  <si>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</si>
  <si>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</si>
  <si>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</si>
  <si>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</si>
  <si>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</si>
  <si>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</si>
  <si>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</si>
  <si>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</si>
  <si>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</si>
  <si>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</si>
  <si>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</si>
  <si>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</si>
  <si>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</si>
  <si>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</si>
  <si>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</si>
  <si>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</si>
  <si>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</si>
  <si>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</si>
  <si>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</si>
  <si>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</si>
  <si>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</si>
  <si>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</si>
  <si>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</si>
  <si>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</si>
  <si>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</si>
  <si>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</si>
  <si>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</si>
  <si>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</si>
  <si>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</si>
  <si>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</si>
  <si>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</si>
  <si>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</si>
  <si>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</si>
  <si>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</si>
  <si>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</si>
  <si>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</si>
  <si>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</si>
  <si>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</si>
  <si>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</si>
  <si>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</si>
  <si>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</si>
  <si>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</si>
  <si>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</si>
  <si>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</si>
  <si>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</si>
  <si>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</si>
  <si>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</si>
  <si>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</si>
  <si>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</si>
  <si>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</si>
  <si>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</si>
  <si>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</si>
  <si>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</si>
  <si>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</si>
  <si>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</si>
  <si>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</si>
  <si>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</si>
  <si>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</si>
  <si>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</si>
  <si>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</si>
  <si>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</si>
  <si>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</si>
  <si>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</si>
  <si>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</si>
  <si>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</si>
  <si>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</si>
  <si>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</si>
  <si>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</si>
  <si>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</si>
  <si>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</si>
  <si>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</si>
  <si>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</si>
  <si>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</si>
  <si>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</si>
  <si>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</si>
  <si>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</si>
  <si>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</si>
  <si>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</si>
  <si>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</si>
  <si>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</si>
  <si>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</si>
  <si>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</si>
  <si>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</si>
  <si>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</si>
  <si>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</si>
  <si>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</si>
  <si>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</si>
  <si>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</si>
  <si>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</si>
  <si>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</si>
  <si>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</si>
  <si>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</si>
  <si>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</si>
  <si>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</si>
  <si>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</si>
  <si>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</si>
  <si>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</si>
  <si>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</si>
  <si>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</si>
  <si>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</si>
  <si>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</si>
  <si>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</si>
  <si>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</si>
  <si>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</si>
  <si>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</si>
  <si>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</si>
  <si>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</si>
  <si>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</si>
  <si>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</si>
  <si>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</si>
  <si>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</si>
  <si>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</si>
  <si>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</si>
  <si>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</si>
  <si>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</si>
  <si>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</si>
  <si>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</si>
  <si>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</si>
  <si>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</si>
  <si>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</si>
  <si>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</si>
  <si>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</si>
  <si>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</si>
  <si>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</si>
  <si>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</si>
  <si>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</si>
  <si>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</si>
  <si>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</si>
  <si>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</si>
  <si>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</si>
  <si>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</si>
  <si>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</si>
  <si>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</si>
  <si>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</si>
  <si>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</si>
  <si>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</si>
  <si>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</si>
  <si>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</si>
  <si>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</si>
  <si>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</si>
  <si>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</si>
  <si>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</si>
  <si>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</si>
  <si>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</si>
  <si>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</si>
  <si>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</si>
  <si>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</si>
  <si>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</si>
  <si>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</si>
  <si>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</si>
  <si>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</si>
  <si>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</si>
  <si>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</si>
  <si>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</si>
  <si>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</si>
  <si>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</si>
  <si>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</si>
  <si>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</si>
  <si>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</si>
  <si>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</si>
  <si>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</si>
  <si>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</si>
  <si>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</si>
  <si>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</si>
  <si>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</si>
  <si>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</si>
  <si>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</si>
  <si>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</si>
  <si>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</si>
  <si>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</si>
  <si>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</si>
  <si>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</si>
  <si>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</si>
  <si>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</si>
  <si>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</si>
  <si>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</si>
  <si>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</si>
  <si>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</si>
  <si>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</si>
  <si>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</si>
  <si>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</si>
  <si>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</si>
  <si>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</si>
  <si>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</si>
  <si>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</si>
  <si>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</si>
  <si>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</si>
  <si>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</si>
  <si>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</si>
  <si>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</si>
  <si>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</si>
  <si>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</si>
  <si>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</si>
  <si>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</si>
  <si>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</si>
  <si>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</si>
  <si>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</si>
  <si>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</si>
  <si>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</si>
  <si>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</si>
  <si>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</si>
  <si>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</si>
  <si>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</si>
  <si>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</si>
  <si>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</si>
  <si>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</si>
  <si>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</si>
  <si>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</si>
  <si>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</si>
  <si>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</si>
  <si>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</si>
  <si>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</si>
  <si>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</si>
  <si>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</si>
  <si>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</si>
  <si>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</si>
  <si>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</si>
  <si>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</si>
  <si>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</si>
  <si>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</si>
  <si>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</si>
  <si>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</si>
  <si>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</si>
  <si>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</si>
  <si>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</si>
  <si>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</si>
  <si>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</si>
  <si>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</si>
  <si>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</si>
  <si>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</si>
  <si>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</si>
  <si>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</si>
  <si>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</si>
  <si>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</si>
  <si>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</si>
  <si>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</si>
  <si>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</si>
  <si>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</si>
  <si>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</si>
  <si>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</si>
  <si>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</si>
  <si>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</si>
  <si>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</si>
  <si>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</si>
  <si>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</si>
  <si>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</si>
  <si>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</si>
  <si>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</si>
  <si>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</si>
  <si>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</si>
  <si>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</si>
  <si>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</si>
  <si>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</si>
  <si>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</si>
  <si>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</si>
  <si>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</si>
  <si>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</si>
  <si>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</si>
  <si>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</si>
  <si>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</si>
  <si>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</si>
  <si>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</si>
  <si>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</si>
  <si>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</si>
  <si>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</si>
  <si>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</si>
  <si>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</si>
  <si>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</si>
  <si>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</si>
  <si>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</si>
  <si>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</si>
  <si>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</si>
  <si>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</si>
  <si>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</si>
  <si>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</si>
  <si>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</si>
  <si>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</si>
  <si>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</si>
  <si>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</si>
  <si>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</si>
  <si>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</si>
  <si>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</si>
  <si>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</si>
  <si>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</si>
  <si>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</si>
  <si>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</si>
  <si>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</si>
  <si>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</si>
  <si>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</si>
  <si>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</si>
  <si>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</si>
  <si>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</si>
  <si>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</si>
  <si>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</si>
  <si>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</si>
  <si>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</si>
  <si>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</si>
  <si>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</si>
  <si>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</si>
  <si>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</si>
  <si>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</si>
  <si>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</si>
  <si>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</si>
  <si>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</si>
  <si>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</si>
  <si>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</si>
  <si>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</si>
  <si>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</si>
  <si>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</si>
  <si>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</si>
  <si>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</si>
  <si>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</si>
  <si>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</si>
  <si>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</si>
  <si>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</si>
  <si>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</si>
  <si>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</si>
  <si>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</si>
  <si>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</si>
  <si>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</si>
  <si>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</si>
  <si>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</si>
  <si>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</si>
  <si>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</si>
  <si>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</si>
  <si>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</si>
  <si>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</si>
  <si>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</si>
  <si>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</si>
  <si>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</si>
  <si>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</si>
  <si>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</si>
  <si>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</si>
  <si>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</si>
  <si>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</si>
  <si>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</si>
  <si>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</si>
  <si>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</si>
  <si>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</si>
  <si>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</si>
  <si>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</si>
  <si>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</si>
  <si>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</si>
  <si>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</si>
  <si>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</si>
  <si>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</si>
  <si>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</si>
  <si>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</si>
  <si>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</si>
  <si>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</si>
  <si>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</si>
  <si>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</si>
  <si>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</si>
  <si>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</si>
  <si>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</si>
  <si>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</si>
  <si>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</si>
  <si>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</si>
  <si>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</si>
  <si>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</si>
  <si>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</si>
  <si>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</si>
  <si>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</si>
  <si>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</si>
  <si>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</si>
  <si>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</si>
  <si>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</si>
  <si>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</si>
  <si>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</si>
  <si>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</si>
  <si>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</si>
  <si>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</si>
  <si>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</si>
  <si>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</si>
  <si>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</si>
  <si>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</si>
  <si>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</si>
  <si>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</si>
  <si>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</si>
  <si>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</si>
  <si>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</si>
  <si>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</si>
  <si>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</si>
  <si>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</si>
  <si>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</si>
  <si>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</si>
  <si>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</si>
  <si>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</si>
  <si>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</si>
  <si>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</si>
  <si>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</si>
  <si>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</si>
  <si>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</si>
  <si>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</si>
  <si>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</si>
  <si>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</si>
  <si>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</si>
  <si>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</si>
  <si>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</si>
  <si>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</si>
  <si>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</si>
  <si>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</si>
  <si>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</si>
  <si>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</si>
  <si>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</si>
  <si>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</si>
  <si>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</si>
  <si>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</si>
  <si>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</si>
  <si>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</si>
  <si>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</si>
  <si>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</si>
  <si>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</si>
  <si>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</si>
  <si>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</si>
  <si>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</si>
  <si>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</si>
  <si>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</si>
  <si>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</si>
  <si>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</si>
  <si>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</si>
  <si>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</si>
  <si>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</si>
  <si>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</si>
  <si>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</si>
  <si>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</si>
  <si>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</si>
  <si>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</si>
  <si>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</si>
  <si>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</si>
  <si>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</si>
  <si>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</si>
  <si>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</si>
  <si>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</si>
  <si>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</si>
  <si>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</si>
  <si>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</si>
  <si>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</si>
  <si>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</si>
  <si>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</si>
  <si>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</si>
  <si>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</si>
  <si>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</si>
  <si>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</si>
  <si>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</si>
  <si>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</si>
  <si>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</si>
  <si>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</si>
  <si>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</si>
  <si>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</si>
  <si>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</si>
  <si>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</si>
  <si>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</si>
  <si>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</si>
  <si>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</si>
  <si>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</si>
  <si>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</si>
  <si>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</si>
  <si>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</si>
  <si>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</si>
  <si>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</si>
  <si>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</si>
  <si>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</si>
  <si>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</si>
  <si>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</si>
  <si>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</si>
  <si>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</si>
  <si>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</si>
  <si>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</si>
  <si>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</si>
  <si>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</si>
  <si>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</si>
  <si>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</si>
  <si>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</si>
  <si>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</si>
  <si>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</si>
  <si>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</si>
  <si>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</si>
  <si>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</si>
  <si>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</si>
  <si>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</si>
  <si>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</si>
  <si>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</si>
  <si>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</si>
  <si>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</si>
  <si>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</si>
  <si>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</si>
  <si>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</si>
  <si>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</si>
  <si>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</si>
  <si>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</si>
  <si>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</si>
  <si>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</si>
  <si>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</si>
  <si>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</si>
  <si>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</si>
  <si>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</si>
  <si>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</si>
  <si>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</si>
  <si>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</si>
  <si>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</si>
  <si>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</si>
  <si>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</si>
  <si>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</si>
  <si>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</si>
  <si>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</si>
  <si>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</si>
  <si>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</si>
  <si>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</si>
  <si>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</si>
  <si>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</si>
  <si>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</si>
  <si>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</si>
  <si>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</si>
  <si>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</si>
  <si>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</si>
  <si>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</si>
  <si>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</si>
  <si>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</si>
  <si>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</si>
  <si>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</si>
  <si>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</si>
  <si>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</si>
  <si>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</si>
  <si>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</si>
  <si>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</si>
  <si>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</si>
  <si>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</si>
  <si>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</si>
  <si>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</si>
  <si>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</si>
  <si>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</si>
  <si>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</si>
  <si>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</si>
  <si>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</si>
  <si>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</si>
  <si>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</si>
  <si>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</si>
  <si>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</si>
  <si>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</si>
  <si>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</si>
  <si>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</si>
  <si>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</si>
  <si>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</si>
  <si>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</si>
  <si>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</si>
  <si>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</si>
  <si>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</si>
  <si>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</si>
  <si>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</si>
  <si>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</si>
  <si>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</si>
  <si>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</si>
  <si>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</si>
  <si>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</si>
  <si>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</si>
  <si>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</si>
  <si>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</si>
  <si>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</si>
  <si>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</si>
  <si>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</si>
  <si>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</si>
  <si>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</si>
  <si>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</si>
  <si>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</si>
  <si>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</si>
  <si>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</si>
  <si>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</si>
  <si>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</si>
  <si>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</si>
  <si>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</si>
  <si>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</si>
  <si>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</si>
  <si>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</si>
  <si>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</si>
  <si>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</si>
  <si>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</si>
  <si>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</si>
  <si>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</si>
  <si>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</si>
  <si>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</si>
  <si>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</si>
  <si>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</si>
  <si>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</si>
  <si>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</si>
  <si>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</si>
  <si>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</si>
  <si>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</si>
  <si>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</si>
  <si>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</si>
  <si>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</si>
  <si>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</si>
  <si>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IN PROGRESS</t>
  </si>
  <si>
    <t>Signature, corruption, downgrade, rollback and interrupted-worker branches belong to packaging/update automation</t>
  </si>
  <si>
    <t>Qualify restart-tracking source fix and implement/test exact-package UI rollback. Historical QA2 lacks Rollback and its discovery requires Registry. Controlled failure and managed HTTPS remain.</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</si>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</sst>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6" t="s">
        <v>1119</v>
      </c>
      <c r="B118" s="136" t="s">
        <v>154</v>
      </c>
      <c r="C118" s="243" t="s">
        <v>49</v>
      </c>
      <c r="D118" s="136" t="s">
        <v>1120</v>
      </c>
      <c r="E118" s="136" t="s">
        <v>1121</v>
      </c>
      <c r="F118" s="136" t="s">
        <v>4</v>
      </c>
      <c r="G118" s="136" t="s">
        <v>1122</v>
      </c>
      <c r="H118" s="136" t="s">
        <v>4</v>
      </c>
      <c r="I118" s="136" t="s">
        <v>1123</v>
      </c>
      <c r="J118" s="136" t="s">
        <v>1124</v>
      </c>
      <c r="K118" s="136" t="s">
        <v>1125</v>
      </c>
      <c r="L118" s="136" t="s">
        <v>1</v>
      </c>
      <c r="M118" s="136" t="s">
        <v>1</v>
      </c>
      <c r="N118" s="136" t="s">
        <v>1071</v>
      </c>
      <c r="O118" s="136" t="s">
        <v>1126</v>
      </c>
      <c r="P118" s="136" t="s">
        <v>1127</v>
      </c>
      <c r="Q118" s="136" t="s">
        <v>1</v>
      </c>
      <c r="R118" s="136" t="s">
        <v>1128</v>
      </c>
      <c r="S118" s="136" t="s">
        <v>110</v>
      </c>
      <c r="T118" s="136"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V118" s="146">
        <f>IF(T118="","",VALUE(LEFT(T118,SEARCH("/",T118)-1)))</f>
        <v>30</v>
      </c>
      <c r="W118" s="146">
        <f>IF(T118="","",VALUE(MID(T118,SEARCH("/",T118)+1,LEN(T118))))</f>
        <v>80</v>
      </c>
    </row>
    <row r="119" customFormat="false" ht="15" hidden="false" customHeight="false" outlineLevel="0" collapsed="false">
      <c r="A119" s="135" t="s">
        <v>1130</v>
      </c>
      <c r="B119" s="135" t="s">
        <v>154</v>
      </c>
      <c r="C119" s="243" t="s">
        <v>49</v>
      </c>
      <c r="D119" s="135" t="s">
        <v>1131</v>
      </c>
      <c r="E119" s="135" t="s">
        <v>1132</v>
      </c>
      <c r="F119" s="135" t="s">
        <v>1133</v>
      </c>
      <c r="G119" s="135" t="s">
        <v>1134</v>
      </c>
      <c r="H119" s="135" t="s">
        <v>4</v>
      </c>
      <c r="I119" s="135" t="s">
        <v>1135</v>
      </c>
      <c r="J119" s="135" t="s">
        <v>1136</v>
      </c>
      <c r="K119" s="135" t="s">
        <v>85</v>
      </c>
      <c r="L119" s="135" t="s">
        <v>85</v>
      </c>
      <c r="M119" s="135" t="s">
        <v>1</v>
      </c>
      <c r="N119" s="135" t="s">
        <v>1071</v>
      </c>
      <c r="O119" s="135" t="s">
        <v>1137</v>
      </c>
      <c r="P119" s="135" t="s">
        <v>1138</v>
      </c>
      <c r="Q119" s="135" t="s">
        <v>85</v>
      </c>
      <c r="R119" s="135" t="s">
        <v>1139</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