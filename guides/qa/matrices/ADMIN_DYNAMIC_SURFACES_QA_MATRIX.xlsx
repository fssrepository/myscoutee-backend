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<sst xmlns="http://schemas.openxmlformats.org/spreadsheetml/2006/main" count="2360" uniqueCount="1139">
  <si>
    <t>EFFECT / SCOPE MARKERS</t>
  </si>
  <si>
    <t/>
  </si>
  <si>
    <t>Done</t>
  </si>
  <si>
    <t>88 (85%)</t>
  </si>
  <si>
    <t>X</t>
  </si>
  <si>
    <t>No expected effect — An unchanged X cell is PASS</t>
  </si>
  <si>
    <t>Pending</t>
  </si>
  <si>
    <t>7</t>
  </si>
  <si>
    <t>DELTA</t>
  </si>
  <si>
    <t>Required direct effect — Record before/after count and direction</t>
  </si>
  <si>
    <t>Not started</t>
  </si>
  <si>
    <t>8</t>
  </si>
  <si>
    <t>INDIRECT</t>
  </si>
  <si>
    <t>Conditional effect — State the condition and prove it occurred</t>
  </si>
  <si>
    <t>Failed</t>
  </si>
  <si>
    <t>0</t>
  </si>
  <si>
    <t>GAP</t>
  </si>
  <si>
    <t>Known observability gap — Record FAIL/GAP separately from domain PASS</t>
  </si>
  <si>
    <t>Total</t>
  </si>
  <si>
    <t>103</t>
  </si>
  <si>
    <t>DOMAIN PRIORITY</t>
  </si>
  <si>
    <t>QA domain</t>
  </si>
  <si>
    <t>Priority</t>
  </si>
  <si>
    <t>Progress / remaining min/max</t>
  </si>
  <si>
    <t>QA infrastructure</t>
  </si>
  <si>
    <t>14</t>
  </si>
  <si>
    <t>2 passed / 2 total (100%) · 0/0</t>
  </si>
  <si>
    <t>Asset</t>
  </si>
  <si>
    <t>9</t>
  </si>
  <si>
    <t>4 passed / 6 total (67%) · 255/605</t>
  </si>
  <si>
    <t>Identity &amp; access</t>
  </si>
  <si>
    <t>13</t>
  </si>
  <si>
    <t>8 passed / 8 total (100%) · 0/0</t>
  </si>
  <si>
    <t>Content</t>
  </si>
  <si>
    <t>3 passed / 3 total (100%) · 0/0</t>
  </si>
  <si>
    <t>Event</t>
  </si>
  <si>
    <t>12</t>
  </si>
  <si>
    <t>49 passed / 49 total (100%) · 0/0</t>
  </si>
  <si>
    <t>Notifications</t>
  </si>
  <si>
    <t>0 passed / 6 total (0%) · 410/995</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</si>
  <si>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</si>
  <si>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</si>
  <si>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</si>
  <si>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</si>
  <si>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</si>
  <si>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</si>
  <si>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</si>
  <si>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</si>
  <si>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</si>
  <si>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</si>
  <si>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</si>
  <si>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</si>
  <si>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</si>
  <si>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</si>
  <si>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</si>
  <si>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</si>
  <si>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</si>
  <si>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</si>
  <si>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</si>
  <si>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</si>
  <si>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</si>
  <si>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</si>
  <si>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</si>
  <si>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</si>
  <si>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</si>
  <si>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</si>
  <si>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</si>
  <si>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</si>
  <si>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</si>
  <si>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</si>
  <si>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</si>
  <si>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</si>
  <si>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</si>
  <si>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</si>
  <si>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</si>
  <si>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</si>
  <si>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</si>
  <si>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</si>
  <si>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</si>
  <si>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</si>
  <si>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</si>
  <si>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</si>
  <si>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</si>
  <si>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</si>
  <si>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</si>
  <si>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</si>
  <si>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</si>
  <si>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</si>
  <si>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</si>
  <si>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</si>
  <si>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</si>
  <si>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</si>
  <si>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</si>
  <si>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</si>
  <si>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</si>
  <si>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</si>
  <si>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</si>
  <si>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</si>
  <si>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</si>
  <si>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</si>
  <si>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</si>
  <si>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</si>
  <si>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</si>
  <si>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</si>
  <si>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</si>
  <si>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</si>
  <si>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</si>
  <si>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</si>
  <si>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</si>
  <si>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</si>
  <si>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</si>
  <si>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</si>
  <si>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</si>
  <si>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</si>
  <si>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</si>
  <si>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</si>
  <si>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</si>
  <si>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</si>
  <si>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</si>
  <si>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</si>
  <si>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</si>
  <si>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</si>
  <si>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</si>
  <si>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</si>
  <si>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</si>
  <si>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</si>
  <si>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</si>
  <si>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</si>
  <si>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</si>
  <si>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</si>
  <si>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</si>
  <si>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</si>
  <si>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</si>
  <si>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</si>
  <si>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</si>
  <si>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</si>
  <si>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</si>
  <si>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</si>
  <si>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</si>
  <si>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</si>
  <si>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</si>
  <si>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</si>
  <si>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</si>
  <si>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</si>
  <si>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</si>
  <si>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</si>
  <si>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</si>
  <si>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</si>
  <si>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</si>
  <si>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</si>
  <si>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</si>
  <si>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</si>
  <si>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</si>
  <si>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</si>
  <si>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</si>
  <si>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</si>
  <si>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</si>
  <si>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</si>
  <si>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</si>
  <si>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</si>
  <si>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</si>
  <si>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</si>
  <si>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</si>
  <si>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</si>
  <si>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</si>
  <si>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</si>
  <si>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</si>
  <si>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</si>
  <si>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</si>
  <si>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</si>
  <si>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</si>
  <si>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</si>
  <si>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</si>
  <si>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</si>
  <si>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</si>
  <si>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</si>
  <si>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</si>
  <si>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</si>
  <si>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</si>
  <si>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</si>
  <si>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</si>
  <si>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</si>
  <si>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</si>
  <si>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</si>
  <si>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</si>
  <si>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</si>
  <si>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</si>
  <si>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</si>
  <si>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</si>
  <si>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</si>
  <si>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</si>
  <si>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</si>
  <si>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</si>
  <si>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</si>
  <si>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</si>
  <si>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</si>
  <si>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</si>
  <si>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</si>
  <si>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</si>
  <si>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</si>
  <si>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</si>
  <si>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</si>
  <si>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</si>
  <si>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</si>
  <si>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</si>
  <si>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</si>
  <si>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</si>
  <si>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</si>
  <si>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</si>
  <si>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</si>
  <si>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</si>
  <si>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</si>
  <si>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</si>
  <si>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</si>
  <si>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</si>
  <si>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</si>
  <si>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</si>
  <si>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</si>
  <si>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</si>
  <si>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</si>
  <si>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</si>
  <si>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</si>
  <si>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</si>
  <si>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</si>
  <si>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</si>
  <si>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</si>
  <si>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</si>
  <si>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</si>
  <si>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</si>
  <si>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</si>
  <si>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</si>
  <si>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</si>
  <si>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</si>
  <si>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</si>
  <si>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</si>
  <si>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</si>
  <si>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</si>
  <si>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</si>
  <si>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</si>
  <si>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</si>
  <si>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</si>
  <si>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</si>
  <si>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</si>
  <si>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</si>
  <si>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</si>
  <si>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</si>
  <si>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</si>
  <si>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</si>
  <si>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</si>
  <si>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</si>
  <si>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</si>
  <si>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</si>
  <si>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</si>
  <si>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</si>
  <si>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</si>
  <si>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</si>
  <si>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</si>
  <si>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</si>
  <si>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</si>
  <si>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</si>
  <si>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</si>
  <si>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</si>
  <si>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</si>
  <si>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</si>
  <si>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</si>
  <si>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</si>
  <si>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</si>
  <si>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</si>
  <si>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</si>
  <si>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</si>
  <si>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</si>
  <si>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</si>
  <si>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</si>
  <si>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</si>
  <si>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</si>
  <si>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</si>
  <si>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</si>
  <si>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</si>
  <si>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</si>
  <si>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</si>
  <si>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</si>
  <si>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</si>
  <si>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</si>
  <si>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</si>
  <si>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</si>
  <si>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</si>
  <si>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</si>
  <si>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</si>
  <si>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</si>
  <si>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</si>
  <si>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</si>
  <si>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</si>
  <si>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</si>
  <si>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</si>
  <si>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</si>
  <si>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</si>
  <si>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</si>
  <si>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</si>
  <si>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</si>
  <si>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</si>
  <si>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</si>
  <si>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</si>
  <si>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</si>
  <si>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</si>
  <si>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</si>
  <si>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</si>
  <si>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</si>
  <si>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</si>
  <si>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</si>
  <si>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</si>
  <si>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</si>
  <si>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</si>
  <si>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</si>
  <si>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</si>
  <si>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</si>
  <si>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</si>
  <si>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</si>
  <si>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</si>
  <si>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</si>
  <si>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</si>
  <si>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</si>
  <si>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</si>
  <si>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</si>
  <si>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</si>
  <si>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</si>
  <si>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</si>
  <si>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</si>
  <si>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</si>
  <si>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</si>
  <si>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</si>
  <si>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</si>
  <si>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</si>
  <si>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</si>
  <si>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</si>
  <si>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</si>
  <si>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</si>
  <si>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</si>
  <si>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</si>
  <si>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</si>
  <si>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</si>
  <si>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</si>
  <si>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</si>
  <si>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</si>
  <si>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</si>
  <si>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</si>
  <si>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</si>
  <si>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</si>
  <si>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</si>
  <si>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</si>
  <si>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</si>
  <si>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</si>
  <si>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</si>
  <si>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</si>
  <si>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</si>
  <si>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</si>
  <si>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</si>
  <si>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</si>
  <si>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</si>
  <si>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</si>
  <si>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</si>
  <si>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</si>
  <si>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</si>
  <si>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</si>
  <si>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</si>
  <si>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</si>
  <si>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</si>
  <si>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</si>
  <si>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</si>
  <si>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</si>
  <si>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</si>
  <si>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</si>
  <si>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</si>
  <si>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</si>
  <si>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</si>
  <si>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</si>
  <si>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</si>
  <si>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</si>
  <si>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</si>
  <si>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</si>
  <si>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</si>
  <si>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</si>
  <si>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</si>
  <si>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</si>
  <si>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</si>
  <si>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</si>
  <si>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</si>
  <si>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</si>
  <si>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</si>
  <si>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</si>
  <si>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</si>
  <si>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</si>
  <si>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</si>
  <si>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</si>
  <si>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</si>
  <si>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</si>
  <si>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</si>
  <si>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</si>
  <si>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</si>
  <si>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</si>
  <si>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</si>
  <si>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</si>
  <si>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</si>
  <si>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</si>
  <si>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</si>
  <si>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</si>
  <si>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</si>
  <si>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</si>
  <si>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</si>
  <si>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</si>
  <si>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</si>
  <si>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</si>
  <si>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</si>
  <si>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</si>
  <si>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</si>
  <si>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</si>
  <si>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</si>
  <si>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</si>
  <si>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</si>
  <si>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</si>
  <si>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</si>
  <si>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</si>
  <si>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</si>
  <si>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</si>
  <si>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</si>
  <si>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</si>
  <si>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</si>
  <si>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</si>
  <si>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</si>
  <si>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</si>
  <si>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</si>
  <si>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</si>
  <si>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</si>
  <si>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</si>
  <si>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</si>
  <si>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</si>
  <si>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</si>
  <si>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</si>
  <si>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</si>
  <si>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</si>
  <si>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</si>
  <si>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</si>
  <si>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</si>
  <si>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</si>
  <si>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</si>
  <si>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</si>
  <si>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</si>
  <si>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</si>
  <si>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</si>
  <si>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</si>
  <si>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</si>
  <si>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</si>
  <si>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</si>
  <si>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</si>
  <si>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</si>
  <si>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</si>
  <si>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</si>
  <si>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</si>
  <si>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</si>
  <si>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</si>
  <si>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</si>
  <si>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</si>
  <si>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</si>
  <si>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</si>
  <si>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</si>
  <si>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</si>
  <si>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</si>
  <si>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</si>
  <si>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</si>
  <si>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</si>
  <si>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</si>
  <si>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</si>
  <si>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</si>
  <si>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</si>
  <si>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</si>
  <si>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</si>
  <si>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</si>
  <si>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</si>
  <si>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</si>
  <si>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</si>
  <si>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</si>
  <si>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</si>
  <si>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</si>
  <si>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</si>
  <si>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</si>
  <si>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</si>
  <si>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</si>
  <si>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</si>
  <si>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</si>
  <si>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</si>
  <si>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</si>
  <si>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</si>
  <si>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</si>
  <si>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</si>
  <si>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</si>
  <si>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</si>
  <si>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</si>
  <si>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</si>
  <si>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</si>
  <si>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</si>
  <si>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</si>
  <si>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</si>
  <si>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</si>
  <si>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</si>
  <si>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</si>
  <si>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</si>
  <si>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</si>
  <si>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</si>
  <si>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</si>
  <si>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</si>
  <si>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</si>
  <si>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</si>
  <si>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</si>
  <si>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</si>
  <si>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</si>
  <si>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</si>
  <si>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</si>
  <si>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</si>
  <si>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</si>
  <si>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</si>
  <si>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</si>
  <si>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</si>
  <si>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</si>
  <si>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</si>
  <si>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</si>
  <si>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</si>
  <si>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</si>
  <si>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</si>
  <si>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</si>
  <si>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</si>
  <si>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</si>
  <si>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</si>
  <si>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</si>
  <si>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</si>
  <si>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</si>
  <si>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</si>
  <si>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</si>
  <si>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</si>
  <si>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</si>
  <si>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</si>
  <si>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</si>
  <si>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</si>
  <si>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</si>
  <si>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</si>
  <si>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</si>
  <si>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</si>
  <si>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</si>
  <si>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</si>
  <si>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</si>
  <si>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</si>
  <si>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</si>
  <si>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</si>
  <si>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</si>
  <si>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</si>
  <si>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</si>
  <si>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</si>
  <si>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</si>
  <si>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</si>
  <si>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</si>
  <si>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</si>
  <si>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</si>
  <si>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</si>
  <si>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</si>
  <si>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</si>
  <si>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</si>
  <si>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</si>
  <si>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</si>
  <si>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</si>
  <si>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</si>
  <si>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</si>
  <si>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</si>
  <si>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</si>
  <si>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</si>
  <si>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</si>
  <si>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</si>
  <si>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</si>
  <si>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</si>
  <si>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</si>
  <si>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</si>
  <si>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</si>
  <si>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</si>
  <si>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</si>
  <si>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</si>
  <si>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</si>
  <si>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</si>
  <si>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</si>
  <si>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</si>
  <si>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</si>
  <si>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</si>
  <si>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</si>
  <si>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</si>
  <si>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</si>
  <si>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</si>
  <si>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</si>
  <si>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</si>
  <si>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</si>
  <si>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</si>
  <si>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</si>
  <si>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</si>
  <si>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</si>
  <si>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</si>
  <si>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</si>
  <si>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</si>
  <si>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</si>
  <si>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</si>
  <si>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</si>
  <si>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</si>
  <si>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</si>
  <si>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</si>
  <si>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</si>
  <si>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</si>
  <si>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</si>
  <si>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</si>
  <si>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</si>
  <si>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</si>
  <si>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</si>
  <si>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</si>
  <si>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</si>
  <si>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</si>
  <si>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</si>
  <si>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</si>
  <si>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</si>
  <si>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</si>
  <si>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</si>
  <si>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</si>
  <si>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</si>
  <si>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</si>
  <si>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</si>
  <si>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</si>
  <si>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</si>
  <si>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</si>
  <si>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</si>
  <si>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</si>
  <si>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</si>
  <si>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</si>
  <si>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</si>
  <si>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</si>
  <si>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</si>
  <si>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</si>
  <si>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</si>
  <si>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</si>
  <si>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</si>
  <si>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</si>
  <si>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</si>
  <si>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</si>
  <si>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</si>
  <si>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</si>
  <si>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</si>
  <si>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</si>
  <si>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</si>
  <si>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</si>
  <si>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</si>
  <si>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</si>
  <si>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</si>
  <si>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</si>
  <si>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</si>
  <si>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</si>
  <si>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</si>
  <si>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</si>
  <si>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</si>
  <si>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</si>
  <si>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</si>
  <si>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</si>
  <si>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</si>
  <si>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</si>
  <si>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</si>
  <si>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</si>
  <si>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</si>
  <si>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</si>
  <si>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</si>
  <si>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</si>
  <si>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</si>
  <si>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</si>
  <si>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</si>
  <si>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</si>
  <si>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</si>
  <si>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</si>
  <si>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</si>
  <si>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</si>
  <si>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</si>
  <si>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</si>
  <si>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</si>
  <si>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</si>
  <si>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</si>
  <si>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</si>
  <si>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</si>
  <si>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</si>
  <si>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</si>
  <si>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</si>
  <si>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</si>
  <si>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</si>
  <si>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</si>
  <si>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</si>
  <si>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</si>
  <si>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</si>
  <si>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</si>
  <si>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</si>
  <si>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</si>
  <si>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</si>
  <si>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</si>
  <si>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</si>
  <si>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</si>
  <si>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</si>
  <si>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</si>
  <si>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</si>
  <si>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</si>
  <si>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</si>
  <si>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</si>
  <si>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</si>
  <si>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</si>
  <si>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</si>
  <si>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</si>
  <si>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</si>
  <si>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</si>
  <si>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</si>
  <si>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</si>
  <si>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</si>
  <si>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</si>
  <si>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</si>
  <si>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</si>
  <si>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</si>
  <si>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</si>
  <si>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</si>
  <si>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</si>
  <si>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</si>
  <si>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</si>
  <si>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</si>
  <si>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</si>
  <si>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</si>
  <si>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</si>
  <si>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</si>
  <si>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</si>
  <si>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</si>
  <si>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</si>
  <si>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</si>
  <si>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</si>
  <si>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</si>
  <si>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</si>
  <si>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</si>
  <si>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</si>
  <si>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</si>
  <si>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</si>
  <si>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</si>
  <si>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</si>
  <si>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</si>
  <si>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</si>
  <si>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</si>
  <si>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</si>
  <si>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</si>
  <si>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</si>
  <si>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</si>
  <si>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</si>
  <si>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</si>
  <si>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</si>
  <si>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</si>
  <si>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</si>
  <si>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</si>
  <si>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</si>
  <si>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</si>
  <si>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</si>
  <si>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</si>
  <si>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</si>
  <si>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</si>
  <si>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</si>
  <si>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</si>
  <si>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</si>
  <si>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</si>
  <si>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</si>
  <si>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</si>
  <si>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</si>
  <si>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</si>
  <si>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</si>
  <si>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</si>
  <si>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</si>
  <si>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</si>
  <si>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</si>
  <si>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</si>
  <si>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</si>
  <si>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</si>
  <si>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</si>
  <si>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</si>
  <si>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</si>
  <si>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</si>
  <si>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</si>
  <si>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</si>
  <si>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</si>
  <si>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</si>
  <si>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</si>
  <si>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</si>
  <si>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</si>
  <si>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</si>
  <si>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</si>
  <si>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</si>
  <si>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</si>
  <si>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</si>
  <si>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</si>
  <si>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</si>
  <si>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</si>
  <si>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</si>
  <si>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</si>
  <si>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</si>
  <si>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</si>
  <si>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</si>
  <si>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</si>
  <si>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</si>
  <si>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</si>
  <si>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</si>
  <si>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</si>
  <si>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</si>
  <si>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</si>
  <si>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</si>
  <si>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</si>
  <si>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</si>
  <si>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</si>
  <si>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</si>
  <si>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</si>
  <si>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</si>
  <si>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</si>
  <si>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</si>
  <si>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</si>
  <si>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</si>
  <si>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</si>
  <si>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</si>
  <si>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</si>
  <si>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</si>
  <si>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</si>
  <si>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</si>
  <si>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</si>
  <si>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</si>
  <si>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</si>
  <si>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</si>
  <si>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</si>
  <si>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</si>
  <si>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</si>
  <si>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</si>
  <si>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</si>
  <si>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</si>
  <si>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</si>
  <si>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</si>
  <si>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</si>
  <si>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</si>
  <si>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</si>
  <si>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</si>
  <si>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</si>
  <si>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</si>
  <si>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</si>
  <si>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</si>
  <si>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</si>
  <si>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</si>
  <si>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</si>
  <si>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</si>
  <si>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</si>
  <si>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</si>
  <si>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</si>
  <si>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</si>
  <si>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</si>
  <si>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</si>
  <si>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</si>
  <si>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</si>
  <si>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</si>
  <si>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</si>
  <si>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</si>
  <si>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</si>
  <si>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</si>
  <si>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</si>
  <si>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</si>
  <si>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</si>
  <si>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</si>
  <si>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</si>
  <si>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</si>
  <si>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</si>
  <si>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</si>
  <si>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</si>
  <si>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</si>
  <si>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</si>
  <si>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</si>
  <si>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</si>
  <si>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</si>
  <si>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</si>
  <si>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</si>
  <si>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</si>
  <si>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</si>
  <si>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</si>
  <si>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</si>
  <si>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</si>
  <si>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</si>
  <si>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</si>
  <si>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</si>
  <si>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</si>
  <si>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</si>
  <si>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</si>
  <si>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</si>
  <si>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</si>
  <si>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</si>
  <si>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</si>
  <si>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</si>
  <si>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</si>
  <si>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</si>
  <si>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</si>
  <si>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</si>
  <si>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</si>
  <si>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</si>
  <si>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</si>
  <si>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</si>
  <si>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</si>
  <si>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</si>
  <si>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</si>
  <si>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</si>
  <si>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</si>
  <si>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</si>
  <si>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</si>
  <si>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</si>
  <si>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</si>
  <si>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</si>
  <si>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</si>
  <si>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</si>
  <si>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</si>
  <si>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</si>
  <si>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</si>
  <si>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</si>
  <si>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</si>
  <si>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</si>
  <si>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</si>
  <si>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</si>
  <si>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</si>
  <si>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</si>
  <si>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</si>
  <si>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</si>
  <si>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</si>
  <si>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</si>
  <si>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</si>
  <si>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</si>
  <si>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</si>
  <si>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</si>
  <si>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</si>
  <si>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</si>
  <si>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</si>
  <si>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</si>
  <si>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</si>
  <si>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</si>
  <si>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</si>
  <si>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IN PROGRESS — TAKEOVER PASS THROUGH STEP 79</t>
  </si>
  <si>
    <t>2026-09-07</t>
  </si>
  <si>
    <t>Asset Explore checkout/session, pricing, request, availability and scoped-resource sources have automated coverage in parts; the complete HTTP browser Barion payment/action/destination journey has not run</t>
  </si>
  <si>
    <t>Continue at step 80 with current-primary-manager runtime Remove; then verify service chat, separate policy-refund audit, last-manager Leave and isolated resource-card Remove</t>
  </si>
  <si>
    <t>Steps 1-68 reached the core terminal PASS on 2026-09-07: one approved target payment, one declined control, one expired control and one cancelled Adjacent audit. Stored target quantity remains 3, selected-window availability remains 2, and sibling/Riley isolation passed. The manager-left oracle passed through step 73. The paid Take Over oracle then passed through step 79: Riley is the Captured/Joined successor and scoped Manager, Nova's Captured predecessor has a separate full-refund transaction, payer-swap finance totals changed exactly once, and Nova received only the refund-result notification. Accepted, cancelled-control, manager-left and takeover-complete savepoints are retained. Refund request/approval must use one separate audit row, and section 9 now also proves resource-card Remove from the sole current primary manager.</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</si>
  <si>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</si>
  <si>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</si>
  <si>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</si>
  <si>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</si>
  <si>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</si>
  <si>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</si>
  <si>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</si>
  <si>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</si>
  <si>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</si>
  <si>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</si>
  <si>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</si>
  <si>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</si>
  <si>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</si>
  <si>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</si>
  <si>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</si>
  <si>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</si>
  <si>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</si>
  <si>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</si>
  <si>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</si>
  <si>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</si>
  <si>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</si>
  <si>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</si>
  <si>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</si>
  <si>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</si>
  <si>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</si>
  <si>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</si>
  <si>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</si>
  <si>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</si>
  <si>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</si>
  <si>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</si>
  <si>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</si>
  <si>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</si>
  <si>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</si>
  <si>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</si>
  <si>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</si>
  <si>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</si>
  <si>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</si>
  <si>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</si>
  <si>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</si>
  <si>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</si>
  <si>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</si>
  <si>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</si>
  <si>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</si>
  <si>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</si>
  <si>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</si>
  <si>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</si>
  <si>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</si>
  <si>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</si>
  <si>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</si>
  <si>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</si>
  <si>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</si>
  <si>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</si>
  <si>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</si>
  <si>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</si>
  <si>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</si>
  <si>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</si>
  <si>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</si>
  <si>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</si>
  <si>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</si>
  <si>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</si>
  <si>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</si>
  <si>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</si>
  <si>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</si>
  <si>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</si>
  <si>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</si>
  <si>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</si>
  <si>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</si>
  <si>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</si>
  <si>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</si>
  <si>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</si>
  <si>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</si>
  <si>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</si>
  <si>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</si>
  <si>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</si>
  <si>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</si>
  <si>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</si>
  <si>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</si>
  <si>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</si>
  <si>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</si>
  <si>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</si>
  <si>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</si>
  <si>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</si>
  <si>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</si>
  <si>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</si>
  <si>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</si>
  <si>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</si>
  <si>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</si>
  <si>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</si>
  <si>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</si>
  <si>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</si>
  <si>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</si>
  <si>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</si>
  <si>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</si>
  <si>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</si>
  <si>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</si>
  <si>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</si>
  <si>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</si>
  <si>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</si>
  <si>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</si>
  <si>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</si>
  <si>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</si>
  <si>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</si>
  <si>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</si>
  <si>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</si>
  <si>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</si>
  <si>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</si>
  <si>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</si>
  <si>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</si>
  <si>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</si>
  <si>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</si>
  <si>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</si>
  <si>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</si>
  <si>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</si>
  <si>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</si>
  <si>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</si>
  <si>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</si>
  <si>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</si>
  <si>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</si>
  <si>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</si>
  <si>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</si>
  <si>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</si>
  <si>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</si>
  <si>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</si>
  <si>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</si>
  <si>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</si>
  <si>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</si>
  <si>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</si>
  <si>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</si>
  <si>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</si>
  <si>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</si>
  <si>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</si>
  <si>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</si>
  <si>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</si>
  <si>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</si>
  <si>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</si>
  <si>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</si>
  <si>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</si>
  <si>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</si>
  <si>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</si>
  <si>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</si>
  <si>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</si>
  <si>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</si>
  <si>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</si>
  <si>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</si>
  <si>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</si>
  <si>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</si>
  <si>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</si>
  <si>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</si>
  <si>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</si>
  <si>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</si>
  <si>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</si>
  <si>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</si>
  <si>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</si>
  <si>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</si>
  <si>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</si>
  <si>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</si>
  <si>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</si>
  <si>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</si>
  <si>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</si>
  <si>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</si>
  <si>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Configuration validation, secret masking, TLS worker, provider callback/security and Firebase regressions belong to automated coverage; downstream checkout and push are owned by Event/Asset and Notifications</t>
  </si>
  <si>
    <t>Compare the saved blocks, masked credentials, visible capability results, one fresh Firebase login and exact final baseline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</si>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</sst>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COUNTIF(U16:U118,"Done")&amp;" ("&amp;IF(COUNTA(A16:A118)=0,"0%",TEXT(COUNTIF(U16:U118,"Done")/COUNTA(A16:A118),"0%"))&amp;")"</f>
        <v>88 (85%)</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COUNTIF(U16:U118,"Pending")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COUNTIF(U16:U118,"Not started")</f>
        <v>8</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COUNTIF(U16:U118,"Failed")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COUNTA(A16:A118)</f>
        <v>103</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COUNTIFS($C$16:$C$118,A8,$U$16:$U$118,"Done")&amp;" passed / "&amp;COUNTIF($C$16:$C$118,A8)&amp;" total ("&amp;IF(COUNTIF($C$16:$C$118,A8)=0,"0%",TEXT(COUNTIFS($C$16:$C$118,A8,$U$16:$U$118,"Done")/COUNTIF($C$16:$C$118,A8),"0%"))&amp;") · "&amp;SUMIFS($V$16:$V$118,$C$16:$C$118,A8,$U$16:$U$118,"&lt;&gt;Done")&amp;"/"&amp;SUMIFS($W$16:$W$118,$C$16:$C$118,A8,$U$16:$U$118,"&lt;&gt;Done")</f>
        <v>2 passed / 2 total (100%) · 0/0</v>
      </c>
      <c r="E8" s="151" t="s">
        <v>1</v>
      </c>
      <c r="F8" s="333" t="s">
        <v>27</v>
      </c>
      <c r="G8" s="259" t="s">
        <v>1</v>
      </c>
      <c r="H8" s="259" t="s">
        <v>28</v>
      </c>
      <c r="I8" s="136" t="str">
        <f>COUNTIFS($C$16:$C$118,F8,$U$16:$U$118,"Done")&amp;" passed / "&amp;COUNTIF($C$16:$C$118,F8)&amp;" total ("&amp;IF(COUNTIF($C$16:$C$118,F8)=0,"0%",TEXT(COUNTIFS($C$16:$C$118,F8,$U$16:$U$118,"Done")/COUNTIF($C$16:$C$118,F8),"0%"))&amp;") · "&amp;SUMIFS($V$16:$V$118,$C$16:$C$118,F8,$U$16:$U$118,"&lt;&gt;Done")&amp;"/"&amp;SUMIFS($W$16:$W$118,$C$16:$C$118,F8,$U$16:$U$118,"&lt;&gt;Done")</f>
        <v>4 passed / 6 total (67%) · 255/605</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COUNTIFS($C$16:$C$118,A9,$U$16:$U$118,"Done")&amp;" passed / "&amp;COUNTIF($C$16:$C$118,A9)&amp;" total ("&amp;IF(COUNTIF($C$16:$C$118,A9)=0,"0%",TEXT(COUNTIFS($C$16:$C$118,A9,$U$16:$U$118,"Done")/COUNTIF($C$16:$C$118,A9),"0%"))&amp;") · "&amp;SUMIFS($V$16:$V$118,$C$16:$C$118,A9,$U$16:$U$118,"&lt;&gt;Done")&amp;"/"&amp;SUMIFS($W$16:$W$118,$C$16:$C$118,A9,$U$16:$U$118,"&lt;&gt;Done")</f>
        <v>8 passed / 8 total (100%) · 0/0</v>
      </c>
      <c r="E9" s="151" t="s">
        <v>1</v>
      </c>
      <c r="F9" s="349" t="s">
        <v>33</v>
      </c>
      <c r="G9" s="261" t="s">
        <v>1</v>
      </c>
      <c r="H9" s="261" t="s">
        <v>11</v>
      </c>
      <c r="I9" s="135" t="str">
        <f>COUNTIFS($C$16:$C$118,F9,$U$16:$U$118,"Done")&amp;" passed / "&amp;COUNTIF($C$16:$C$118,F9)&amp;" total ("&amp;IF(COUNTIF($C$16:$C$118,F9)=0,"0%",TEXT(COUNTIFS($C$16:$C$118,F9,$U$16:$U$118,"Done")/COUNTIF($C$16:$C$118,F9),"0%"))&amp;") · "&amp;SUMIFS($V$16:$V$118,$C$16:$C$118,F9,$U$16:$U$118,"&lt;&gt;Done")&amp;"/"&amp;SUMIFS($W$16:$W$118,$C$16:$C$118,F9,$U$16:$U$118,"&lt;&gt;Done")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COUNTIFS($C$16:$C$118,A10,$U$16:$U$118,"Done")&amp;" passed / "&amp;COUNTIF($C$16:$C$118,A10)&amp;" total ("&amp;IF(COUNTIF($C$16:$C$118,A10)=0,"0%",TEXT(COUNTIFS($C$16:$C$118,A10,$U$16:$U$118,"Done")/COUNTIF($C$16:$C$118,A10),"0%"))&amp;") · "&amp;SUMIFS($V$16:$V$118,$C$16:$C$118,A10,$U$16:$U$118,"&lt;&gt;Done")&amp;"/"&amp;SUMIFS($W$16:$W$118,$C$16:$C$118,A10,$U$16:$U$118,"&lt;&gt;Done")</f>
        <v>49 passed / 49 total (100%) · 0/0</v>
      </c>
      <c r="E10" s="151" t="s">
        <v>1</v>
      </c>
      <c r="F10" s="301" t="s">
        <v>38</v>
      </c>
      <c r="G10" s="255" t="s">
        <v>1</v>
      </c>
      <c r="H10" s="255" t="s">
        <v>7</v>
      </c>
      <c r="I10" s="138" t="str">
        <f>COUNTIFS($C$16:$C$118,F10,$U$16:$U$118,"Done")&amp;" passed / "&amp;COUNTIF($C$16:$C$118,F10)&amp;" total ("&amp;IF(COUNTIF($C$16:$C$118,F10)=0,"0%",TEXT(COUNTIFS($C$16:$C$118,F10,$U$16:$U$118,"Done")/COUNTIF($C$16:$C$118,F10),"0%"))&amp;") · "&amp;SUMIFS($V$16:$V$118,$C$16:$C$118,F10,$U$16:$U$118,"&lt;&gt;Done")&amp;"/"&amp;SUMIFS($W$16:$W$118,$C$16:$C$118,F10,$U$16:$U$118,"&lt;&gt;Done")</f>
        <v>0 passed / 6 total (0%) · 410/995</v>
      </c>
      <c r="J10" s="175"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40</v>
      </c>
      <c r="B11" s="257" t="s">
        <v>1</v>
      </c>
      <c r="C11" s="257" t="s">
        <v>41</v>
      </c>
      <c r="D11" s="135" t="str">
        <f>COUNTIFS($C$16:$C$118,A11,$U$16:$U$118,"Done")&amp;" passed / "&amp;COUNTIF($C$16:$C$118,A11)&amp;" total ("&amp;IF(COUNTIF($C$16:$C$118,A11)=0,"0%",TEXT(COUNTIFS($C$16:$C$118,A11,$U$16:$U$118,"Done")/COUNTIF($C$16:$C$118,A11),"0%"))&amp;") · "&amp;SUMIFS($V$16:$V$118,$C$16:$C$118,A11,$U$16:$U$118,"&lt;&gt;Done")&amp;"/"&amp;SUMIFS($W$16:$W$118,$C$16:$C$118,A11,$U$16:$U$118,"&lt;&gt;Done")</f>
        <v>15 passed / 15 total (100%) · 0/0</v>
      </c>
      <c r="E11" s="151" t="s">
        <v>1</v>
      </c>
      <c r="F11" s="365" t="s">
        <v>43</v>
      </c>
      <c r="G11" s="263" t="s">
        <v>1</v>
      </c>
      <c r="H11" s="263" t="s">
        <v>44</v>
      </c>
      <c r="I11" s="451" t="str">
        <f>COUNTIFS($C$16:$C$118,F11,$U$16:$U$118,"Done")&amp;" passed / "&amp;COUNTIF($C$16:$C$118,F11)&amp;" total ("&amp;IF(COUNTIF($C$16:$C$118,F11)=0,"0%",TEXT(COUNTIFS($C$16:$C$118,F11,$U$16:$U$118,"Done")/COUNTIF($C$16:$C$118,F11),"0%"))&amp;") · "&amp;SUMIFS($V$16:$V$118,$C$16:$C$118,F11,$U$16:$U$118,"&lt;&gt;Done")&amp;"/"&amp;SUMIFS($W$16:$W$118,$C$16:$C$118,F11,$U$16:$U$118,"&lt;&gt;Done")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COUNTIFS($C$16:$C$118,A12,$U$16:$U$118,"Done")&amp;" passed / "&amp;COUNTIF($C$16:$C$118,A12)&amp;" total ("&amp;IF(COUNTIF($C$16:$C$118,A12)=0,"0%",TEXT(COUNTIFS($C$16:$C$118,A12,$U$16:$U$118,"Done")/COUNTIF($C$16:$C$118,A12),"0%"))&amp;") · "&amp;SUMIFS($V$16:$V$118,$C$16:$C$118,A12,$U$16:$U$118,"&lt;&gt;Done")&amp;"/"&amp;SUMIFS($W$16:$W$118,$C$16:$C$118,A12,$U$16:$U$118,"&lt;&gt;Done")</f>
        <v>6 passed / 6 total (100%) · 0/0</v>
      </c>
      <c r="E12" s="154" t="s">
        <v>1</v>
      </c>
      <c r="F12" s="249" t="s">
        <v>49</v>
      </c>
      <c r="G12" s="250" t="s">
        <v>1</v>
      </c>
      <c r="H12" s="250" t="s">
        <v>50</v>
      </c>
      <c r="I12" s="177" t="str">
        <f>COUNTIFS($C$16:$C$118,F12,$U$16:$U$118,"Done")&amp;" passed / "&amp;COUNTIF($C$16:$C$118,F12)&amp;" total ("&amp;IF(COUNTIF($C$16:$C$118,F12)=0,"0%",TEXT(COUNTIFS($C$16:$C$118,F12,$U$16:$U$118,"Done")/COUNTIF($C$16:$C$118,F12),"0%"))&amp;") · "&amp;SUMIFS($V$16:$V$118,$C$16:$C$118,F12,$U$16:$U$118,"&lt;&gt;Done")&amp;"/"&amp;SUMIFS($W$16:$W$118,$C$16:$C$118,F12,$U$16:$U$118,"&lt;&gt;Done")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40</v>
      </c>
      <c r="D75" s="135" t="s">
        <v>40</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40</v>
      </c>
      <c r="D76" s="135" t="s">
        <v>40</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40</v>
      </c>
      <c r="D77" s="135" t="s">
        <v>40</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40</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40</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40</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40</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40</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40</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40</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40</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40</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40</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40</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40</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894</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105</v>
      </c>
      <c r="W99" s="146">
        <f>IF(T99="","",VALUE(MID(T99,SEARCH("/",T99)+1,LEN(T99))))</f>
        <v>250</v>
      </c>
    </row>
    <row r="100" customFormat="false" ht="15" hidden="false" customHeight="false" outlineLevel="0" collapsed="false">
      <c r="A100" s="136" t="s">
        <v>932</v>
      </c>
      <c r="B100" s="136" t="s">
        <v>180</v>
      </c>
      <c r="C100" s="259" t="s">
        <v>27</v>
      </c>
      <c r="D100" s="136" t="s">
        <v>933</v>
      </c>
      <c r="E100" s="136" t="s">
        <v>934</v>
      </c>
      <c r="F100" s="136" t="s">
        <v>935</v>
      </c>
      <c r="G100" s="136" t="s">
        <v>936</v>
      </c>
      <c r="H100" s="136" t="s">
        <v>937</v>
      </c>
      <c r="I100" s="136" t="s">
        <v>938</v>
      </c>
      <c r="J100" s="136" t="s">
        <v>939</v>
      </c>
      <c r="K100" s="136" t="s">
        <v>940</v>
      </c>
      <c r="L100" s="136" t="s">
        <v>1</v>
      </c>
      <c r="M100" s="136" t="s">
        <v>1</v>
      </c>
      <c r="N100" s="136" t="s">
        <v>941</v>
      </c>
      <c r="O100" s="136" t="s">
        <v>942</v>
      </c>
      <c r="P100" s="136" t="s">
        <v>943</v>
      </c>
      <c r="Q100" s="136" t="s">
        <v>1</v>
      </c>
      <c r="R100" s="136" t="s">
        <v>944</v>
      </c>
      <c r="S100" s="136" t="s">
        <v>88</v>
      </c>
      <c r="T100" s="136" t="s">
        <v>945</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V100" s="146">
        <f>IF(T100="","",VALUE(LEFT(T100,SEARCH("/",T100)-1)))</f>
        <v>150</v>
      </c>
      <c r="W100" s="146">
        <f>IF(T100="","",VALUE(MID(T100,SEARCH("/",T100)+1,LEN(T100))))</f>
        <v>355</v>
      </c>
    </row>
    <row r="101" customFormat="false" ht="15" hidden="false" customHeight="false" outlineLevel="0" collapsed="false">
      <c r="A101" s="135" t="s">
        <v>946</v>
      </c>
      <c r="B101" s="135" t="s">
        <v>155</v>
      </c>
      <c r="C101" s="259" t="s">
        <v>27</v>
      </c>
      <c r="D101" s="135" t="s">
        <v>947</v>
      </c>
      <c r="E101" s="135" t="s">
        <v>948</v>
      </c>
      <c r="F101" s="135" t="s">
        <v>949</v>
      </c>
      <c r="G101" s="135" t="s">
        <v>950</v>
      </c>
      <c r="H101" s="135" t="s">
        <v>4</v>
      </c>
      <c r="I101" s="135" t="s">
        <v>951</v>
      </c>
      <c r="J101" s="135" t="s">
        <v>952</v>
      </c>
      <c r="K101" s="135" t="s">
        <v>82</v>
      </c>
      <c r="L101" s="135" t="s">
        <v>86</v>
      </c>
      <c r="M101" s="135" t="s">
        <v>86</v>
      </c>
      <c r="N101" s="135" t="s">
        <v>953</v>
      </c>
      <c r="O101" s="135" t="s">
        <v>954</v>
      </c>
      <c r="P101" s="135" t="s">
        <v>955</v>
      </c>
      <c r="Q101" s="135" t="s">
        <v>86</v>
      </c>
      <c r="R101" s="135" t="s">
        <v>956</v>
      </c>
      <c r="S101" s="135" t="s">
        <v>248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957</v>
      </c>
      <c r="B102" s="135" t="s">
        <v>180</v>
      </c>
      <c r="C102" s="261" t="s">
        <v>33</v>
      </c>
      <c r="D102" s="135" t="s">
        <v>958</v>
      </c>
      <c r="E102" s="135" t="s">
        <v>959</v>
      </c>
      <c r="F102" s="135" t="s">
        <v>4</v>
      </c>
      <c r="G102" s="135" t="s">
        <v>4</v>
      </c>
      <c r="H102" s="135" t="s">
        <v>4</v>
      </c>
      <c r="I102" s="135" t="s">
        <v>4</v>
      </c>
      <c r="J102" s="135" t="s">
        <v>960</v>
      </c>
      <c r="K102" s="135" t="s">
        <v>685</v>
      </c>
      <c r="L102" s="135" t="s">
        <v>1</v>
      </c>
      <c r="M102" s="135" t="s">
        <v>1</v>
      </c>
      <c r="N102" s="135" t="s">
        <v>423</v>
      </c>
      <c r="O102" s="135" t="s">
        <v>961</v>
      </c>
      <c r="P102" s="135" t="s">
        <v>962</v>
      </c>
      <c r="Q102" s="135" t="s">
        <v>86</v>
      </c>
      <c r="R102" s="135" t="s">
        <v>963</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964</v>
      </c>
      <c r="B103" s="135" t="s">
        <v>180</v>
      </c>
      <c r="C103" s="261" t="s">
        <v>33</v>
      </c>
      <c r="D103" s="135" t="s">
        <v>965</v>
      </c>
      <c r="E103" s="135" t="s">
        <v>966</v>
      </c>
      <c r="F103" s="135" t="s">
        <v>4</v>
      </c>
      <c r="G103" s="135" t="s">
        <v>4</v>
      </c>
      <c r="H103" s="135" t="s">
        <v>4</v>
      </c>
      <c r="I103" s="135" t="s">
        <v>4</v>
      </c>
      <c r="J103" s="135" t="s">
        <v>967</v>
      </c>
      <c r="K103" s="135" t="s">
        <v>685</v>
      </c>
      <c r="L103" s="135" t="s">
        <v>1</v>
      </c>
      <c r="M103" s="135" t="s">
        <v>1</v>
      </c>
      <c r="N103" s="135" t="s">
        <v>423</v>
      </c>
      <c r="O103" s="135" t="s">
        <v>968</v>
      </c>
      <c r="P103" s="135" t="s">
        <v>969</v>
      </c>
      <c r="Q103" s="135" t="s">
        <v>86</v>
      </c>
      <c r="R103" s="135" t="s">
        <v>970</v>
      </c>
      <c r="S103" s="135" t="s">
        <v>317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971</v>
      </c>
      <c r="B104" s="135" t="s">
        <v>155</v>
      </c>
      <c r="C104" s="261" t="s">
        <v>33</v>
      </c>
      <c r="D104" s="135" t="s">
        <v>972</v>
      </c>
      <c r="E104" s="135" t="s">
        <v>973</v>
      </c>
      <c r="F104" s="135" t="s">
        <v>974</v>
      </c>
      <c r="G104" s="135" t="s">
        <v>975</v>
      </c>
      <c r="H104" s="135" t="s">
        <v>4</v>
      </c>
      <c r="I104" s="135" t="s">
        <v>4</v>
      </c>
      <c r="J104" s="135" t="s">
        <v>976</v>
      </c>
      <c r="K104" s="135" t="s">
        <v>82</v>
      </c>
      <c r="L104" s="135" t="s">
        <v>86</v>
      </c>
      <c r="M104" s="135" t="s">
        <v>86</v>
      </c>
      <c r="N104" s="135" t="s">
        <v>953</v>
      </c>
      <c r="O104" s="135" t="s">
        <v>977</v>
      </c>
      <c r="P104" s="135" t="s">
        <v>978</v>
      </c>
      <c r="Q104" s="135" t="s">
        <v>86</v>
      </c>
      <c r="R104" s="135" t="s">
        <v>979</v>
      </c>
      <c r="S104" s="135" t="s">
        <v>980</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8" t="s">
        <v>981</v>
      </c>
      <c r="B105" s="138" t="s">
        <v>155</v>
      </c>
      <c r="C105" s="255" t="s">
        <v>38</v>
      </c>
      <c r="D105" s="138" t="s">
        <v>982</v>
      </c>
      <c r="E105" s="138" t="s">
        <v>983</v>
      </c>
      <c r="F105" s="138" t="s">
        <v>984</v>
      </c>
      <c r="G105" s="138" t="s">
        <v>985</v>
      </c>
      <c r="H105" s="138" t="s">
        <v>4</v>
      </c>
      <c r="I105" s="138" t="s">
        <v>986</v>
      </c>
      <c r="J105" s="138" t="s">
        <v>987</v>
      </c>
      <c r="K105" s="138" t="s">
        <v>988</v>
      </c>
      <c r="L105" s="138" t="s">
        <v>1</v>
      </c>
      <c r="M105" s="138" t="s">
        <v>1</v>
      </c>
      <c r="N105" s="138" t="s">
        <v>1</v>
      </c>
      <c r="O105" s="138" t="s">
        <v>989</v>
      </c>
      <c r="P105" s="138" t="s">
        <v>990</v>
      </c>
      <c r="Q105" s="138" t="s">
        <v>1</v>
      </c>
      <c r="R105" s="138" t="s">
        <v>991</v>
      </c>
      <c r="S105" s="138" t="s">
        <v>111</v>
      </c>
      <c r="T105" s="138" t="s">
        <v>992</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V105" s="146">
        <f>IF(T105="","",VALUE(LEFT(T105,SEARCH("/",T105)-1)))</f>
        <v>100</v>
      </c>
      <c r="W105" s="146">
        <f>IF(T105="","",VALUE(MID(T105,SEARCH("/",T105)+1,LEN(T105))))</f>
        <v>235</v>
      </c>
    </row>
    <row r="106" customFormat="false" ht="15" hidden="false" customHeight="false" outlineLevel="0" collapsed="false">
      <c r="A106" s="136" t="s">
        <v>993</v>
      </c>
      <c r="B106" s="136" t="s">
        <v>155</v>
      </c>
      <c r="C106" s="255" t="s">
        <v>38</v>
      </c>
      <c r="D106" s="136" t="s">
        <v>994</v>
      </c>
      <c r="E106" s="136" t="s">
        <v>995</v>
      </c>
      <c r="F106" s="136" t="s">
        <v>996</v>
      </c>
      <c r="G106" s="136" t="s">
        <v>997</v>
      </c>
      <c r="H106" s="136" t="s">
        <v>998</v>
      </c>
      <c r="I106" s="136" t="s">
        <v>999</v>
      </c>
      <c r="J106" s="136" t="s">
        <v>1000</v>
      </c>
      <c r="K106" s="136" t="s">
        <v>1001</v>
      </c>
      <c r="L106" s="136" t="s">
        <v>1</v>
      </c>
      <c r="M106" s="136" t="s">
        <v>1</v>
      </c>
      <c r="N106" s="136" t="s">
        <v>189</v>
      </c>
      <c r="O106" s="136" t="s">
        <v>1002</v>
      </c>
      <c r="P106" s="136" t="s">
        <v>1003</v>
      </c>
      <c r="Q106" s="136" t="s">
        <v>1004</v>
      </c>
      <c r="R106" s="136" t="s">
        <v>1005</v>
      </c>
      <c r="S106" s="136" t="s">
        <v>260</v>
      </c>
      <c r="T106" s="136" t="s">
        <v>1006</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V106" s="146">
        <f>IF(T106="","",VALUE(LEFT(T106,SEARCH("/",T106)-1)))</f>
        <v>55</v>
      </c>
      <c r="W106" s="146">
        <f>IF(T106="","",VALUE(MID(T106,SEARCH("/",T106)+1,LEN(T106))))</f>
        <v>130</v>
      </c>
    </row>
    <row r="107" customFormat="false" ht="15" hidden="false" customHeight="false" outlineLevel="0" collapsed="false">
      <c r="A107" s="136" t="s">
        <v>1007</v>
      </c>
      <c r="B107" s="136" t="s">
        <v>169</v>
      </c>
      <c r="C107" s="255" t="s">
        <v>38</v>
      </c>
      <c r="D107" s="136" t="s">
        <v>1008</v>
      </c>
      <c r="E107" s="136" t="s">
        <v>1009</v>
      </c>
      <c r="F107" s="136" t="s">
        <v>4</v>
      </c>
      <c r="G107" s="136" t="s">
        <v>1010</v>
      </c>
      <c r="H107" s="136" t="s">
        <v>4</v>
      </c>
      <c r="I107" s="136" t="s">
        <v>8</v>
      </c>
      <c r="J107" s="136" t="s">
        <v>1011</v>
      </c>
      <c r="K107" s="136" t="s">
        <v>1012</v>
      </c>
      <c r="L107" s="136" t="s">
        <v>1</v>
      </c>
      <c r="M107" s="136" t="s">
        <v>1</v>
      </c>
      <c r="N107" s="136" t="s">
        <v>1013</v>
      </c>
      <c r="O107" s="136" t="s">
        <v>1014</v>
      </c>
      <c r="P107" s="136" t="s">
        <v>1015</v>
      </c>
      <c r="Q107" s="136" t="s">
        <v>1004</v>
      </c>
      <c r="R107" s="136" t="s">
        <v>1016</v>
      </c>
      <c r="S107" s="136" t="s">
        <v>827</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20</v>
      </c>
      <c r="W107" s="146">
        <f>IF(T107="","",VALUE(MID(T107,SEARCH("/",T107)+1,LEN(T107))))</f>
        <v>65</v>
      </c>
    </row>
    <row r="108" customFormat="false" ht="15" hidden="false" customHeight="false" outlineLevel="0" collapsed="false">
      <c r="A108" s="136" t="s">
        <v>1018</v>
      </c>
      <c r="B108" s="136" t="s">
        <v>155</v>
      </c>
      <c r="C108" s="255" t="s">
        <v>38</v>
      </c>
      <c r="D108" s="136" t="s">
        <v>1019</v>
      </c>
      <c r="E108" s="136" t="s">
        <v>1020</v>
      </c>
      <c r="F108" s="136" t="s">
        <v>1021</v>
      </c>
      <c r="G108" s="136" t="s">
        <v>1022</v>
      </c>
      <c r="H108" s="136" t="s">
        <v>4</v>
      </c>
      <c r="I108" s="136" t="s">
        <v>1023</v>
      </c>
      <c r="J108" s="136" t="s">
        <v>1024</v>
      </c>
      <c r="K108" s="136" t="s">
        <v>1001</v>
      </c>
      <c r="L108" s="136" t="s">
        <v>1</v>
      </c>
      <c r="M108" s="136" t="s">
        <v>1</v>
      </c>
      <c r="N108" s="136" t="s">
        <v>189</v>
      </c>
      <c r="O108" s="136" t="s">
        <v>1025</v>
      </c>
      <c r="P108" s="136" t="s">
        <v>1026</v>
      </c>
      <c r="Q108" s="136" t="s">
        <v>1004</v>
      </c>
      <c r="R108" s="136" t="s">
        <v>1027</v>
      </c>
      <c r="S108" s="136" t="s">
        <v>328</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80</v>
      </c>
      <c r="W108" s="146">
        <f>IF(T108="","",VALUE(MID(T108,SEARCH("/",T108)+1,LEN(T108))))</f>
        <v>190</v>
      </c>
    </row>
    <row r="109" customFormat="false" ht="15" hidden="false" customHeight="false" outlineLevel="0" collapsed="false">
      <c r="A109" s="138" t="s">
        <v>1029</v>
      </c>
      <c r="B109" s="138" t="s">
        <v>155</v>
      </c>
      <c r="C109" s="255" t="s">
        <v>38</v>
      </c>
      <c r="D109" s="138" t="s">
        <v>1030</v>
      </c>
      <c r="E109" s="138" t="s">
        <v>1031</v>
      </c>
      <c r="F109" s="138" t="s">
        <v>1032</v>
      </c>
      <c r="G109" s="138" t="s">
        <v>1033</v>
      </c>
      <c r="H109" s="138" t="s">
        <v>4</v>
      </c>
      <c r="I109" s="138" t="s">
        <v>1034</v>
      </c>
      <c r="J109" s="138" t="s">
        <v>1035</v>
      </c>
      <c r="K109" s="138" t="s">
        <v>988</v>
      </c>
      <c r="L109" s="138" t="s">
        <v>1</v>
      </c>
      <c r="M109" s="138" t="s">
        <v>1</v>
      </c>
      <c r="N109" s="138" t="s">
        <v>1</v>
      </c>
      <c r="O109" s="138" t="s">
        <v>1036</v>
      </c>
      <c r="P109" s="138" t="s">
        <v>1037</v>
      </c>
      <c r="Q109" s="138" t="s">
        <v>1</v>
      </c>
      <c r="R109" s="138" t="s">
        <v>1038</v>
      </c>
      <c r="S109" s="138" t="s">
        <v>88</v>
      </c>
      <c r="T109" s="138" t="s">
        <v>1039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V109" s="146">
        <f>IF(T109="","",VALUE(LEFT(T109,SEARCH("/",T109)-1)))</f>
        <v>110</v>
      </c>
      <c r="W109" s="146">
        <f>IF(T109="","",VALUE(MID(T109,SEARCH("/",T109)+1,LEN(T109))))</f>
        <v>260</v>
      </c>
    </row>
    <row r="110" customFormat="false" ht="15" hidden="false" customHeight="false" outlineLevel="0" collapsed="false">
      <c r="A110" s="136" t="s">
        <v>1040</v>
      </c>
      <c r="B110" s="136" t="s">
        <v>1041</v>
      </c>
      <c r="C110" s="255" t="s">
        <v>38</v>
      </c>
      <c r="D110" s="136" t="s">
        <v>1042</v>
      </c>
      <c r="E110" s="136" t="s">
        <v>1043</v>
      </c>
      <c r="F110" s="136" t="s">
        <v>4</v>
      </c>
      <c r="G110" s="136" t="s">
        <v>4</v>
      </c>
      <c r="H110" s="136" t="s">
        <v>4</v>
      </c>
      <c r="I110" s="136" t="s">
        <v>1044</v>
      </c>
      <c r="J110" s="136" t="s">
        <v>1045</v>
      </c>
      <c r="K110" s="136" t="s">
        <v>1046</v>
      </c>
      <c r="L110" s="136" t="s">
        <v>1</v>
      </c>
      <c r="M110" s="136" t="s">
        <v>1</v>
      </c>
      <c r="N110" s="136" t="s">
        <v>189</v>
      </c>
      <c r="O110" s="136" t="s">
        <v>1047</v>
      </c>
      <c r="P110" s="136" t="s">
        <v>1048</v>
      </c>
      <c r="Q110" s="136" t="s">
        <v>1049</v>
      </c>
      <c r="R110" s="136" t="s">
        <v>1050</v>
      </c>
      <c r="S110" s="136" t="s">
        <v>1051</v>
      </c>
      <c r="T110" s="136" t="s">
        <v>1052</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45</v>
      </c>
      <c r="W110" s="146">
        <f>IF(T110="","",VALUE(MID(T110,SEARCH("/",T110)+1,LEN(T110))))</f>
        <v>115</v>
      </c>
    </row>
    <row r="111" customFormat="false" ht="15" hidden="false" customHeight="false" outlineLevel="0" collapsed="false">
      <c r="A111" s="135" t="s">
        <v>1053</v>
      </c>
      <c r="B111" s="135" t="s">
        <v>1054</v>
      </c>
      <c r="C111" s="263" t="s">
        <v>43</v>
      </c>
      <c r="D111" s="135" t="s">
        <v>58</v>
      </c>
      <c r="E111" s="135" t="s">
        <v>1055</v>
      </c>
      <c r="F111" s="135" t="s">
        <v>1056</v>
      </c>
      <c r="G111" s="135" t="s">
        <v>4</v>
      </c>
      <c r="H111" s="135" t="s">
        <v>4</v>
      </c>
      <c r="I111" s="135" t="s">
        <v>4</v>
      </c>
      <c r="J111" s="135" t="s">
        <v>4</v>
      </c>
      <c r="K111" s="135" t="s">
        <v>685</v>
      </c>
      <c r="L111" s="135" t="s">
        <v>1</v>
      </c>
      <c r="M111" s="135" t="s">
        <v>1</v>
      </c>
      <c r="N111" s="135" t="s">
        <v>189</v>
      </c>
      <c r="O111" s="135" t="s">
        <v>1057</v>
      </c>
      <c r="P111" s="135" t="s">
        <v>1058</v>
      </c>
      <c r="Q111" s="135" t="s">
        <v>86</v>
      </c>
      <c r="R111" s="135" t="s">
        <v>1059</v>
      </c>
      <c r="S111" s="135" t="s">
        <v>1060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8" t="s">
        <v>1061</v>
      </c>
      <c r="B112" s="138" t="s">
        <v>155</v>
      </c>
      <c r="C112" s="263" t="s">
        <v>43</v>
      </c>
      <c r="D112" s="138" t="s">
        <v>1062</v>
      </c>
      <c r="E112" s="138" t="s">
        <v>1063</v>
      </c>
      <c r="F112" s="138" t="s">
        <v>1064</v>
      </c>
      <c r="G112" s="138" t="s">
        <v>1065</v>
      </c>
      <c r="H112" s="138" t="s">
        <v>1066</v>
      </c>
      <c r="I112" s="138" t="s">
        <v>1067</v>
      </c>
      <c r="J112" s="138" t="s">
        <v>1068</v>
      </c>
      <c r="K112" s="138" t="s">
        <v>988</v>
      </c>
      <c r="L112" s="138" t="s">
        <v>1</v>
      </c>
      <c r="M112" s="138" t="s">
        <v>1</v>
      </c>
      <c r="N112" s="138" t="s">
        <v>1</v>
      </c>
      <c r="O112" s="138" t="s">
        <v>1069</v>
      </c>
      <c r="P112" s="138" t="s">
        <v>1070</v>
      </c>
      <c r="Q112" s="138" t="s">
        <v>1</v>
      </c>
      <c r="R112" s="138" t="s">
        <v>1071</v>
      </c>
      <c r="S112" s="138" t="s">
        <v>248</v>
      </c>
      <c r="T112" s="138" t="s">
        <v>1072</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V112" s="146">
        <f>IF(T112="","",VALUE(LEFT(T112,SEARCH("/",T112)-1)))</f>
        <v>75</v>
      </c>
      <c r="W112" s="146">
        <f>IF(T112="","",VALUE(MID(T112,SEARCH("/",T112)+1,LEN(T112))))</f>
        <v>180</v>
      </c>
    </row>
    <row r="113" customFormat="false" ht="15" hidden="false" customHeight="false" outlineLevel="0" collapsed="false">
      <c r="A113" s="136" t="s">
        <v>1073</v>
      </c>
      <c r="B113" s="136" t="s">
        <v>155</v>
      </c>
      <c r="C113" s="263" t="s">
        <v>43</v>
      </c>
      <c r="D113" s="136" t="s">
        <v>1074</v>
      </c>
      <c r="E113" s="136" t="s">
        <v>1075</v>
      </c>
      <c r="F113" s="136" t="s">
        <v>1076</v>
      </c>
      <c r="G113" s="136" t="s">
        <v>1077</v>
      </c>
      <c r="H113" s="136" t="s">
        <v>1078</v>
      </c>
      <c r="I113" s="136" t="s">
        <v>1079</v>
      </c>
      <c r="J113" s="136" t="s">
        <v>1080</v>
      </c>
      <c r="K113" s="136" t="s">
        <v>1001</v>
      </c>
      <c r="L113" s="136" t="s">
        <v>1</v>
      </c>
      <c r="M113" s="136" t="s">
        <v>1</v>
      </c>
      <c r="N113" s="136" t="s">
        <v>189</v>
      </c>
      <c r="O113" s="136" t="s">
        <v>1081</v>
      </c>
      <c r="P113" s="136" t="s">
        <v>1082</v>
      </c>
      <c r="Q113" s="136" t="s">
        <v>1004</v>
      </c>
      <c r="R113" s="136" t="s">
        <v>1083</v>
      </c>
      <c r="S113" s="136" t="s">
        <v>1084</v>
      </c>
      <c r="T113" s="136" t="s">
        <v>1085</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Pending</v>
      </c>
      <c r="V113" s="146">
        <f>IF(T113="","",VALUE(LEFT(T113,SEARCH("/",T113)-1)))</f>
        <v>60</v>
      </c>
      <c r="W113" s="146">
        <f>IF(T113="","",VALUE(MID(T113,SEARCH("/",T113)+1,LEN(T113))))</f>
        <v>145</v>
      </c>
    </row>
    <row r="114" customFormat="false" ht="15" hidden="false" customHeight="false" outlineLevel="0" collapsed="false">
      <c r="A114" s="138" t="s">
        <v>1086</v>
      </c>
      <c r="B114" s="138" t="s">
        <v>155</v>
      </c>
      <c r="C114" s="263" t="s">
        <v>43</v>
      </c>
      <c r="D114" s="138" t="s">
        <v>1087</v>
      </c>
      <c r="E114" s="138" t="s">
        <v>1088</v>
      </c>
      <c r="F114" s="138" t="s">
        <v>1089</v>
      </c>
      <c r="G114" s="138" t="s">
        <v>1090</v>
      </c>
      <c r="H114" s="138" t="s">
        <v>1091</v>
      </c>
      <c r="I114" s="138" t="s">
        <v>1092</v>
      </c>
      <c r="J114" s="138" t="s">
        <v>1093</v>
      </c>
      <c r="K114" s="138" t="s">
        <v>988</v>
      </c>
      <c r="L114" s="138" t="s">
        <v>1</v>
      </c>
      <c r="M114" s="138" t="s">
        <v>1</v>
      </c>
      <c r="N114" s="138" t="s">
        <v>1</v>
      </c>
      <c r="O114" s="138" t="s">
        <v>1094</v>
      </c>
      <c r="P114" s="138" t="s">
        <v>1095</v>
      </c>
      <c r="Q114" s="138" t="s">
        <v>1</v>
      </c>
      <c r="R114" s="138" t="s">
        <v>1096</v>
      </c>
      <c r="S114" s="138" t="s">
        <v>1097</v>
      </c>
      <c r="T114" s="138" t="s">
        <v>1098</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f>IF(T114="","",VALUE(LEFT(T114,SEARCH("/",T114)-1)))</f>
        <v>130</v>
      </c>
      <c r="W114" s="146">
        <f>IF(T114="","",VALUE(MID(T114,SEARCH("/",T114)+1,LEN(T114))))</f>
        <v>310</v>
      </c>
    </row>
    <row r="115" customFormat="false" ht="15" hidden="false" customHeight="false" outlineLevel="0" collapsed="false">
      <c r="A115" s="138" t="s">
        <v>1099</v>
      </c>
      <c r="B115" s="138" t="s">
        <v>155</v>
      </c>
      <c r="C115" s="243" t="s">
        <v>49</v>
      </c>
      <c r="D115" s="138" t="s">
        <v>1100</v>
      </c>
      <c r="E115" s="138" t="s">
        <v>1101</v>
      </c>
      <c r="F115" s="138" t="s">
        <v>4</v>
      </c>
      <c r="G115" s="138" t="s">
        <v>1102</v>
      </c>
      <c r="H115" s="138" t="s">
        <v>4</v>
      </c>
      <c r="I115" s="138" t="s">
        <v>1103</v>
      </c>
      <c r="J115" s="138" t="s">
        <v>1104</v>
      </c>
      <c r="K115" s="138" t="s">
        <v>988</v>
      </c>
      <c r="L115" s="138" t="s">
        <v>1</v>
      </c>
      <c r="M115" s="138" t="s">
        <v>1</v>
      </c>
      <c r="N115" s="138" t="s">
        <v>1</v>
      </c>
      <c r="O115" s="138" t="s">
        <v>1105</v>
      </c>
      <c r="P115" s="138" t="s">
        <v>1106</v>
      </c>
      <c r="Q115" s="138" t="s">
        <v>1</v>
      </c>
      <c r="R115" s="138" t="s">
        <v>1107</v>
      </c>
      <c r="S115" s="138" t="s">
        <v>88</v>
      </c>
      <c r="T115" s="138" t="s">
        <v>1085</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60</v>
      </c>
      <c r="W115" s="146">
        <f>IF(T115="","",VALUE(MID(T115,SEARCH("/",T115)+1,LEN(T115))))</f>
        <v>145</v>
      </c>
    </row>
    <row r="116" customFormat="false" ht="15" hidden="false" customHeight="false" outlineLevel="0" collapsed="false">
      <c r="A116" s="138" t="s">
        <v>1108</v>
      </c>
      <c r="B116" s="138" t="s">
        <v>155</v>
      </c>
      <c r="C116" s="243" t="s">
        <v>49</v>
      </c>
      <c r="D116" s="138" t="s">
        <v>1109</v>
      </c>
      <c r="E116" s="138" t="s">
        <v>1110</v>
      </c>
      <c r="F116" s="138" t="s">
        <v>1111</v>
      </c>
      <c r="G116" s="138" t="s">
        <v>1112</v>
      </c>
      <c r="H116" s="138" t="s">
        <v>1113</v>
      </c>
      <c r="I116" s="138" t="s">
        <v>1114</v>
      </c>
      <c r="J116" s="138" t="s">
        <v>1115</v>
      </c>
      <c r="K116" s="138" t="s">
        <v>988</v>
      </c>
      <c r="L116" s="138" t="s">
        <v>1</v>
      </c>
      <c r="M116" s="138" t="s">
        <v>1</v>
      </c>
      <c r="N116" s="138" t="s">
        <v>1</v>
      </c>
      <c r="O116" s="138" t="s">
        <v>1116</v>
      </c>
      <c r="P116" s="138" t="s">
        <v>1117</v>
      </c>
      <c r="Q116" s="138" t="s">
        <v>1</v>
      </c>
      <c r="R116" s="138" t="s">
        <v>1118</v>
      </c>
      <c r="S116" s="138" t="s">
        <v>88</v>
      </c>
      <c r="T116" s="138" t="s">
        <v>1072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75</v>
      </c>
      <c r="W116" s="146">
        <f>IF(T116="","",VALUE(MID(T116,SEARCH("/",T116)+1,LEN(T116))))</f>
        <v>180</v>
      </c>
    </row>
    <row r="117" customFormat="false" ht="15" hidden="false" customHeight="false" outlineLevel="0" collapsed="false">
      <c r="A117" s="138" t="s">
        <v>1119</v>
      </c>
      <c r="B117" s="138" t="s">
        <v>155</v>
      </c>
      <c r="C117" s="243" t="s">
        <v>49</v>
      </c>
      <c r="D117" s="138" t="s">
        <v>1120</v>
      </c>
      <c r="E117" s="138" t="s">
        <v>1121</v>
      </c>
      <c r="F117" s="138" t="s">
        <v>4</v>
      </c>
      <c r="G117" s="138" t="s">
        <v>1122</v>
      </c>
      <c r="H117" s="138" t="s">
        <v>4</v>
      </c>
      <c r="I117" s="138" t="s">
        <v>1123</v>
      </c>
      <c r="J117" s="138" t="s">
        <v>1124</v>
      </c>
      <c r="K117" s="138" t="s">
        <v>988</v>
      </c>
      <c r="L117" s="138" t="s">
        <v>1</v>
      </c>
      <c r="M117" s="138" t="s">
        <v>1</v>
      </c>
      <c r="N117" s="138" t="s">
        <v>1</v>
      </c>
      <c r="O117" s="138" t="s">
        <v>1125</v>
      </c>
      <c r="P117" s="138" t="s">
        <v>1126</v>
      </c>
      <c r="Q117" s="138" t="s">
        <v>1</v>
      </c>
      <c r="R117" s="138" t="s">
        <v>1127</v>
      </c>
      <c r="S117" s="138" t="s">
        <v>111</v>
      </c>
      <c r="T117" s="138" t="s">
        <v>1128</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30</v>
      </c>
      <c r="W117" s="146">
        <f>IF(T117="","",VALUE(MID(T117,SEARCH("/",T117)+1,LEN(T117))))</f>
        <v>80</v>
      </c>
    </row>
    <row r="118" customFormat="false" ht="15" hidden="false" customHeight="false" outlineLevel="0" collapsed="false">
      <c r="A118" s="138" t="s">
        <v>1129</v>
      </c>
      <c r="B118" s="138" t="s">
        <v>155</v>
      </c>
      <c r="C118" s="243" t="s">
        <v>49</v>
      </c>
      <c r="D118" s="138" t="s">
        <v>1130</v>
      </c>
      <c r="E118" s="138" t="s">
        <v>1131</v>
      </c>
      <c r="F118" s="138" t="s">
        <v>1132</v>
      </c>
      <c r="G118" s="138" t="s">
        <v>1133</v>
      </c>
      <c r="H118" s="138" t="s">
        <v>4</v>
      </c>
      <c r="I118" s="138" t="s">
        <v>1134</v>
      </c>
      <c r="J118" s="138" t="s">
        <v>1135</v>
      </c>
      <c r="K118" s="138" t="s">
        <v>988</v>
      </c>
      <c r="L118" s="138" t="s">
        <v>1</v>
      </c>
      <c r="M118" s="138" t="s">
        <v>1</v>
      </c>
      <c r="N118" s="138" t="s">
        <v>1</v>
      </c>
      <c r="O118" s="138" t="s">
        <v>1136</v>
      </c>
      <c r="P118" s="138" t="s">
        <v>1137</v>
      </c>
      <c r="Q118" s="138" t="s">
        <v>1</v>
      </c>
      <c r="R118" s="138" t="s">
        <v>1138</v>
      </c>
      <c r="S118" s="138" t="s">
        <v>980</v>
      </c>
      <c r="T118" s="138" t="s">
        <v>1128</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