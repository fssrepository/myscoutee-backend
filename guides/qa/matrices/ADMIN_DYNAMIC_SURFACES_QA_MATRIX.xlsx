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<sst xmlns="http://schemas.openxmlformats.org/spreadsheetml/2006/main" count="2565" uniqueCount="1279">
  <si>
    <t>EFFECT / SCOPE MARKERS</t>
  </si>
  <si>
    <t/>
  </si>
  <si>
    <t>Done</t>
  </si>
  <si>
    <t>84 (86%)</t>
  </si>
  <si>
    <t>X</t>
  </si>
  <si>
    <t>No expected effect — An unchanged X cell is PASS</t>
  </si>
  <si>
    <t>Pending</t>
  </si>
  <si>
    <t>5</t>
  </si>
  <si>
    <t>DELTA</t>
  </si>
  <si>
    <t>Required direct effect — Record before/after count and direction</t>
  </si>
  <si>
    <t>Not started</t>
  </si>
  <si>
    <t>9</t>
  </si>
  <si>
    <t>INDIRECT</t>
  </si>
  <si>
    <t>Conditional effect — State the condition and prove it occurred</t>
  </si>
  <si>
    <t>Failed</t>
  </si>
  <si>
    <t>0</t>
  </si>
  <si>
    <t>GAP</t>
  </si>
  <si>
    <t>Known observability gap — Record FAIL/GAP separately from domain PASS</t>
  </si>
  <si>
    <t>Core</t>
  </si>
  <si>
    <t>98</t>
  </si>
  <si>
    <t>EXT</t>
  </si>
  <si>
    <t>Deferred external qualification: Operator, Payment, Registry or Deployment — IDs beginning OPERATOR-, PAYMENT- or DEPLOY- receive the external/optional color</t>
  </si>
  <si>
    <t>External / optional</t>
  </si>
  <si>
    <t>20</t>
  </si>
  <si>
    <t>Total</t>
  </si>
  <si>
    <t>118</t>
  </si>
  <si>
    <t>DOMAIN PRIORITY</t>
  </si>
  <si>
    <t>QA domain</t>
  </si>
  <si>
    <t>Priority</t>
  </si>
  <si>
    <t>Progress</t>
  </si>
  <si>
    <t>QA domain (EXT / optional)</t>
  </si>
  <si>
    <t>QA infrastructure</t>
  </si>
  <si>
    <t>14</t>
  </si>
  <si>
    <t>2 passed / 2 total (100%)</t>
  </si>
  <si>
    <t>Asset</t>
  </si>
  <si>
    <t>3 passed / 6 total (50%)</t>
  </si>
  <si>
    <t>Operator</t>
  </si>
  <si>
    <t>3</t>
  </si>
  <si>
    <t>0 passed / 9 total (0%)</t>
  </si>
  <si>
    <t>Identity &amp; access</t>
  </si>
  <si>
    <t>13</t>
  </si>
  <si>
    <t>8 passed / 8 total (100%)</t>
  </si>
  <si>
    <t>Content</t>
  </si>
  <si>
    <t>8</t>
  </si>
  <si>
    <t>2 passed / 3 total (67%)</t>
  </si>
  <si>
    <t>Payment</t>
  </si>
  <si>
    <t>2</t>
  </si>
  <si>
    <t>0 passed / 5 total (0%)</t>
  </si>
  <si>
    <t>Event</t>
  </si>
  <si>
    <t>12</t>
  </si>
  <si>
    <t>47 passed / 48 total (98%)</t>
  </si>
  <si>
    <t>Notifications</t>
  </si>
  <si>
    <t>7</t>
  </si>
  <si>
    <t>0 passed / 4 total (0%)</t>
  </si>
  <si>
    <t>Deployment</t>
  </si>
  <si>
    <t>1</t>
  </si>
  <si>
    <t>0 passed / 6 total (0%)</t>
  </si>
  <si>
    <t>Tournament</t>
  </si>
  <si>
    <t>11</t>
  </si>
  <si>
    <t>15 passed / 15 total (100%)</t>
  </si>
  <si>
    <t>Client platform</t>
  </si>
  <si>
    <t>6</t>
  </si>
  <si>
    <t>0 passed / 2 total (0%)</t>
  </si>
  <si>
    <t>Chat</t>
  </si>
  <si>
    <t>10</t>
  </si>
  <si>
    <t>6 passed / 6 total (100%)</t>
  </si>
  <si>
    <t>Administration</t>
  </si>
  <si>
    <t>1 passed / 4 total (25%)</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</si>
  <si>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</si>
  <si>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</si>
  <si>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</si>
  <si>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</si>
  <si>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</si>
  <si>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</si>
  <si>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</si>
  <si>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</si>
  <si>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</si>
  <si>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</si>
  <si>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</si>
  <si>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</si>
  <si>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</si>
  <si>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</si>
  <si>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</si>
  <si>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</si>
  <si>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</si>
  <si>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</si>
  <si>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</si>
  <si>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</si>
  <si>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</si>
  <si>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</si>
  <si>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</si>
  <si>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</si>
  <si>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</si>
  <si>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</si>
  <si>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</si>
  <si>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</si>
  <si>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</si>
  <si>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</si>
  <si>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</si>
  <si>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</si>
  <si>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</si>
  <si>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PASS</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</si>
  <si>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</si>
  <si>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P0 100</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</si>
  <si>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</si>
  <si>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</si>
  <si>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</si>
  <si>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</si>
  <si>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</si>
  <si>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</si>
  <si>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</si>
  <si>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</si>
  <si>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</si>
  <si>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</si>
  <si>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</si>
  <si>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</si>
  <si>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</si>
  <si>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</si>
  <si>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</si>
  <si>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</si>
  <si>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</si>
  <si>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</si>
  <si>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</si>
  <si>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</si>
  <si>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</si>
  <si>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</si>
  <si>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</si>
  <si>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</si>
  <si>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</si>
  <si>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</si>
  <si>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</si>
  <si>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</si>
  <si>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</si>
  <si>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</si>
  <si>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</si>
  <si>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</si>
  <si>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</si>
  <si>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</si>
  <si>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</si>
  <si>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</si>
  <si>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</si>
  <si>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</si>
  <si>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</si>
  <si>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</si>
  <si>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</si>
  <si>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</si>
  <si>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</si>
  <si>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</si>
  <si>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</si>
  <si>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</si>
  <si>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</si>
  <si>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</si>
  <si>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</si>
  <si>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</si>
  <si>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</si>
  <si>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</si>
  <si>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</si>
  <si>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</si>
  <si>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</si>
  <si>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</si>
  <si>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</si>
  <si>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</si>
  <si>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</si>
  <si>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</si>
  <si>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</si>
  <si>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</si>
  <si>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</si>
  <si>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</si>
  <si>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</si>
  <si>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</si>
  <si>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</si>
  <si>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</si>
  <si>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</si>
  <si>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</si>
  <si>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</si>
  <si>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</si>
  <si>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</si>
  <si>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</si>
  <si>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</si>
  <si>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</si>
  <si>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</si>
  <si>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</si>
  <si>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</si>
  <si>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</si>
  <si>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</si>
  <si>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</si>
  <si>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</si>
  <si>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</si>
  <si>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</si>
  <si>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</si>
  <si>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</si>
  <si>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</si>
  <si>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</si>
  <si>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</si>
  <si>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</si>
  <si>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</si>
  <si>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</si>
  <si>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</si>
  <si>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</si>
  <si>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</si>
  <si>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</si>
  <si>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</si>
  <si>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</si>
  <si>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</si>
  <si>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</si>
  <si>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</si>
  <si>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</si>
  <si>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</si>
  <si>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</si>
  <si>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</si>
  <si>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</si>
  <si>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</si>
  <si>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</si>
  <si>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</si>
  <si>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</si>
  <si>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</si>
  <si>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</si>
  <si>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</si>
  <si>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</si>
  <si>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</si>
  <si>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</si>
  <si>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</si>
  <si>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</si>
  <si>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</si>
  <si>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</si>
  <si>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</si>
  <si>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</si>
  <si>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</si>
  <si>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</si>
  <si>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</si>
  <si>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</si>
  <si>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</si>
  <si>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</si>
  <si>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</si>
  <si>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</si>
  <si>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</si>
  <si>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</si>
  <si>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</si>
  <si>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</si>
  <si>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</si>
  <si>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</si>
  <si>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</si>
  <si>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</si>
  <si>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</si>
  <si>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</si>
  <si>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</si>
  <si>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</si>
  <si>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</si>
  <si>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</si>
  <si>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</si>
  <si>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</si>
  <si>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</si>
  <si>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</si>
  <si>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</si>
  <si>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</si>
  <si>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</si>
  <si>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</si>
  <si>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</si>
  <si>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</si>
  <si>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</si>
  <si>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</si>
  <si>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</si>
  <si>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</si>
  <si>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</si>
  <si>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</si>
  <si>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</si>
  <si>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</si>
  <si>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</si>
  <si>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</si>
  <si>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</si>
  <si>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</si>
  <si>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</si>
  <si>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</si>
  <si>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</si>
  <si>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</si>
  <si>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</si>
  <si>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</si>
  <si>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</si>
  <si>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</si>
  <si>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</si>
  <si>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</si>
  <si>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</si>
  <si>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</si>
  <si>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</si>
  <si>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</si>
  <si>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</si>
  <si>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</si>
  <si>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</si>
  <si>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</si>
  <si>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</si>
  <si>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</si>
  <si>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</si>
  <si>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</si>
  <si>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</si>
  <si>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</si>
  <si>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</si>
  <si>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</si>
  <si>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</si>
  <si>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</si>
  <si>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</si>
  <si>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</si>
  <si>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</si>
  <si>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</si>
  <si>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</si>
  <si>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</si>
  <si>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</si>
  <si>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</si>
  <si>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</si>
  <si>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</si>
  <si>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</si>
  <si>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</si>
  <si>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</si>
  <si>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</si>
  <si>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</si>
  <si>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</si>
  <si>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</si>
  <si>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</si>
  <si>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</si>
  <si>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</si>
  <si>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</si>
  <si>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</si>
  <si>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</si>
  <si>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</si>
  <si>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</si>
  <si>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</si>
  <si>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</si>
  <si>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</si>
  <si>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</si>
  <si>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</si>
  <si>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</si>
  <si>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</si>
  <si>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</si>
  <si>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</si>
  <si>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</si>
  <si>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</si>
  <si>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</si>
  <si>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</si>
  <si>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</si>
  <si>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</si>
  <si>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</si>
  <si>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</si>
  <si>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</si>
  <si>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</si>
  <si>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</si>
  <si>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</si>
  <si>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</si>
  <si>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</si>
  <si>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</si>
  <si>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</si>
  <si>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</si>
  <si>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</si>
  <si>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</si>
  <si>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</si>
  <si>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</si>
  <si>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</si>
  <si>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</si>
  <si>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</si>
  <si>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</si>
  <si>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</si>
  <si>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</si>
  <si>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</si>
  <si>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</si>
  <si>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</si>
  <si>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</si>
  <si>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</si>
  <si>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</si>
  <si>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</si>
  <si>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</si>
  <si>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</si>
  <si>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</si>
  <si>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</si>
  <si>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</si>
  <si>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</si>
  <si>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</si>
  <si>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</si>
  <si>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</si>
  <si>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</si>
  <si>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</si>
  <si>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</si>
  <si>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</si>
  <si>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</si>
  <si>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</si>
  <si>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</si>
  <si>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</si>
  <si>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</si>
  <si>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</si>
  <si>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</si>
  <si>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</si>
  <si>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</si>
  <si>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</si>
  <si>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</si>
  <si>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</si>
  <si>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</si>
  <si>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</si>
  <si>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</si>
  <si>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</si>
  <si>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</si>
  <si>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</si>
  <si>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</si>
  <si>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</si>
  <si>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</si>
  <si>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</si>
  <si>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</si>
  <si>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</si>
  <si>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</si>
  <si>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</si>
  <si>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</si>
  <si>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</si>
  <si>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</si>
  <si>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</si>
  <si>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</si>
  <si>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</si>
  <si>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</si>
  <si>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</si>
  <si>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</si>
  <si>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</si>
  <si>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</si>
  <si>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</si>
  <si>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</si>
  <si>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</si>
  <si>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</si>
  <si>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</si>
  <si>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</si>
  <si>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</si>
  <si>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</si>
  <si>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</si>
  <si>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</si>
  <si>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</si>
  <si>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</si>
  <si>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</si>
  <si>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</si>
  <si>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</si>
  <si>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</si>
  <si>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</si>
  <si>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</si>
  <si>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</si>
  <si>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</si>
  <si>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</si>
  <si>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</si>
  <si>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</si>
  <si>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</si>
  <si>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</si>
  <si>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</si>
  <si>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</si>
  <si>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</si>
  <si>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</si>
  <si>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</si>
  <si>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</si>
  <si>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</si>
  <si>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</si>
  <si>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</si>
  <si>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</si>
  <si>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</si>
  <si>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</si>
  <si>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</si>
  <si>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</si>
  <si>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</si>
  <si>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</si>
  <si>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</si>
  <si>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</si>
  <si>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</si>
  <si>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</si>
  <si>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</si>
  <si>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</si>
  <si>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</si>
  <si>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</si>
  <si>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</si>
  <si>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</si>
  <si>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</si>
  <si>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</si>
  <si>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</si>
  <si>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</si>
  <si>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</si>
  <si>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</si>
  <si>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</si>
  <si>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</si>
  <si>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</si>
  <si>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</si>
  <si>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</si>
  <si>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</si>
  <si>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</si>
  <si>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</si>
  <si>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</si>
  <si>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</si>
  <si>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EVENT-CHECKOUT-DUMMY-001</t>
  </si>
  <si>
    <t>Event Explore dummy checkout</t>
  </si>
  <si>
    <t>From Event Explore traverse paid review, resumable basket, Cancel and one successful dummy Payment, then compare free, approval-required and waitlist action states</t>
  </si>
  <si>
    <t>INDIRECT one Event participation delta after successful dummy payment; draft/cancel/summary reads X</t>
  </si>
  <si>
    <t>DELTA one basket/payment/membership chain for success and one closed Cancel audit; every reload/summary read X</t>
  </si>
  <si>
    <t>INDIRECT only after accepted membership evidence/recompute</t>
  </si>
  <si>
    <t>CONDITIONAL normal member/chat/affinity/outbox work; external provider, capture and settlement workers X</t>
  </si>
  <si>
    <t>Fresh paid: Book Event -&gt; Join -&gt; Demo payment/Payment; saved pre-pay: Continue booking plus Back/Cancel payment/Payment; success: one accepted Activity Events Active/All row with View Event, Payment summary and Leave Event; free/approval/waitlist controls never expose Payment in an ineligible state; no freeze, duplicate popup, payment, membership, chat or counter</t>
  </si>
  <si>
    <t>DESIGN CAPTURED / NOT RUN</t>
  </si>
  <si>
    <t>Event checkout review/payment/basket, pricing and membership sources have automated coverage; the complete HTTP browser dummy-payment action/destination matrix has not run</t>
  </si>
  <si>
    <t>Compare button-state table, one cancelled audit, one dummy approved/joined payment, inactive succeeded basket, exact accepted membership/occupancy/chat/counters, immutable summary, reload/idempotence and unchanged controls</t>
  </si>
  <si>
    <t>Added 2026-09-02 after confirming EVENT-TICKET-005 exercised approval-before-payment rather than the manual demo Payment action. Core Event owner; dummy provider only, not Stripe/Barion. Versioned fixture and browser-session definition are required before execution.</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</si>
  <si>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</si>
  <si>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</si>
  <si>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</si>
  <si>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</si>
  <si>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</si>
  <si>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</si>
  <si>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</si>
  <si>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</si>
  <si>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</si>
  <si>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</si>
  <si>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</si>
  <si>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</si>
  <si>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</si>
  <si>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</si>
  <si>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</si>
  <si>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</si>
  <si>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</si>
  <si>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</si>
  <si>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</si>
  <si>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</si>
  <si>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</si>
  <si>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</si>
  <si>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</si>
  <si>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</si>
  <si>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</si>
  <si>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</si>
  <si>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</si>
  <si>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</si>
  <si>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</si>
  <si>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</si>
  <si>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</si>
  <si>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</si>
  <si>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</si>
  <si>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</si>
  <si>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</si>
  <si>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</si>
  <si>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</si>
  <si>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</si>
  <si>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</si>
  <si>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</si>
  <si>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</si>
  <si>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</si>
  <si>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</si>
  <si>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</si>
  <si>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</si>
  <si>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</si>
  <si>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</si>
  <si>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</si>
  <si>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</si>
  <si>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</si>
  <si>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</si>
  <si>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</si>
  <si>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</si>
  <si>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</si>
  <si>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</si>
  <si>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</si>
  <si>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</si>
  <si>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</si>
  <si>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</si>
  <si>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</si>
  <si>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</si>
  <si>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</si>
  <si>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</si>
  <si>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</si>
  <si>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</si>
  <si>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</si>
  <si>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</si>
  <si>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</si>
  <si>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</si>
  <si>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</si>
  <si>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</si>
  <si>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</si>
  <si>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</si>
  <si>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</si>
  <si>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</si>
  <si>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</si>
  <si>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</si>
  <si>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</si>
  <si>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</si>
  <si>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</si>
  <si>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</si>
  <si>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</si>
  <si>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</si>
  <si>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</si>
  <si>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</si>
  <si>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</si>
  <si>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</si>
  <si>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</si>
  <si>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</si>
  <si>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</si>
  <si>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</si>
  <si>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</si>
  <si>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</si>
  <si>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</si>
  <si>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</si>
  <si>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</si>
  <si>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</si>
  <si>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</si>
  <si>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</si>
  <si>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</si>
  <si>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</si>
  <si>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</si>
  <si>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</si>
  <si>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</si>
  <si>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</si>
  <si>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</si>
  <si>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</si>
  <si>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</si>
  <si>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</si>
  <si>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</si>
  <si>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</si>
  <si>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</si>
  <si>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</si>
  <si>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</si>
  <si>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</si>
  <si>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</si>
  <si>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</si>
  <si>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</si>
  <si>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</si>
  <si>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</si>
  <si>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</si>
  <si>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</si>
  <si>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</si>
  <si>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</si>
  <si>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</si>
  <si>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</si>
  <si>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</si>
  <si>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</si>
  <si>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</si>
  <si>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</si>
  <si>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</si>
  <si>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</si>
  <si>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</si>
  <si>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</si>
  <si>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</si>
  <si>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</si>
  <si>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</si>
  <si>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</si>
  <si>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</si>
  <si>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</si>
  <si>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</si>
  <si>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</si>
  <si>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</si>
  <si>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</si>
  <si>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</si>
  <si>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</si>
  <si>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</si>
  <si>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</si>
  <si>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</si>
  <si>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</si>
  <si>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</si>
  <si>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</si>
  <si>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</si>
  <si>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</si>
  <si>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</si>
  <si>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</si>
  <si>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</si>
  <si>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</si>
  <si>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</si>
  <si>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</si>
  <si>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</si>
  <si>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</si>
  <si>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</si>
  <si>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</si>
  <si>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</si>
  <si>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</si>
  <si>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</si>
  <si>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</si>
  <si>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</si>
  <si>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</si>
  <si>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</si>
  <si>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</si>
  <si>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</si>
  <si>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</si>
  <si>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</si>
  <si>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</si>
  <si>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</si>
  <si>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</si>
  <si>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</si>
  <si>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</si>
  <si>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</si>
  <si>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</si>
  <si>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</si>
  <si>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</si>
  <si>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</si>
  <si>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</si>
  <si>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</si>
  <si>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</si>
  <si>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</si>
  <si>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</si>
  <si>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</si>
  <si>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</si>
  <si>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</si>
  <si>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</si>
  <si>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</si>
  <si>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</si>
  <si>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</si>
  <si>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</si>
  <si>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</si>
  <si>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</si>
  <si>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</si>
  <si>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</si>
  <si>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</si>
  <si>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</si>
  <si>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</si>
  <si>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</si>
  <si>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</si>
  <si>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</si>
  <si>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</si>
  <si>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</si>
  <si>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</si>
  <si>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</si>
  <si>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</si>
  <si>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</si>
  <si>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</si>
  <si>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</si>
  <si>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</si>
  <si>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</si>
  <si>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</si>
  <si>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</si>
  <si>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</si>
  <si>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</si>
  <si>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</si>
  <si>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</si>
  <si>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</si>
  <si>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</si>
  <si>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</si>
  <si>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</si>
  <si>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</si>
  <si>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</si>
  <si>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</si>
  <si>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</si>
  <si>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</si>
  <si>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</si>
  <si>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</si>
  <si>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</si>
  <si>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</si>
  <si>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</si>
  <si>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</si>
  <si>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</si>
  <si>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</si>
  <si>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</si>
  <si>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</si>
  <si>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</si>
  <si>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</si>
  <si>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</si>
  <si>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</si>
  <si>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</si>
  <si>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</si>
  <si>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</si>
  <si>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</si>
  <si>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</si>
  <si>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</si>
  <si>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</si>
  <si>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</si>
  <si>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</si>
  <si>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</si>
  <si>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</si>
  <si>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</si>
  <si>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</si>
  <si>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</si>
  <si>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</si>
  <si>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</si>
  <si>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</si>
  <si>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</si>
  <si>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</si>
  <si>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</si>
  <si>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</si>
  <si>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</si>
  <si>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</si>
  <si>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</si>
  <si>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</si>
  <si>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</si>
  <si>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</si>
  <si>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</si>
  <si>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</si>
  <si>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</si>
  <si>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</si>
  <si>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</si>
  <si>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</si>
  <si>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</si>
  <si>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</si>
  <si>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</si>
  <si>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</si>
  <si>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</si>
  <si>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</si>
  <si>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</si>
  <si>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</si>
  <si>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</si>
  <si>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</si>
  <si>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</si>
  <si>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</si>
  <si>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</si>
  <si>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</si>
  <si>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</si>
  <si>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</si>
  <si>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</si>
  <si>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</si>
  <si>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</si>
  <si>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</si>
  <si>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</si>
  <si>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</si>
  <si>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</si>
  <si>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</si>
  <si>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</si>
  <si>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</si>
  <si>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</si>
  <si>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</si>
  <si>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</si>
  <si>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</si>
  <si>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</si>
  <si>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</si>
  <si>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</si>
  <si>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</si>
  <si>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</si>
  <si>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</si>
  <si>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</si>
  <si>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</si>
  <si>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</si>
  <si>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</si>
  <si>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</si>
  <si>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</si>
  <si>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</si>
  <si>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</si>
  <si>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</si>
  <si>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</si>
  <si>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</si>
  <si>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</si>
  <si>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</si>
  <si>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</si>
  <si>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</si>
  <si>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</si>
  <si>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</si>
  <si>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</si>
  <si>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</si>
  <si>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</si>
  <si>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P0 86</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</si>
  <si>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</si>
  <si>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</si>
  <si>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</si>
  <si>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</si>
  <si>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</si>
  <si>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</si>
  <si>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</si>
  <si>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</si>
  <si>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</si>
  <si>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</si>
  <si>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</si>
  <si>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</si>
  <si>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</si>
  <si>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</si>
  <si>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</si>
  <si>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</si>
  <si>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</si>
  <si>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</si>
  <si>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</si>
  <si>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</si>
  <si>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</si>
  <si>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</si>
  <si>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</si>
  <si>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</si>
  <si>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</si>
  <si>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</si>
  <si>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</si>
  <si>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</si>
  <si>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</si>
  <si>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</si>
  <si>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</si>
  <si>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</si>
  <si>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</si>
  <si>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</si>
  <si>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</si>
  <si>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</si>
  <si>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</si>
  <si>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</si>
  <si>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</si>
  <si>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</si>
  <si>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</si>
  <si>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</si>
  <si>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</si>
  <si>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</si>
  <si>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</si>
  <si>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</si>
  <si>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</si>
  <si>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</si>
  <si>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</si>
  <si>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</si>
  <si>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</si>
  <si>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</si>
  <si>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</si>
  <si>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</si>
  <si>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</si>
  <si>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</si>
  <si>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</si>
  <si>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</si>
  <si>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</si>
  <si>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</si>
  <si>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</si>
  <si>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</si>
  <si>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</si>
  <si>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</si>
  <si>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</si>
  <si>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</si>
  <si>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</si>
  <si>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</si>
  <si>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</si>
  <si>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</si>
  <si>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</si>
  <si>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</si>
  <si>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</si>
  <si>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</si>
  <si>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</si>
  <si>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</si>
  <si>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</si>
  <si>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</si>
  <si>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</si>
  <si>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</si>
  <si>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</si>
  <si>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</si>
  <si>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</si>
  <si>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</si>
  <si>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</si>
  <si>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</si>
  <si>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</si>
  <si>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</si>
  <si>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</si>
  <si>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ASSET-BORROW-LIFECYCLE-001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</si>
  <si>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</si>
  <si>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ASSET-BORROW-LIFECYCLE-001</t>
  </si>
  <si>
    <t>Borrow, timeframe, capacity and Statistics lifecycle</t>
  </si>
  <si>
    <t>Request one asset for the exact event/stage/group range, accept it, reject a control, create overlapping finite-capacity requests, move one outside overlap and verify the exact Asset Statistics delta</t>
  </si>
  <si>
    <t>INDIRECT pending/accepted asset request counts; INDIRECT available quantity/order; Asset activity and asset-request delta</t>
  </si>
  <si>
    <t>DELTA one request/payment-session reference per branch and exact availability quantity; DELTA booking quantities and availability projection only; Assets queue/flow delta</t>
  </si>
  <si>
    <t>CONDITIONAL provider/outbox work only when the staged asset policy requires it; X unless the configured booking policy explicitly produces provider work; Affinity recompute may run</t>
  </si>
  <si>
    <t>Requester and owner see the same request state; accepted borrower becomes assignment-eligible only for the exact generated-group booking scope; reject/cancel clean up once and the sibling group stays unchanged; Explore availability and assignment eligibility never exceed quantity/capacity; moving one timeframe restores exactly its released capacity in place and after reload; Asset request state correct</t>
  </si>
  <si>
    <t>Consolidates ASSET-BORROW-001, ASSET-AVAIL-001, STAT-013. Borrow request records, booking scope, accept/reject/cancel policies and payment hooks exist; integrated group-context manual lifecycle has not run; Backend overlap/availability expression and booking records exist; exact boundary and UI convergence have not been manually executed; Service tests</t>
  </si>
  <si>
    <t>Compare contextual dates, request status, conflicts/capacity, counters/notifications/reload, exact Statistics/Monitoring attribution and unchanged assets</t>
  </si>
  <si>
    <t>Source status: ASSET-BORROW-001=DESIGN CAPTURED / NOT RUN; ASSET-AVAIL-001=DESIGN CAPTURED / NOT RUN; STAT-013=NOT RUN. Borrow permission is not Asset Manager membership and never promotes an Event or Tournament-group role.; Use seconds/minutes fixture spacing; no real-time waiting is required.</t>
  </si>
  <si>
    <t>P2 58</t>
  </si>
  <si>
    <t>ASSET-CHECKOUT-DUMMY-001</t>
  </si>
  <si>
    <t>Resource/Asset Explore dummy checkout</t>
  </si>
  <si>
    <t>From scoped Asset Explore traverse review, resumable checkout, one Dummy pay, pending owner request and terminal acceptance while comparing free and unavailable action states</t>
  </si>
  <si>
    <t>INDIRECT one paid Asset request/accepted-resource delta; draft/payment-summary reads X</t>
  </si>
  <si>
    <t>DELTA one final dummy session/payment, exact borrow request, reservation and scoped resource projection; owner acceptance changes request state once; reads X</t>
  </si>
  <si>
    <t>X; no Event or Tournament affinity role is created</t>
  </si>
  <si>
    <t>CONDITIONAL normal Asset request/outbox work; external provider, capture and settlement workers X</t>
  </si>
  <si>
    <t>Fresh paid: Borrow -&gt; Confirm borrow; saved draft: Borrow Basket/Continue request; payment-ready: Dummy pay/Pay plus Back; paid pending: Payment summary and one owner Pending row; accepted: same read-only summary and exact scoped resource; free uses Send borrow request and unavailable exposes no enabled Borrow; no freeze or duplicate payment/request/reservation</t>
  </si>
  <si>
    <t>Asset Explore checkout/session, pricing, request, availability and scoped-resource sources have automated coverage in parts; the complete HTTP browser Dummy pay/action/destination journey has not run</t>
  </si>
  <si>
    <t>Compare required-input gates, reload-resumed and superseded sessions, one approved dummy payment, pending then accepted request, 3-&gt;2 availability exactly once, immutable summary, scope/role isolation, reload/idempotence and controls</t>
  </si>
  <si>
    <t>Added 2026-09-02 as the paid Asset-domain companion to EVENT-CHECKOUT-DUMMY-001. Resource/Asset Explore is launched inside an exact Event/Sub-event scope. The independent ASSET-BORROW lifecycle retains free/reject/cancel ownership and must not replay this successful payment. Versioned fixture and browser-session definition are required before execution.</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</si>
  <si>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</si>
  <si>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</si>
  <si>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</si>
  <si>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</si>
  <si>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byte-identical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</si>
  <si>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</si>
  <si>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</si>
  <si>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Consolidates ASSET-ASSIGN-001, ASSET-ASSIGN-002, ASSET-ASSIGN-003. Asset assignment lifecycle coverage partial; Three resource types, contribution entries and aggregate projection code exist; combined multi-owner UI replay has not run; Asset save refreshes referenced runtime projections and member removal has managed-resource cleanup; generated-group exact-scope mutation/unassign replay has not run</t>
  </si>
  <si>
    <t>Compare type membership, assignment identity, aggregate cards/counters, normal/group scope, repository parity, polling/reload and cross-group controls</t>
  </si>
  <si>
    <t>Source status: ASSET-ASSIGN-001=NOT RUN; ASSET-ASSIGN-002=DESIGN CAPTURED / NOT RUN; ASSET-ASSIGN-003=DESIGN CAPTURED / NOT RUN. Assignment must not create a second membership; Generated Tournament-group aggregation remains owned by TOURNAMENT-RESOURCE-001.; This is required generated-group write-side cleanup coverage; do not repair stale counters in a projection query or frontend fallback.</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</si>
  <si>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</si>
  <si>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</si>
  <si>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</si>
  <si>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</si>
  <si>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</si>
  <si>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</si>
  <si>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</si>
  <si>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</si>
  <si>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</si>
  <si>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</si>
  <si>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</si>
  <si>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</si>
  <si>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</si>
  <si>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</si>
  <si>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</si>
  <si>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</si>
  <si>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</si>
  <si>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</si>
  <si>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</si>
  <si>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</si>
  <si>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Consolidates ADMIN-CONTENT-REV-001, ADMIN-CONTENT-REV-002, ADMIN-CONTENT-REV-003, ADMIN-IDEA-LIFECYCLE-001. Current Java, frontend-local and administrator manual agree on newest-remaining fallback after active revision deletion; prior unexecuted denial expectation was stale. Revision, consent and Article coverage exists in parts; complete Ava/Kai/Riley HTTP browser journey has not run</t>
  </si>
  <si>
    <t>Use the stable CONTENT-ADMIN-LIFECYCLE-001 guide; compare exact revision/article IDs, scoped active flags, sanitized body/language/base/author, consent histories, audits, admin buckets, fresh and already-open public clients, managed media hashes, reload and idempotence</t>
  </si>
  <si>
    <t>Added stable guide 2026-09-02. Use isolated fixture-owned revisions and Article; ARTICLE-EDITOR-001, LANDING-ARTICLE-001 and ARTICLE-SRC-002 remain immutable PASS controls. Record non-live open-surface behavior honestly. Versioned fixture and browser-session definition are required before execution.</t>
  </si>
  <si>
    <t>P1 92</t>
  </si>
  <si>
    <t>MOBILE-PUSH-LIFECYCLE-001</t>
  </si>
  <si>
    <t>Physical-device notification lifecycle</t>
  </si>
  <si>
    <t>On one disposable device test foreground, background and closed delivery;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</si>
  <si>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</si>
  <si>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</si>
  <si>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</si>
  <si>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</si>
  <si>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Consolidates MOBILE-PUSH-001, MOBILE-PUSH-002, MOBILE-PUSH-003, MOBILE-PUSH-004.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</si>
  <si>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Compare permission UX, token/device records, foreground/system presentation, routing/context, dedupe, revoke/retry and persisted counters</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</si>
  <si>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</si>
  <si>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</si>
  <si>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</si>
  <si>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</si>
  <si>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</si>
  <si>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</si>
  <si>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</si>
  <si>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</si>
  <si>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Both directional rating rows, reciprocal score, notifications and pair identity agree; DELTA terminal tasks and updated affinity/discovery</t>
  </si>
  <si>
    <t>PASS / PARTIAL — CONSOLIDATED</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</si>
  <si>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</si>
  <si>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Compare rating/feedback, sender/target bells/read state, exact KPI, worker lifecycle, edge/neighborhood, no self-notification, dedupe and unchanged controls</t>
  </si>
  <si>
    <t>PASS / PARTIAL</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</si>
  <si>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t>
  </si>
  <si>
    <t>JOB-MESSAGES</t>
  </si>
  <si>
    <t>scheduled-messages</t>
  </si>
  <si>
    <t>Real scheduler dispatches due messages</t>
  </si>
  <si>
    <t>DELTA scheduler/audit; INDIRECT Notifications/outbox</t>
  </si>
  <si>
    <t>DELTA task audit plus notification/email result</t>
  </si>
  <si>
    <t>MANUAL FUNCTIONAL PASS</t>
  </si>
  <si>
    <t>2026-07-29</t>
  </si>
  <si>
    <t>Fixture/service/common lifecycle tests</t>
  </si>
  <si>
    <t>Capture recipient UI and Monitoring</t>
  </si>
  <si>
    <t>Primary domain oracle passed</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</si>
  <si>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</si>
  <si>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</si>
  <si>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</si>
  <si>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</si>
  <si>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</si>
  <si>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</si>
  <si>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</si>
  <si>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</si>
  <si>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Compare rule history/runtime, invalid atomicity, task/outbox/inbox attribution, Job Detail/health, local Firebase-inactive pending semantics, counters/read state, dedupe and restore</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</si>
  <si>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</si>
  <si>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</si>
  <si>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</si>
  <si>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</si>
  <si>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</si>
  <si>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</si>
  <si>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</si>
  <si>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</si>
  <si>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Consolidates MOBILE-WEBVIEW-001, MOBILE-WEBVIEW-002, MOBILE-WEBVIEW-003, MOBILE-ADB-001. Frontend cache/PWA coverage exists in parts; Android cold-start upgrade not run; Resume/cache code exists; real device concurrent mutation not run; Offline ticket/cache foundation exists; real account-switch isolation not run; ADB/offline support exists; full diagnostic checkpoint not run</t>
  </si>
  <si>
    <t>Compare coherent build promotion, resume reconciliation, user-cache isolation, diagnostics, offline contract and reconnect without clearing app data</t>
  </si>
  <si>
    <t>Source status: MOBILE-WEBVIEW-001=DESIGN CAPTURED / REAL DEVICE NOT RUN; MOBILE-WEBVIEW-002=DESIGN CAPTURED / REAL DEVICE NOT RUN; MOBILE-WEBVIEW-003=DESIGN CAPTURED / REAL DEVICE NOT RUN; MOBILE-ADB-001=DESIGN CAPTURED / REAL DEVICE NOT RUN. Do not clear app data before observing the real upgrade path; Do not mix this with periodic poll attribution; No authenticated image or offline ticket may cross users; Phone replaces one desktop phase when three accounts are already open</t>
  </si>
  <si>
    <t>UI-POLL-JANK-001</t>
  </si>
  <si>
    <t>Performance defect retest</t>
  </si>
  <si>
    <t>Admin Jobs + Chat</t>
  </si>
  <si>
    <t>Compare pointer, scroll and input frame pacing across idle UI, Admin process list, Job Detail and Chat during periodic/live updates</t>
  </si>
  <si>
    <t>Job Detail must stay responsive during SmartList refresh; unchanged polls must not mutate rows; only the selected changed rule may reach the detail signal</t>
  </si>
  <si>
    <t>Chat must stay responsive during WebSocket and user-realtime updates</t>
  </si>
  <si>
    <t>ADMIN JOB MANUAL VISUAL PASS; PERFORMANCE TRACE + CHAT RETEST PENDING</t>
  </si>
  <si>
    <t>Focused component tests pass 6/6 for SmartList loading, keyed equality, row patching, detail isolation and local patch routing; running hot-deploy build manually showed no prior Job Detail stutter; browser frame-time trace not captured</t>
  </si>
  <si>
    <t>Capture 20–30 second Performance + Network traces for idle/list/detail/chat; prove unchanged Job polls preserve DOM rows and non-selected updates do not re-render detail; correlate Chat hitches independently</t>
  </si>
  <si>
    <t>OPEN / PARTIAL PASS</t>
  </si>
  <si>
    <t>Admin Jobs now uses SmartList-owned five-second polling, cancellation, keyed equality, visible-row patching and re-sorting with OnPush. Job Detail receives only its selected changed rule through a separate signal; the complete list is not pushed into detail. The full center remains the table data source. The 2026-08-04 hot-deployed build no longer showed the reported stutter during manual use, but no Performance trace was captured. Chat remains a separate reported symptom using OnPush, WebSocket live events and a 30-second global user realtime poll, shortened to 10 seconds in demo; its root cause remains unconfirmed. Both checkpoints must pass before closure.</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</si>
  <si>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</si>
  <si>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</si>
  <si>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</si>
  <si>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</si>
  <si>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</si>
  <si>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</si>
  <si>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</si>
  <si>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</si>
  <si>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</si>
  <si>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</si>
  <si>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</si>
  <si>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</si>
  <si>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</si>
  <si>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</si>
  <si>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</si>
  <si>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</si>
  <si>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</si>
  <si>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Consolidates BASE-MON, MON-011, MON-013, MON-014. Security/DTO support only; Worker/service tests; Lifecycle registry/projection tests; 4 real zero-work scheduler runs observed 2026-08-04; Params exact-once service tests; Params HTTP E2E</t>
  </si>
  <si>
    <t>Compare persisted queue/task/audit state, fast transitions, named job details, parameter exact-once telemetry and unchanged controls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</si>
  <si>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</si>
  <si>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</si>
  <si>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</si>
  <si>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</si>
  <si>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</si>
  <si>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</si>
  <si>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</si>
  <si>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</si>
  <si>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</si>
  <si>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Consolidates BASE-GRAPH, STAT-020, GRAPH-002, GRAPH-003, GRAPH-004, GRAPH-005, GRAPH-006, GRAPH-007, JOB-GRAPH-LAYOUT. Controller/service contracts; Historical immutability regression unit source added; dev classes hot-deploy compiled; runtime snapshot contract passed; standalone unit run intentionally not started; Controller/service forest tests; Neighborhood service tests; Weight-range service tests; Frontend behavior only; Graph and params tests; Tile/forest service tests; Focused worker and graph materialization tests; real dev scheduler smoke</t>
  </si>
  <si>
    <t>Compare totals, neighborhoods, filters, viewport behavior, historical/current summary, scheduler lifecycle and stored/header/reopened layout counts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</si>
  <si>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t>
  </si>
  <si>
    <t>P2 52</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</si>
  <si>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</si>
  <si>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</si>
  <si>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</si>
  <si>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</si>
  <si>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</si>
  <si>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</si>
  <si>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</si>
  <si>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</si>
  <si>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</si>
  <si>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Compare persistence/history/runtime consumers, invalid/cancel atomicity, scoped downstream effects/audits and exact restore</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</si>
  <si>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t>
  </si>
  <si>
    <t>P3 38</t>
  </si>
  <si>
    <t>OPERATOR-FIREBASE-LIFECYCLE-001</t>
  </si>
  <si>
    <t>Firebase configuration, activation and capability</t>
  </si>
  <si>
    <t>Configure/verify Firebase, exercise failed capability/activation, test messaging with one device token, activate, observe login and roll back</t>
  </si>
  <si>
    <t>DELTA operator configuration/capability only; DELTA candidate/tested/active revision state; DELTA tested revision/time and one target delivery</t>
  </si>
  <si>
    <t>Notification delivery becomes conditional on verified Firebase capability; CONDITIONAL capability-test job only; DELTA one capability-test delivery</t>
  </si>
  <si>
    <t>Fresh session opens Firebase login; failed activation and rollback preserve recovery; Changed config clears old verification; failed activation leaves current login/messaging runtime untouched; One message reaches only target; token is absent from DTO, logs and audit</t>
  </si>
  <si>
    <t>Consolidates OPERATOR-FIREBASE-001, OPERATOR-FIREBASE-002, OPERATOR-FIREBASE-003. Operator configuration/security tests partial; Operator Firebase foundation exists; failed-revision activation flow not run; Firebase messaging implementation exists; real-device capability run pending</t>
  </si>
  <si>
    <t>Compare encrypted revisions, capability results, active config, login/messaging behavior, audits and rollback</t>
  </si>
  <si>
    <t>Source status: OPERATOR-FIREBASE-001=NOT RUN; OPERATOR-FIREBASE-002=DESIGN CAPTURED / NOT RUN; OPERATOR-FIREBASE-003=DESIGN CAPTURED / REAL DEVICE NOT RUN. Provider activation is not a demo-login form smoke test; Inputs and credentials remain masked/write-only; Do not record the raw token in QA files</t>
  </si>
  <si>
    <t>OPERATOR-PAYMENT-CONFIG-001</t>
  </si>
  <si>
    <t>Payment credentials and trusted-IP policy</t>
  </si>
  <si>
    <t>Configure/validate/rotate/revoke a provider token while enforcing trusted-proxy client-IP allowlisting on UI and direct operations</t>
  </si>
  <si>
    <t>DELTA immutable operator configuration/security audit; raw token X; DELTA immutable allow/deny security audit with resolved IP and policy revision</t>
  </si>
  <si>
    <t>X unless a named provider-verification job is implemented; ordinary validation is a direct request; X</t>
  </si>
  <si>
    <t>Only masked provider/state/fingerprint metadata returns after save; invalid validation preserves the prior active revision; rotation changes the active revision and revoke makes payment operations fail closed; With policy 127.0.0.1, the same-host trusted resolved client is accepted and a nonmatching client is denied before token/provider access; spoofed forwarding headers, malformed IPs and an empty effective allowlist fail closed; restoring policy changes access exactly once</t>
  </si>
  <si>
    <t>Consolidates OPERATOR-PAYMENT-001, OPERATOR-PAYMENT-IP-001. No implementation coverage yet; requires encrypted secret storage, provider validation, revision activation and secret-safe audit coverage; No implementation coverage yet; requires authoritative IP/CIDR policy, trusted-proxy resolution, backend enforcement and audit coverage</t>
  </si>
  <si>
    <t>Compare encrypted credentials, capability, resolved IP/policy, allowed/denied audits, raw-token absence and restored policy</t>
  </si>
  <si>
    <t>Source status: OPERATOR-PAYMENT-001=DESIGN CAPTURED / NOT IMPLEMENTED; OPERATOR-PAYMENT-IP-001=DESIGN CAPTURED / NOT IMPLEMENTED. Future operator-security domain. The raw payment token is never frontend state and never evidence; recovery must not expose it.; Backend enforcement is required; frontend hiding is not PASS evidence. Audit actor/resolved IP/outcome but never the raw payment token.</t>
  </si>
  <si>
    <t>OPERATOR-PUBLIC-CONFIG-001</t>
  </si>
  <si>
    <t>Bootstrap, admin and public configuration</t>
  </si>
  <si>
    <t>Consume one bootstrap credential, then add/reorder/restore admin email, branding, privacy values and HTTPS social links with invalid controls</t>
  </si>
  <si>
    <t>DELTA operator session and consumed/rotated authority; DELTA one normalized configuration revision; DELTA public configuration revision; DELTA valid public configuration revision only; DELTA normalized ordered social-link revision</t>
  </si>
  <si>
    <t>Replay and ordinary-user access fail closed without exposing the bootstrap secret; Role access follows active unique email list; invalid save preserves prior revision atomically; Header, entry and PWA branding match the persisted revision after explicit reload/fresh load; automatic refresh in an already-open client is not required; rollback is exact; Public config exposes valid pair; invalid save is atomic and unrelated branding stays unchanged; Valid links preserve declared order; unsafe URL is rejected server-side and restore is exact</t>
  </si>
  <si>
    <t>Consolidates OPERATOR-BOOTSTRAP-001, OPERATOR-CONFIG-001, OPERATOR-BRANDING-001, OPERATOR-PRIVACY-001, OPERATOR-SOCIAL-001. Operator bootstrap implementation exists; single-use recovery flow not manually run; Operator configuration tests partial; live three-role observation not run; Branding/config code exists; explicit reload/fresh-client read not run; Operator config validation coverage partial; full UI/server oracle not run; Social configuration coverage partial; manual save/reopen not run</t>
  </si>
  <si>
    <t>Compare single-use bootstrap, revisions, atomic validation, explicit reload/fresh consumers, session stability and restored configuration</t>
  </si>
  <si>
    <t>Source status: OPERATOR-BOOTSTRAP-001=DESIGN CAPTURED / NOT RUN; OPERATOR-CONFIG-001=DESIGN CAPTURED / NOT RUN; OPERATOR-BRANDING-001=DESIGN CAPTURED / NOT RUN; OPERATOR-PRIVACY-001=DESIGN CAPTURED / NOT RUN; OPERATOR-SOCIAL-001=DESIGN CAPTURED / NOT RUN. Recovery boundary must remain reachable after consumption; Restore the exact prior list; Use at most three identities; one open consumer may be reused; No operator secret may enter the public DTO; Frontend validation alone is not evidence</t>
  </si>
  <si>
    <t>OPERATOR-REGISTRY-LIFECYCLE-001</t>
  </si>
  <si>
    <t>Registry identity, binding and deployment state</t>
  </si>
  <si>
    <t>Confirm endpoint, register locally, fail/retry delivery, replace/disconnect with failure, then deactivate/reactivate the binding</t>
  </si>
  <si>
    <t>X; INDIRECT consumer/admin availability</t>
  </si>
  <si>
    <t>DELTA candidate inspection then pinned endpoint identity; DELTA signed deployment membership and receipt; DELTA failed attempt then one completed receipt; DELTA guarded binding transition; DELTA registry and local deployment state</t>
  </si>
  <si>
    <t>X; CONDITIONAL registry durable operation; DELTA durable retry with same logical identity; DELTA replacement/disconnect operation; CONDITIONAL state-propagation work</t>
  </si>
  <si>
    <t>Inspection is read-only; changed endpoint/key/version requires a new explicit decision; One membership exists and both sides agree without private-key leakage; Retry resumes without duplicate deployment or group membership; Failure reports retained/disconnected truth and never invents local success; Consumer/admin fail closed while operator recovery remains available; reactivation converges once</t>
  </si>
  <si>
    <t>Consolidates OPERATOR-REGISTRY-001, OPERATOR-REGISTRY-002, OPERATOR-REGISTRY-003, OPERATOR-REGISTRY-004, OPERATOR-DEPLOYMENT-STATE-001. Registry inspection/identity code and tests exist; operator UI flow not run; Registry server and backend protocol coverage exist; integrated dev-stack flow not run; Durable registry operation coverage exists; failure/retry runtime not run; Registry replacement coverage partial; integrated failure path not run; Deployment state gates exist; live three-role propagation not run</t>
  </si>
  <si>
    <t>Compare local/registry identity, idempotency, rollback, state propagation, audits and restored active binding</t>
  </si>
  <si>
    <t>Source status: OPERATOR-REGISTRY-001=DESIGN CAPTURED / NOT RUN; OPERATOR-REGISTRY-002=DESIGN CAPTURED / NOT RUN; OPERATOR-REGISTRY-003=DESIGN CAPTURED / NOT RUN; OPERATOR-REGISTRY-004=DESIGN CAPTURED / NOT RUN; OPERATOR-DEPLOYMENT-STATE-001=DESIGN CAPTURED / NOT RUN. Never infer trust from URL reachability alone; Registry may be in Compose later but is not started during this audit; Do not recreate deployment identity as a retry mechanism; Use disposable binding and preserve primary identity; Do not conflate deployment inactive with browser offline mode</t>
  </si>
  <si>
    <t>OPERATOR-COMMUNITY-LIFECYCLE-001</t>
  </si>
  <si>
    <t>Claims, community and public reporting</t>
  </si>
  <si>
    <t>Create/withdraw/redeem a claim, issue/use/revoke token, manage group link, load leaderboard, publish announcement and validate providers</t>
  </si>
  <si>
    <t>X; DELTA ranking read only; INDIRECT announcement count</t>
  </si>
  <si>
    <t>DELTA claim state, expiry and audit; DELTA verifier/commitment and revoke audit; DELTA group membership and signed receipt; X; DELTA cursor/acknowledgement and local receipt; DELTA compatible provider discovery only</t>
  </si>
  <si>
    <t>X; INDIRECT registry ranking graph</t>
  </si>
  <si>
    <t>X; CONDITIONAL registry operation; CONDITIONAL registry delivery task</t>
  </si>
  <si>
    <t>Withdrawn or expired claim cannot be redeemed and replay is idempotent; Raw token is shown once, grants only scope and immediately stops authorizing after revoke; Replay is idempotent and unlink preserves unrelated deployment identity; Ranking, paging and membership agree without leaking private deployment data; Eligible deployment receives exactly once in order without duplicate local notification; Only registry-advertised compatible providers appear and malformed metadata cannot activate</t>
  </si>
  <si>
    <t>Consolidates OPERATOR-CLAIM-001, OPERATOR-CLAIM-002, OPERATOR-CLAIM-003, OPERATOR-LEADERBOARD-001, OPERATOR-ANNOUNCEMENT-001, OPERATOR-COMMUNITY-001. Claim lifecycle implementation/tests exist; operator UI flow not run; Registry token security coverage exists; complete operator/manual flow not run; Group claim coverage exists; end-to-end operator flow not run; Registry leaderboard endpoints/tests exist; controlled integrated data flow not run; Announcement infrastructure exists; multi-deployment integrated run not performed; Provider discovery coverage partial; operator activation flow not run</t>
  </si>
  <si>
    <t>Compare claim/token/link scopes, membership, reports, announcement delivery, provider controls and unchanged records</t>
  </si>
  <si>
    <t>Source status: OPERATOR-CLAIM-001=DESIGN CAPTURED / NOT RUN; OPERATOR-CLAIM-002=DESIGN CAPTURED / NOT RUN; OPERATOR-CLAIM-003=DESIGN CAPTURED / NOT RUN; OPERATOR-LEADERBOARD-001=DESIGN CAPTURED / NOT RUN; OPERATOR-ANNOUNCEMENT-001=DESIGN CAPTURED / NOT RUN; OPERATOR-COMMUNITY-001=DESIGN CAPTURED / NOT RUN. One bounded pre-redemption lifecycle; Never store raw token in DTO, database evidence or log; Use one disposable group/claim; No report write is allowed from leaderboard load; Acknowledgement must not hide delivery from another deployment; Payment provider routing remains deployment-local after selection</t>
  </si>
  <si>
    <t>OPERATOR-TLS-LIFECYCLE-001</t>
  </si>
  <si>
    <t>TLS configuration, issuance and recovery</t>
  </si>
  <si>
    <t>Save TLS config, issue/renew through local challenge, then inject one post-staging failure</t>
  </si>
  <si>
    <t>DELTA normalized candidate revision; DELTA certificate generation and active generation; DELTA failed durable job without active-generation change</t>
  </si>
  <si>
    <t>CONDITIONAL validation job only; DELTA real TLS worker; DELTA resumable TLS worker</t>
  </si>
  <si>
    <t>Invalid host/contact/challenge preserves prior active revision; no private key is exposed; Valid cert/key pair is promoted once, nginx uses it and renewal is idempotent; Current valid cert stays active and partial files are not promoted; retry resumes safely</t>
  </si>
  <si>
    <t>Consolidates OPERATOR-TLS-001, OPERATOR-TLS-002, OPERATOR-TLS-003. TLS operator configuration coverage partial; emulated validation not run; TLS worker/package foundation exists; issue/renew emulation not run; Failure-recovery coverage partial; integrated TLS fault not run</t>
  </si>
  <si>
    <t>Compare validation, material revisions, active certificate continuity, rollback, audits and restore</t>
  </si>
  <si>
    <t>Source status: OPERATOR-TLS-001=DESIGN CAPTURED / NOT RUN; OPERATOR-TLS-002=DESIGN CAPTURED / NOT RUN; OPERATOR-TLS-003=DESIGN CAPTURED / NOT RUN. Use disposable local challenge configuration; Requires the user-authorized runtime stack later; ACME/account secrets remain absent from evidence</t>
  </si>
  <si>
    <t>OPERATOR-UPDATE-LIFECYCLE-001</t>
  </si>
  <si>
    <t>Signed update, security and recovery</t>
  </si>
  <si>
    <t>Apply one signed compatible release, reject invalid/corrupt/downgrade controls, then interrupt/reconnect to worker events</t>
  </si>
  <si>
    <t>DELTA verified release and active version; DELTA rejected attempt/audit only; DELTA durable phase/event cursor</t>
  </si>
  <si>
    <t>DELTA durable update job; DELTA failed update job before activation; DELTA resumed update operation</t>
  </si>
  <si>
    <t>Signature/fingerprint/version verify before replacement and active version changes once; Every variant fails before activation; services/data remain intact and no signing secret leaks; Worker resumes without double extraction/restart and UI reconstructs terminal truth</t>
  </si>
  <si>
    <t>Consolidates OPERATOR-UPDATE-001, OPERATOR-UPDATE-002, OPERATOR-UPDATE-003. Update/package automation exists; disposable signed upgrade not run in this audit; Package verification tests exist; complete operator runtime branches not run; Durable job/event-stream foundation exists; interruption test not run</t>
  </si>
  <si>
    <t>Compare signature/version policy, progress, atomic activation/rollback, reconnect and retained version</t>
  </si>
  <si>
    <t>Source status: OPERATOR-UPDATE-001=DESIGN CAPTURED / NOT RUN; OPERATOR-UPDATE-002=DESIGN CAPTURED / NOT RUN; OPERATOR-UPDATE-003=DESIGN CAPTURED / NOT RUN. Never apply to the live development checkout; Short variants share one preactivation rejection contract; Disposable target only</t>
  </si>
  <si>
    <t>OPERATOR-REVENUE-LIFECYCLE-001</t>
  </si>
  <si>
    <t>Revenue reporting and settlement reconciliation</t>
  </si>
  <si>
    <t>Sync known captures, fail/requeue one report and reconcile settlements around one capture/release</t>
  </si>
  <si>
    <t>DELTA exact provider/period/currency totals; X; DELTA provider/currency settlement totals</t>
  </si>
  <si>
    <t>DELTA immutable revenue report revision; DELTA ordered attempts and terminal report; DELTA reconciliation rows</t>
  </si>
  <si>
    <t>DELTA revenue synchronization job; DELTA one controlled requeue; X</t>
  </si>
  <si>
    <t>Captured payments aggregate once; authorized, released, dummy and audit revisions are excluded; Failure is durable/secret-safe and requeue produces one reconstructible terminal attempt; Payment, booking and provider operation IDs reconcile without mixing providers or currencies</t>
  </si>
  <si>
    <t>Consolidates OPERATOR-REVENUE-001, OPERATOR-REVENUE-002, OPERATOR-REVENUE-003. Revenue reporting implementation/tests partial; payment-integrated set not run; Admin job/revenue infrastructure exists; injected failure/requeue not run; Settlement UI/reporting coverage partial; integrated payment data not run</t>
  </si>
  <si>
    <t>Compare source captures, report state, retry idempotency, settlement totals and controls</t>
  </si>
  <si>
    <t>Source status: OPERATOR-REVENUE-001=DESIGN CAPTURED / NOT RUN; OPERATOR-REVENUE-002=DESIGN CAPTURED / NOT RUN; OPERATOR-REVENUE-003=DESIGN CAPTURED / NOT RUN. Do not infer revenue from authorization; Failed record stays immutable; Authorization-only records remain outside captured totals</t>
  </si>
  <si>
    <t>OPERATOR-MEASUREMENT-LIFECYCLE-001</t>
  </si>
  <si>
    <t>Measurement reporting and recovery</t>
  </si>
  <si>
    <t>Synchronize one period, fail one report and requeue once</t>
  </si>
  <si>
    <t>DELTA exact period/count/value; X</t>
  </si>
  <si>
    <t>DELTA immutable measurement report; DELTA immutable failed attempt and successful successor</t>
  </si>
  <si>
    <t>INDIRECT leaderboard input; X</t>
  </si>
  <si>
    <t>DELTA measurement synchronization job; DELTA one controlled requeue</t>
  </si>
  <si>
    <t>Source period and inputs persist once; leaderboard reads do not rewrite report; Attempt order is stable, duplicate work is prevented and success does not overwrite failure</t>
  </si>
  <si>
    <t>Consolidates OPERATOR-MEASUREMENT-001, OPERATOR-MEASUREMENT-002. Measurement/registry coverage exists in parts; controlled integrated run not performed; Admin job foundation exists; measurement failure/requeue not run</t>
  </si>
  <si>
    <t>Compare source period/totals, report/audit, retry idempotency and controls</t>
  </si>
  <si>
    <t>Source status: OPERATOR-MEASUREMENT-001=DESIGN CAPTURED / NOT RUN; OPERATOR-MEASUREMENT-002=DESIGN CAPTURED / NOT RUN. Use one closed measurement period; No ad-hoc repair of the failed record</t>
  </si>
  <si>
    <t>PAYMENT-STRIPE-LIFECYCLE-001</t>
  </si>
  <si>
    <t>Stripe authorization, challenge and callback</t>
  </si>
  <si>
    <t>Start manual-capture checkout, complete 3DS, exercise decline/cancel/timeout, validate callbacks and replay/out-of-order states</t>
  </si>
  <si>
    <t>X; INDIRECT membership after verified authorization</t>
  </si>
  <si>
    <t>DELTA stable internal payment and provider operation; DELTA signed callback, authorization and fulfillment; DELTA exact failed or expired payment state; DELTA only for signed provider/amount/currency-matching callback; DELTA legal monotonic transition only</t>
  </si>
  <si>
    <t>X; DELTA durable fulfillment; capture remains X; CONDITIONAL exact durable operation for accepted callback only; DELTA at most one fulfillment/release/capture operation</t>
  </si>
  <si>
    <t>Basket becomes pay/pending; membership, ticket and counters stay unchanged before authorization; One authorized payment and one membership/ticket appear; amount remains uncaptured; No failed branch creates membership, ticket, counter or capture; Rejected callbacks leave payment, booking and gateway-operation collections unchanged; Terminal state never regresses and membership is not repeated</t>
  </si>
  <si>
    <t>Consolidates PAYMENT-STRIPE-001, PAYMENT-STRIPE-002, PAYMENT-STRIPE-003, PAYMENT-STRIPE-WEBHOOK-001, PAYMENT-STRIPE-WEBHOOK-002. Java focused payment tests and isolated simulator tests pass; Compose runtime not started; Java authorization/idempotency tests and simulator 3DS branch pass; runtime not started; Simulator branch coverage exists; full MyScoutee runtime branches not run; Signed webhook controller and focused Java coverage present; runtime HTTP not run; Focused Java replay/repair tests pass; runtime callback sequence not run</t>
  </si>
  <si>
    <t>Compare internal/provider identity, invariants, signature security, monotonic state, idempotency and audits</t>
  </si>
  <si>
    <t>Source status: PAYMENT-STRIPE-001=AUTOMATED FOUNDATION PASS; MANUAL NOT RUN; PAYMENT-STRIPE-002=AUTOMATED FOUNDATION PASS; MANUAL NOT RUN; PAYMENT-STRIPE-003=AUTOMATED FOUNDATION PASS; MANUAL NOT RUN; PAYMENT-STRIPE-WEBHOOK-001=AUTOMATED FOUNDATION PASS; MANUAL NOT RUN; PAYMENT-STRIPE-WEBHOOK-002=AUTOMATED FOUNDATION PASS; MANUAL NOT RUN. One producer action; stable payment and idempotency identity are the checkpoint boundary; Authorization is not capture; UI plus provider and persistence oracles are required; The three short branches share one failure-isolation contract; Backend validation is authoritative; simulator controls are not production trust; Replay may repair missing durable compensation but may not repeat the business write</t>
  </si>
  <si>
    <t>PAYMENT-BARION-LIFECYCLE-001</t>
  </si>
  <si>
    <t>Barion delayed-capture and challenge</t>
  </si>
  <si>
    <t>Start DelayedCapture, test direct/bank challenge approve/decline/cancel/timeout and reject malformed callback identity</t>
  </si>
  <si>
    <t>INDIRECT membership after verified authorization; X</t>
  </si>
  <si>
    <t>DELTA callback PaymentId, PaymentState read and fulfillment; DELTA exact provider-neutral state per clean branch</t>
  </si>
  <si>
    <t>DELTA durable fulfillment; capture remains X; X unless authorization succeeds</t>
  </si>
  <si>
    <t>Provider-neutral authorized state and one membership persist with Barion-local IDs; malformed ID fails before credential/network access; Only successful authorization can create membership/ticket; replay is idempotent</t>
  </si>
  <si>
    <t>Consolidates PAYMENT-BARION-001, PAYMENT-BARION-002. Barion simulator and Java gateway foundation pass; malformed callback GUID guard focused test passes; Compose runtime not started; Barion simulator branch tests pass; full browser/runtime flow not run</t>
  </si>
  <si>
    <t>Compare identities, challenge states, validation, invariants, idempotency and audits</t>
  </si>
  <si>
    <t>Source status: PAYMENT-BARION-001=AUTOMATED FOUNDATION PASS; MANUAL NOT RUN; PAYMENT-BARION-002=AUTOMATED FOUNDATION PASS; MANUAL NOT RUN. Stripe and Barion resource identities must remain isolated; Short branches share one Barion challenge-routing contract</t>
  </si>
  <si>
    <t>PAYMENT-SETTLEMENT-LIFECYCLE-001</t>
  </si>
  <si>
    <t>Capture, release, compensation and lifetime</t>
  </si>
  <si>
    <t>Exercise fulfilled capture, pre-capture cancel/release, post-auth failure, hold expiry and partial/over-capture with retries</t>
  </si>
  <si>
    <t>INDIRECT captured revenue after settlement; X; INDIRECT exact captured revenue</t>
  </si>
  <si>
    <t>DELTA capture operation and terminal payment state; DELTA cancelled booking plus pending/completed release; DELTA fulfillment failure and release intent; DELTA expiry and reauthorization/setup state; DELTA provider and internal captured amount</t>
  </si>
  <si>
    <t>DELTA real settlement worker exact once; DELTA durable provider release; DELTA one durable release operation; CONDITIONAL reauthorization worker; DELTA exact-once partial capture</t>
  </si>
  <si>
    <t>Exact authorized amount is captured once; retry/restart reuses operation identity and changed payload under that identity fails closed; Uncaptured authorization is released; no refund record claims money was charged; No membership/ticket appears; callback replay repairs queue work without retrying fulfillment; Expired authorization cannot capture and the UI never claims an indefinite hold; Amount/currency agree; retry is a no-op and invalid or excessive capture fails closed</t>
  </si>
  <si>
    <t>Consolidates PAYMENT-CAPTURE-001, PAYMENT-RELEASE-001, PAYMENT-COMPENSATE-001, PAYMENT-EXPIRY-001, PAYMENT-PARTIAL-001. Settlement and durable gateway-operation idempotency/payload-conflict focused tests pass; runtime scheduler not run; Focused cancellation and settlement release tests pass; runtime not run; PaymentAuthorizationCoordinator failure/replay tests pass; Setup/reauthorization scheduling beyond provider hold windows is not implemented; Gateway abstraction supports amounts; complete partial-capture runtime contract not proven</t>
  </si>
  <si>
    <t>Compare amount/currency/keys, entitlement truth, settlement states, provider totals, retries and audits</t>
  </si>
  <si>
    <t>Source status: PAYMENT-CAPTURE-001=AUTOMATED FOUNDATION PASS; MANUAL NOT RUN; PAYMENT-RELEASE-001=AUTOMATED FOUNDATION PASS; MANUAL NOT RUN; PAYMENT-COMPENSATE-001=AUTOMATED FOUNDATION PASS; MANUAL NOT RUN; PAYMENT-EXPIRY-001=BLOCKED / DESIGN GAP; PAYMENT-PARTIAL-001=DESIGN CAPTURED / NOT RUN. Use the real worker when runtime execution is authorized; Cancellation and provider release are separate durable boundaries; Failure must be persisted before callback acknowledgement; Honest product/design gap; Use independent clean payment for the invalid branch</t>
  </si>
  <si>
    <t>PAYMENT-PROVIDER-ROUTING-001</t>
  </si>
  <si>
    <t>Cross-provider routing and replacement</t>
  </si>
  <si>
    <t>Run equivalent checkout per provider, authorize successor elsewhere, transfer one place and release predecessor</t>
  </si>
  <si>
    <t>INDIRECT seat ownership; X</t>
  </si>
  <si>
    <t>DELTA predecessor/successor saga state; DELTA provider-specific resource and callback records</t>
  </si>
  <si>
    <t>DELTA successor authorization then predecessor release; CONDITIONAL provider-local durable operation</t>
  </si>
  <si>
    <t>Exactly one seat transfers only after successor authorization; providers use only their own IDs; UX remains provider-neutral and switching providers never reuses another provider's authorization</t>
  </si>
  <si>
    <t>Consolidates PAYMENT-REPLACEMENT-001, PAYMENT-PROVIDER-ROUTING-001. Provider-neutral fields exist; replacement saga and seat-transfer writer are not implemented; Deployment payment routing focused tests pass; browser/runtime not run</t>
  </si>
  <si>
    <t>Compare selected provider/revision, stable booking, successor/predecessor, capacity, no double entitlement and audits</t>
  </si>
  <si>
    <t>Source status: PAYMENT-REPLACEMENT-001=BLOCKED / DESIGN GAP; PAYMENT-PROVIDER-ROUTING-001=AUTOMATED FOUNDATION PASS; MANUAL NOT RUN. Honest gap; not a failed manual result and not simulated as PASS; Provider can differ between predecessor and successor but IDs never cross</t>
  </si>
  <si>
    <t>PAYMENT-SIMULATOR-LIFECYCLE-001</t>
  </si>
  <si>
    <t>Simulator durability and production isolation</t>
  </si>
  <si>
    <t>Restart simulator between authorization/callback replay, then compare dev/production config and protected controls</t>
  </si>
  <si>
    <t>DELTA SQLite-restored provider state and delivery audit; DELTA security denial audit only</t>
  </si>
  <si>
    <t>Same idempotency key returns the same resource and changed payload conflicts after restart; Simulator is dev-only, accepts test credentials, protects controls and production rejects custom API bases</t>
  </si>
  <si>
    <t>Consolidates PAYMENT-SIMULATOR-001, PAYMENT-SIMULATOR-SEC-001. Isolated Go simulator tests pass; container restart and Compose not run; Endpoint resolver/security foundation and static Compose design present; production runtime not run</t>
  </si>
  <si>
    <t>Compare provider state/idempotency across restart and prove production exposes no simulator endpoints/credentials</t>
  </si>
  <si>
    <t>Source status: PAYMENT-SIMULATOR-001=AUTOMATED FOUNDATION PASS; MANUAL NOT RUN; PAYMENT-SIMULATOR-SEC-001=AUTOMATED FOUNDATION PASS; MANUAL NOT RUN. Never restart or duplicate the main dev stack for this checkpoint; Production must not inherit simulator capability or endpoint switches</t>
  </si>
  <si>
    <t>DEPLOY-FIREBASE-LIFECYCLE-001</t>
  </si>
  <si>
    <t>Production-like Firebase identity, authorization and messaging</t>
  </si>
  <si>
    <t>Activate verified Firebase in VMware, onboard one eligible identity, prove one pending-invitation protected direct/deep-link denial before acceptance, keep admin stable, register a physical token and deliver/tap one chat push</t>
  </si>
  <si>
    <t>INDIRECT user inventory; X; INDIRECT one ordinary chat message</t>
  </si>
  <si>
    <t>DELTA one subject/user/profile link; protected-read denial X; DELTA active auth revision; DELTA one target-only recipient push and inbox row; controls X</t>
  </si>
  <si>
    <t>INDIRECT after normal profile processing; X</t>
  </si>
  <si>
    <t>X; CONDITIONAL capability test only; activation notification X; DELTA one delivery task when device registration is active</t>
  </si>
  <si>
    <t>Reload/login reuses one user, preserves the resolved country partition through authentication/profile creation and cannot collide with demo or global identity; Firebase-authenticated pending invite cannot read accepted-only chat/resource endpoints through direct or stale deep links; New login uses Firebase; existing admin work stays stable and roles/notifications do not mutate; One push opens the exact chat/message and reconciles in-app unread/read state without duplication; sender, foreground recipient and system message receive no system push</t>
  </si>
  <si>
    <t>Consolidates ENTRY-FIREBASE-REG-001, EVENT-INV-002-FIREBASE-AUTH, ROLE-TRIAD-003, CHAT-PUSH-001. Firebase and registration components exist; integrated activated-revision flow not run; local EVENT-INV-002 UI boundary PASS and its non-demo authorization assertion is migrated here; Firebase/role coverage exists in parts; concurrent three-role sequence not run; Clean local WebAPK startup permission prompt PASS; post-Allow preflight proved zero Riley devices/tokens because deployment Firebase is empty/inactive; no Chat message was produced</t>
  </si>
  <si>
    <t>Compare revision, subject/profile/country, pending-invitation direct/deep-link denial, roles, token, system routing, chat/bell counters and no demo fallback</t>
  </si>
  <si>
    <t>Source status: ENTRY-FIREBASE-REG-001=DESIGN CAPTURED / NOT RUN; EVENT-INV-002-FIREBASE-AUTH=MOVED FROM LOCAL EVENT GATE / NOT RUN; ROLE-TRIAD-003=DESIGN CAPTURED / NOT RUN; CHAT-PUSH-001=DEFERRED TO EXT CP04 / PROD-LIKE VMWARE. Requires verified operator Firebase revision and production-like VMware/Firebase CP04 preparation; the authenticated denial must be executed before the invitation Accept mutation. External CP04 owns the real auth/delivery evidence. Use Casey sender, Nova foreground no-system-push control, Riley pending/background physical-device target; never record the raw token.</t>
  </si>
  <si>
    <t>DEPLOY-APPLICATION-LIFECYCLE-001</t>
  </si>
  <si>
    <t>Install, upgrade, restart and active state</t>
  </si>
  <si>
    <t>Install disposable host, deactivate/reactivate with member/admin open, apply signed upgrade with failure and restart dependency order</t>
  </si>
  <si>
    <t>INDIRECT consumer/admin availability; X</t>
  </si>
  <si>
    <t>DELTA local/registry deployment state; DELTA install inventory and deployment identity; DELTA version, backup and rollback state; DELTA health, ownership and recovered task state</t>
  </si>
  <si>
    <t>CONDITIONAL state propagation only; CONDITIONAL package/service setup; DELTA package/update operations; INDIRECT persisted workers recover once</t>
  </si>
  <si>
    <t>Member/admin fail closed without stale writes; operator recovery works and roles reconstruct after activation; Clean host reaches qualified health with correct ownership, unit, env/secrets split and identity; Preflight/backup precede mutation; success advances once and failure rolls back coherently; Dependencies become healthy without duplicate workers; sessions/tasks follow documented policy</t>
  </si>
  <si>
    <t>Consolidates ROLE-TRIAD-005, DEPLOY-INSTALL-001, DEPLOY-UPGRADE-001, DEPLOY-RESTART-001. Deployment state and role gates exist; live three-role transition not run; Packaging scripts/tests exist; clean disposable installation not run; Upgrade/rollback automation partial; disposable full sequence not run; Health/dependency configuration exists; reboot/restart proof not run</t>
  </si>
  <si>
    <t>Compare package/version/state, fail-closed clients, rollback, service/data recovery, roles and final active state</t>
  </si>
  <si>
    <t>Source status: ROLE-TRIAD-005=DESIGN CAPTURED / NOT RUN; DEPLOY-INSTALL-001=DESIGN CAPTURED / NOT RUN; DEPLOY-UPGRADE-001=DESIGN CAPTURED / NOT RUN; DEPLOY-RESTART-001=DESIGN CAPTURED / NOT RUN. Production-like VMware CP04 only; deployment inactive is not browser offline mode; Target must be isolated from live developer state; No destructive action against current workspace or live data; Never start an offspring beside an existing owner process</t>
  </si>
  <si>
    <t>DEPLOY-QUALIFICATION-001</t>
  </si>
  <si>
    <t>Resolved configuration and security</t>
  </si>
  <si>
    <t>Render dev/production config without starting services and scan ports, headers, CORS, artifacts and permissions</t>
  </si>
  <si>
    <t>X; DELTA audit findings only</t>
  </si>
  <si>
    <t>Dev resolves simulator/registry dependencies; production excludes simulator/dev endpoints and baked secrets; Only declared ports are public and secrets/private keys/simulator controls are absent from public artifacts/logs</t>
  </si>
  <si>
    <t>Consolidates DEPLOY-EMU-001, DEPLOY-SECURITY-001. Dev Compose static config previously passes; production parity/security review remains; Security/package checks exist in parts; complete resolved-deployment scan not run</t>
  </si>
  <si>
    <t>Compare environment separation, secret absence, exposed surfaces, security policy and production-safe artifacts</t>
  </si>
  <si>
    <t>Source status: DEPLOY-EMU-001=DESIGN CAPTURED / NOT RUN; DEPLOY-SECURITY-001=DESIGN CAPTURED / NOT RUN. User explicitly prohibited starting the heavy stack while away; Static and runtime evidence are recorded separately</t>
  </si>
  <si>
    <t>DEPLOY-BACKUP-001</t>
  </si>
  <si>
    <t>Expansion checkpoint CP06</t>
  </si>
  <si>
    <t>Deployment backup and restore</t>
  </si>
  <si>
    <t>Back up Mongo, media, config and identity; restore into isolated target</t>
  </si>
  <si>
    <t>INDIRECT exact counts</t>
  </si>
  <si>
    <t>DELTA backup manifest and restore audit</t>
  </si>
  <si>
    <t>DELTA backup/restore operation</t>
  </si>
  <si>
    <t>Counts, selected hashes, ownership and identity match; source remains untouched</t>
  </si>
  <si>
    <t>Backup/package tooling exists; isolated full restore proof not run</t>
  </si>
  <si>
    <t>Compare manifest, collection/object hashes, permissions and registry identity on target</t>
  </si>
  <si>
    <t>Never restore over the live source</t>
  </si>
  <si>
    <t>DEPLOY-TLS-001</t>
  </si>
  <si>
    <t>Deployment HTTPS</t>
  </si>
  <si>
    <t>Exercise redirect, hostname, chain and renewal presentation</t>
  </si>
  <si>
    <t>DELTA served certificate generation</t>
  </si>
  <si>
    <t>Only intended routes/ports are public and renewed chain is served without mixed material</t>
  </si>
  <si>
    <t>Nginx/TLS configuration exists; disposable deployed boundary not run</t>
  </si>
  <si>
    <t>Probe HTTP/HTTPS, host mismatch, chain, safe redirects and active renewal serial</t>
  </si>
  <si>
    <t>Use emulated/local domain until a real domain exists</t>
  </si>
  <si>
    <t>DEPLOY-RESOURCE-001</t>
  </si>
  <si>
    <t>Deployment resilience</t>
  </si>
  <si>
    <t>Inject low disk, low memory and one unavailable dependency independently</t>
  </si>
  <si>
    <t>DELTA honest health/diagnostic state</t>
  </si>
  <si>
    <t>CONDITIONAL bounded retry only</t>
  </si>
  <si>
    <t>Writes fail safely, owner is identifiable, no retry storm/second build starts and recovery is clean</t>
  </si>
  <si>
    <t>Resource guards partial; controlled disposable fault injection not run</t>
  </si>
  <si>
    <t>Record resource baseline, one fault at a time, retry rate and post-recovery health</t>
  </si>
  <si>
    <t>Never induce resource pressure on the user's active laptop stack</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</si>
</sst>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U13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0.1" hidden="true" customWidth="true"/>
    <col min="21" max="21" width="0.1" hidden="true" customWidth="true"/>
  </cols>
  <sheetData>
    <row r="1" customFormat="false" ht="20" hidden="false" customHeight="true" outlineLevel="0" collapsed="false">
      <c r="A1" s="219" t="s">
        <v>0</v>
      </c>
      <c r="B1" s="221" t="s">
        <v>1</v>
      </c>
      <c r="C1" s="146" t="s">
        <v>1</v>
      </c>
      <c r="D1" s="147" t="s">
        <v>2</v>
      </c>
      <c r="E1" s="476" t="str">
        <f>COUNTIFS(T18:T135,"Done",U18:U135,"Core")&amp;" ("&amp;IF(COUNTIF(U18:U135,"Core")=0,"0%",TEXT(COUNTIFS(T18:T135,"Done",U18:U135,"Core")/COUNTIF(U18:U135,"Core"),"0%"))&amp;")"</f>
        <v>84 (86%)</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row>
    <row r="2" customFormat="false" ht="15" hidden="false" customHeight="false" outlineLevel="0" collapsed="false">
      <c r="A2" s="182" t="s">
        <v>4</v>
      </c>
      <c r="B2" s="183" t="s">
        <v>5</v>
      </c>
      <c r="C2" s="146" t="s">
        <v>1</v>
      </c>
      <c r="D2" s="158" t="s">
        <v>6</v>
      </c>
      <c r="E2" s="486">
        <f>COUNTIFS(T18:T135,"Pending",U18:U135,"Core")</f>
        <v>5</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row>
    <row r="3" customFormat="false" ht="15" hidden="false" customHeight="false" outlineLevel="0" collapsed="false">
      <c r="A3" s="190" t="s">
        <v>8</v>
      </c>
      <c r="B3" s="191" t="s">
        <v>9</v>
      </c>
      <c r="C3" s="146" t="s">
        <v>1</v>
      </c>
      <c r="D3" s="174" t="s">
        <v>10</v>
      </c>
      <c r="E3" s="502">
        <f>COUNTIFS(T18:T135,"Not started",U18:U135,"Core")</f>
        <v>9</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row>
    <row r="4" customFormat="false" ht="15" hidden="false" customHeight="false" outlineLevel="0" collapsed="false">
      <c r="A4" s="198" t="s">
        <v>12</v>
      </c>
      <c r="B4" s="199" t="s">
        <v>13</v>
      </c>
      <c r="C4" s="146" t="s">
        <v>1</v>
      </c>
      <c r="D4" s="166" t="s">
        <v>14</v>
      </c>
      <c r="E4" s="494">
        <f>COUNTIFS(T18:T135,"Failed",U18:U135,"Core")</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row>
    <row r="5" customFormat="false" ht="15" hidden="false" customHeight="false" outlineLevel="0" collapsed="false">
      <c r="A5" s="206" t="s">
        <v>16</v>
      </c>
      <c r="B5" s="207" t="s">
        <v>17</v>
      </c>
      <c r="C5" s="146" t="s">
        <v>1</v>
      </c>
      <c r="D5" s="230" t="s">
        <v>18</v>
      </c>
      <c r="E5" s="510">
        <f>COUNTIF(U18:U135,"Core")</f>
        <v>98</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row>
    <row r="6" customFormat="false" ht="15" hidden="false" customHeight="false" outlineLevel="0" collapsed="false">
      <c r="A6" s="249" t="s">
        <v>20</v>
      </c>
      <c r="B6" s="251" t="s">
        <v>21</v>
      </c>
      <c r="C6" s="243" t="s">
        <v>1</v>
      </c>
      <c r="D6" s="247" t="s">
        <v>22</v>
      </c>
      <c r="E6" s="248" t="s">
        <v>23</v>
      </c>
      <c r="F6" s="243" t="s">
        <v>1</v>
      </c>
      <c r="G6" s="243" t="s">
        <v>1</v>
      </c>
      <c r="H6" s="243" t="s">
        <v>1</v>
      </c>
      <c r="I6" s="243" t="s">
        <v>1</v>
      </c>
      <c r="J6" s="243" t="s">
        <v>1</v>
      </c>
      <c r="K6" s="243" t="s">
        <v>1</v>
      </c>
      <c r="L6" s="243" t="s">
        <v>1</v>
      </c>
      <c r="M6" s="243" t="s">
        <v>1</v>
      </c>
      <c r="N6" s="243" t="s">
        <v>1</v>
      </c>
      <c r="O6" s="243" t="s">
        <v>1</v>
      </c>
      <c r="P6" s="243" t="s">
        <v>1</v>
      </c>
      <c r="Q6" s="243" t="s">
        <v>1</v>
      </c>
      <c r="R6" s="243" t="s">
        <v>1</v>
      </c>
      <c r="S6" s="243" t="s">
        <v>1</v>
      </c>
    </row>
    <row r="7" customFormat="false" ht="15" hidden="false" customHeight="false" outlineLevel="0" collapsed="false">
      <c r="A7" s="146" t="s">
        <v>1</v>
      </c>
      <c r="B7" s="146" t="s">
        <v>1</v>
      </c>
      <c r="C7" s="146" t="s">
        <v>1</v>
      </c>
      <c r="D7" s="232" t="s">
        <v>24</v>
      </c>
      <c r="E7" s="513">
        <f>COUNTA(A18:A135)</f>
        <v>118</v>
      </c>
      <c r="F7" s="146" t="s">
        <v>1</v>
      </c>
      <c r="G7" s="146" t="s">
        <v>1</v>
      </c>
      <c r="H7" s="146" t="s">
        <v>1</v>
      </c>
      <c r="I7" s="146" t="s">
        <v>1</v>
      </c>
      <c r="J7" s="146" t="s">
        <v>1</v>
      </c>
      <c r="K7" s="146" t="s">
        <v>1</v>
      </c>
      <c r="L7" s="146" t="s">
        <v>1</v>
      </c>
      <c r="M7" s="146" t="s">
        <v>1</v>
      </c>
      <c r="N7" s="146" t="s">
        <v>1</v>
      </c>
      <c r="O7" s="146" t="s">
        <v>1</v>
      </c>
      <c r="P7" s="146" t="s">
        <v>1</v>
      </c>
      <c r="Q7" s="146" t="s">
        <v>1</v>
      </c>
      <c r="R7" s="146" t="s">
        <v>1</v>
      </c>
      <c r="S7" s="146" t="s">
        <v>1</v>
      </c>
    </row>
    <row r="8" customFormat="false" ht="20" hidden="false" customHeight="true" outlineLevel="0" collapsed="false">
      <c r="A8" s="145" t="s">
        <v>26</v>
      </c>
      <c r="B8" s="145" t="s">
        <v>1</v>
      </c>
      <c r="C8" s="145" t="s">
        <v>1</v>
      </c>
      <c r="D8" s="145" t="s">
        <v>1</v>
      </c>
      <c r="E8" s="145" t="s">
        <v>1</v>
      </c>
      <c r="F8" s="145" t="s">
        <v>1</v>
      </c>
      <c r="G8" s="145" t="s">
        <v>1</v>
      </c>
      <c r="H8" s="145" t="s">
        <v>1</v>
      </c>
      <c r="I8" s="145" t="s">
        <v>1</v>
      </c>
      <c r="J8" s="145" t="s">
        <v>1</v>
      </c>
      <c r="K8" s="145" t="s">
        <v>1</v>
      </c>
      <c r="L8" s="145" t="s">
        <v>1</v>
      </c>
      <c r="M8" s="145" t="s">
        <v>1</v>
      </c>
      <c r="N8" s="145" t="s">
        <v>1</v>
      </c>
      <c r="O8" s="145" t="s">
        <v>1</v>
      </c>
      <c r="P8" s="145" t="s">
        <v>1</v>
      </c>
      <c r="Q8" s="145" t="s">
        <v>1</v>
      </c>
      <c r="R8" s="145" t="s">
        <v>1</v>
      </c>
      <c r="S8" s="145" t="s">
        <v>1</v>
      </c>
    </row>
    <row r="9" customFormat="false" ht="15" hidden="false" customHeight="false" outlineLevel="0" collapsed="false">
      <c r="A9" s="211" t="s">
        <v>27</v>
      </c>
      <c r="B9" s="212" t="s">
        <v>1</v>
      </c>
      <c r="C9" s="212" t="s">
        <v>28</v>
      </c>
      <c r="D9" s="212" t="s">
        <v>29</v>
      </c>
      <c r="E9" s="213" t="s">
        <v>1</v>
      </c>
      <c r="F9" s="211" t="s">
        <v>27</v>
      </c>
      <c r="G9" s="212" t="s">
        <v>1</v>
      </c>
      <c r="H9" s="212" t="s">
        <v>28</v>
      </c>
      <c r="I9" s="212" t="s">
        <v>29</v>
      </c>
      <c r="J9" s="213" t="s">
        <v>1</v>
      </c>
      <c r="K9" s="211" t="s">
        <v>30</v>
      </c>
      <c r="L9" s="212" t="s">
        <v>1</v>
      </c>
      <c r="M9" s="212" t="s">
        <v>28</v>
      </c>
      <c r="N9" s="212" t="s">
        <v>29</v>
      </c>
      <c r="O9" s="213" t="s">
        <v>1</v>
      </c>
      <c r="P9" s="136" t="s">
        <v>1</v>
      </c>
      <c r="Q9" s="136" t="s">
        <v>1</v>
      </c>
      <c r="R9" s="136" t="s">
        <v>1</v>
      </c>
      <c r="S9" s="136" t="s">
        <v>1</v>
      </c>
    </row>
    <row r="10" customFormat="false" ht="15" hidden="false" customHeight="false" outlineLevel="0" collapsed="false">
      <c r="A10" s="277" t="s">
        <v>31</v>
      </c>
      <c r="B10" s="252" t="s">
        <v>1</v>
      </c>
      <c r="C10" s="252" t="s">
        <v>32</v>
      </c>
      <c r="D10" s="135" t="str">
        <f>COUNTIFS($C$18:$C$135,A10,$T$18:$T$135,"Done")&amp;" passed / "&amp;COUNTIF($C$18:$C$135,A10)&amp;" total ("&amp;IF(COUNTIF($C$18:$C$135,A10)=0,"0%",TEXT(COUNTIFS($C$18:$C$135,A10,$T$18:$T$135,"Done")/COUNTIF($C$18:$C$135,A10),"0%"))&amp;")"</f>
        <v>2 passed / 2 total (100%)</v>
      </c>
      <c r="E10" s="151" t="s">
        <v>1</v>
      </c>
      <c r="F10" s="333" t="s">
        <v>34</v>
      </c>
      <c r="G10" s="259" t="s">
        <v>1</v>
      </c>
      <c r="H10" s="259" t="s">
        <v>11</v>
      </c>
      <c r="I10" s="136" t="str">
        <f>COUNTIFS($C$18:$C$135,F10,$T$18:$T$135,"Done")&amp;" passed / "&amp;COUNTIF($C$18:$C$135,F10)&amp;" total ("&amp;IF(COUNTIF($C$18:$C$135,F10)=0,"0%",TEXT(COUNTIFS($C$18:$C$135,F10,$T$18:$T$135,"Done")/COUNTIF($C$18:$C$135,F10),"0%"))&amp;")"</f>
        <v>3 passed / 6 total (50%)</v>
      </c>
      <c r="J10" s="159" t="s">
        <v>1</v>
      </c>
      <c r="K10" s="247" t="s">
        <v>36</v>
      </c>
      <c r="L10" s="243" t="s">
        <v>1</v>
      </c>
      <c r="M10" s="243" t="s">
        <v>37</v>
      </c>
      <c r="N10" s="138" t="str">
        <f>COUNTIFS($C$18:$C$135,K10,$T$18:$T$135,"Done")&amp;" passed / "&amp;COUNTIF($C$18:$C$135,K10)&amp;" total ("&amp;IF(COUNTIF($C$18:$C$135,K10)=0,"0%",TEXT(COUNTIFS($C$18:$C$135,K10,$T$18:$T$135,"Done")/COUNTIF($C$18:$C$135,K10),"0%"))&amp;")"</f>
        <v>0 passed / 9 total (0%)</v>
      </c>
      <c r="O10" s="175" t="s">
        <v>1</v>
      </c>
      <c r="P10" s="136" t="s">
        <v>1</v>
      </c>
      <c r="Q10" s="136" t="s">
        <v>1</v>
      </c>
      <c r="R10" s="136" t="s">
        <v>1</v>
      </c>
      <c r="S10" s="136" t="s">
        <v>1</v>
      </c>
    </row>
    <row r="11" customFormat="false" ht="15" hidden="false" customHeight="false" outlineLevel="0" collapsed="false">
      <c r="A11" s="285" t="s">
        <v>39</v>
      </c>
      <c r="B11" s="253" t="s">
        <v>1</v>
      </c>
      <c r="C11" s="253" t="s">
        <v>40</v>
      </c>
      <c r="D11" s="135" t="str">
        <f>COUNTIFS($C$18:$C$135,A11,$T$18:$T$135,"Done")&amp;" passed / "&amp;COUNTIF($C$18:$C$135,A11)&amp;" total ("&amp;IF(COUNTIF($C$18:$C$135,A11)=0,"0%",TEXT(COUNTIFS($C$18:$C$135,A11,$T$18:$T$135,"Done")/COUNTIF($C$18:$C$135,A11),"0%"))&amp;")"</f>
        <v>8 passed / 8 total (100%)</v>
      </c>
      <c r="E11" s="151" t="s">
        <v>1</v>
      </c>
      <c r="F11" s="349" t="s">
        <v>42</v>
      </c>
      <c r="G11" s="261" t="s">
        <v>1</v>
      </c>
      <c r="H11" s="261" t="s">
        <v>43</v>
      </c>
      <c r="I11" s="136" t="str">
        <f>COUNTIFS($C$18:$C$135,F11,$T$18:$T$135,"Done")&amp;" passed / "&amp;COUNTIF($C$18:$C$135,F11)&amp;" total ("&amp;IF(COUNTIF($C$18:$C$135,F11)=0,"0%",TEXT(COUNTIFS($C$18:$C$135,F11,$T$18:$T$135,"Done")/COUNTIF($C$18:$C$135,F11),"0%"))&amp;")"</f>
        <v>2 passed / 3 total (67%)</v>
      </c>
      <c r="J11" s="159" t="s">
        <v>1</v>
      </c>
      <c r="K11" s="437" t="s">
        <v>45</v>
      </c>
      <c r="L11" s="272" t="s">
        <v>1</v>
      </c>
      <c r="M11" s="272" t="s">
        <v>46</v>
      </c>
      <c r="N11" s="138" t="str">
        <f>COUNTIFS($C$18:$C$135,K11,$T$18:$T$135,"Done")&amp;" passed / "&amp;COUNTIF($C$18:$C$135,K11)&amp;" total ("&amp;IF(COUNTIF($C$18:$C$135,K11)=0,"0%",TEXT(COUNTIFS($C$18:$C$135,K11,$T$18:$T$135,"Done")/COUNTIF($C$18:$C$135,K11),"0%"))&amp;")"</f>
        <v>0 passed / 5 total (0%)</v>
      </c>
      <c r="O11" s="175" t="s">
        <v>1</v>
      </c>
      <c r="P11" s="136" t="s">
        <v>1</v>
      </c>
      <c r="Q11" s="136" t="s">
        <v>1</v>
      </c>
      <c r="R11" s="136" t="s">
        <v>1</v>
      </c>
      <c r="S11" s="136" t="s">
        <v>1</v>
      </c>
    </row>
    <row r="12" customFormat="false" ht="15" hidden="false" customHeight="false" outlineLevel="0" collapsed="false">
      <c r="A12" s="309" t="s">
        <v>48</v>
      </c>
      <c r="B12" s="256" t="s">
        <v>1</v>
      </c>
      <c r="C12" s="256" t="s">
        <v>49</v>
      </c>
      <c r="D12" s="450" t="str">
        <f>COUNTIFS($C$18:$C$135,A12,$T$18:$T$135,"Done")&amp;" passed / "&amp;COUNTIF($C$18:$C$135,A12)&amp;" total ("&amp;IF(COUNTIF($C$18:$C$135,A12)=0,"0%",TEXT(COUNTIFS($C$18:$C$135,A12,$T$18:$T$135,"Done")/COUNTIF($C$18:$C$135,A12),"0%"))&amp;")"</f>
        <v>47 passed / 48 total (98%)</v>
      </c>
      <c r="E12" s="462" t="s">
        <v>1</v>
      </c>
      <c r="F12" s="301" t="s">
        <v>51</v>
      </c>
      <c r="G12" s="255" t="s">
        <v>1</v>
      </c>
      <c r="H12" s="255" t="s">
        <v>52</v>
      </c>
      <c r="I12" s="138" t="str">
        <f>COUNTIFS($C$18:$C$135,F12,$T$18:$T$135,"Done")&amp;" passed / "&amp;COUNTIF($C$18:$C$135,F12)&amp;" total ("&amp;IF(COUNTIF($C$18:$C$135,F12)=0,"0%",TEXT(COUNTIFS($C$18:$C$135,F12,$T$18:$T$135,"Done")/COUNTIF($C$18:$C$135,F12),"0%"))&amp;")"</f>
        <v>0 passed / 4 total (0%)</v>
      </c>
      <c r="J12" s="175" t="s">
        <v>1</v>
      </c>
      <c r="K12" s="445" t="s">
        <v>54</v>
      </c>
      <c r="L12" s="273" t="s">
        <v>1</v>
      </c>
      <c r="M12" s="273" t="s">
        <v>55</v>
      </c>
      <c r="N12" s="138" t="str">
        <f>COUNTIFS($C$18:$C$135,K12,$T$18:$T$135,"Done")&amp;" passed / "&amp;COUNTIF($C$18:$C$135,K12)&amp;" total ("&amp;IF(COUNTIF($C$18:$C$135,K12)=0,"0%",TEXT(COUNTIFS($C$18:$C$135,K12,$T$18:$T$135,"Done")/COUNTIF($C$18:$C$135,K12),"0%"))&amp;")"</f>
        <v>0 passed / 6 total (0%)</v>
      </c>
      <c r="O12" s="175" t="s">
        <v>1</v>
      </c>
      <c r="P12" s="136" t="s">
        <v>1</v>
      </c>
      <c r="Q12" s="136" t="s">
        <v>1</v>
      </c>
      <c r="R12" s="136" t="s">
        <v>1</v>
      </c>
      <c r="S12" s="136" t="s">
        <v>1</v>
      </c>
    </row>
    <row r="13" customFormat="false" ht="15" hidden="false" customHeight="false" outlineLevel="0" collapsed="false">
      <c r="A13" s="317" t="s">
        <v>57</v>
      </c>
      <c r="B13" s="257" t="s">
        <v>1</v>
      </c>
      <c r="C13" s="257" t="s">
        <v>58</v>
      </c>
      <c r="D13" s="135" t="str">
        <f>COUNTIFS($C$18:$C$135,A13,$T$18:$T$135,"Done")&amp;" passed / "&amp;COUNTIF($C$18:$C$135,A13)&amp;" total ("&amp;IF(COUNTIF($C$18:$C$135,A13)=0,"0%",TEXT(COUNTIFS($C$18:$C$135,A13,$T$18:$T$135,"Done")/COUNTIF($C$18:$C$135,A13),"0%"))&amp;")"</f>
        <v>15 passed / 15 total (100%)</v>
      </c>
      <c r="E13" s="151" t="s">
        <v>1</v>
      </c>
      <c r="F13" s="357" t="s">
        <v>60</v>
      </c>
      <c r="G13" s="262" t="s">
        <v>1</v>
      </c>
      <c r="H13" s="262" t="s">
        <v>61</v>
      </c>
      <c r="I13" s="138" t="str">
        <f>COUNTIFS($C$18:$C$135,F13,$T$18:$T$135,"Done")&amp;" passed / "&amp;COUNTIF($C$18:$C$135,F13)&amp;" total ("&amp;IF(COUNTIF($C$18:$C$135,F13)=0,"0%",TEXT(COUNTIFS($C$18:$C$135,F13,$T$18:$T$135,"Done")/COUNTIF($C$18:$C$135,F13),"0%"))&amp;")"</f>
        <v>0 passed / 2 total (0%)</v>
      </c>
      <c r="J13" s="175" t="s">
        <v>1</v>
      </c>
      <c r="K13" s="158" t="s">
        <v>1</v>
      </c>
      <c r="L13" s="136" t="s">
        <v>1</v>
      </c>
      <c r="M13" s="136" t="s">
        <v>1</v>
      </c>
      <c r="N13" s="146" t="s">
        <v>1</v>
      </c>
      <c r="O13" s="239" t="s">
        <v>1</v>
      </c>
      <c r="P13" s="136" t="s">
        <v>1</v>
      </c>
      <c r="Q13" s="136" t="s">
        <v>1</v>
      </c>
      <c r="R13" s="136" t="s">
        <v>1</v>
      </c>
      <c r="S13" s="136" t="s">
        <v>1</v>
      </c>
    </row>
    <row r="14" customFormat="false" ht="15" hidden="false" customHeight="false" outlineLevel="0" collapsed="false">
      <c r="A14" s="327" t="s">
        <v>63</v>
      </c>
      <c r="B14" s="328" t="s">
        <v>1</v>
      </c>
      <c r="C14" s="328" t="s">
        <v>64</v>
      </c>
      <c r="D14" s="153" t="str">
        <f>COUNTIFS($C$18:$C$135,A14,$T$18:$T$135,"Done")&amp;" passed / "&amp;COUNTIF($C$18:$C$135,A14)&amp;" total ("&amp;IF(COUNTIF($C$18:$C$135,A14)=0,"0%",TEXT(COUNTIFS($C$18:$C$135,A14,$T$18:$T$135,"Done")/COUNTIF($C$18:$C$135,A14),"0%"))&amp;")"</f>
        <v>6 passed / 6 total (100%)</v>
      </c>
      <c r="E14" s="154" t="s">
        <v>1</v>
      </c>
      <c r="F14" s="367" t="s">
        <v>66</v>
      </c>
      <c r="G14" s="368" t="s">
        <v>1</v>
      </c>
      <c r="H14" s="368" t="s">
        <v>7</v>
      </c>
      <c r="I14" s="472" t="str">
        <f>COUNTIFS($C$18:$C$135,F14,$T$18:$T$135,"Done")&amp;" passed / "&amp;COUNTIF($C$18:$C$135,F14)&amp;" total ("&amp;IF(COUNTIF($C$18:$C$135,F14)=0,"0%",TEXT(COUNTIFS($C$18:$C$135,F14,$T$18:$T$135,"Done")/COUNTIF($C$18:$C$135,F14),"0%"))&amp;")"</f>
        <v>1 passed / 4 total (25%)</v>
      </c>
      <c r="J14" s="473" t="s">
        <v>1</v>
      </c>
      <c r="K14" s="160" t="s">
        <v>1</v>
      </c>
      <c r="L14" s="161" t="s">
        <v>1</v>
      </c>
      <c r="M14" s="161" t="s">
        <v>1</v>
      </c>
      <c r="N14" s="241" t="s">
        <v>1</v>
      </c>
      <c r="O14" s="242" t="s">
        <v>1</v>
      </c>
      <c r="P14" s="136" t="s">
        <v>1</v>
      </c>
      <c r="Q14" s="136" t="s">
        <v>1</v>
      </c>
      <c r="R14" s="136" t="s">
        <v>1</v>
      </c>
      <c r="S14" s="136" t="s">
        <v>1</v>
      </c>
    </row>
    <row r="15" customFormat="false" ht="20" hidden="false" customHeight="true" outlineLevel="0" collapsed="false">
      <c r="A15" s="145" t="s">
        <v>68</v>
      </c>
      <c r="B15" s="145" t="s">
        <v>1</v>
      </c>
      <c r="C15" s="145" t="s">
        <v>1</v>
      </c>
      <c r="D15" s="145" t="s">
        <v>1</v>
      </c>
      <c r="E15" s="145" t="s">
        <v>1</v>
      </c>
      <c r="F15" s="145" t="s">
        <v>1</v>
      </c>
      <c r="G15" s="145" t="s">
        <v>1</v>
      </c>
      <c r="H15" s="145" t="s">
        <v>1</v>
      </c>
      <c r="I15" s="145" t="s">
        <v>1</v>
      </c>
      <c r="J15" s="145" t="s">
        <v>1</v>
      </c>
      <c r="K15" s="145" t="s">
        <v>1</v>
      </c>
      <c r="L15" s="145" t="s">
        <v>1</v>
      </c>
      <c r="M15" s="145" t="s">
        <v>1</v>
      </c>
      <c r="N15" s="145" t="s">
        <v>1</v>
      </c>
      <c r="O15" s="145" t="s">
        <v>1</v>
      </c>
      <c r="P15" s="145" t="s">
        <v>1</v>
      </c>
      <c r="Q15" s="145" t="s">
        <v>1</v>
      </c>
      <c r="R15" s="145" t="s">
        <v>1</v>
      </c>
      <c r="S15" s="145" t="s">
        <v>1</v>
      </c>
    </row>
    <row r="16" customFormat="false" ht="20" hidden="false" customHeight="true" outlineLevel="0" collapsed="false">
      <c r="A16" s="146" t="s">
        <v>1</v>
      </c>
      <c r="B16" s="146" t="s">
        <v>1</v>
      </c>
      <c r="C16" s="146" t="s">
        <v>1</v>
      </c>
      <c r="D16" s="146" t="s">
        <v>1</v>
      </c>
      <c r="E16" s="146" t="s">
        <v>1</v>
      </c>
      <c r="F16" s="146" t="s">
        <v>1</v>
      </c>
      <c r="G16" s="146" t="s">
        <v>1</v>
      </c>
      <c r="H16" s="146" t="s">
        <v>1</v>
      </c>
      <c r="I16" s="146" t="s">
        <v>1</v>
      </c>
      <c r="J16" s="146" t="s">
        <v>1</v>
      </c>
      <c r="K16" s="146" t="s">
        <v>1</v>
      </c>
      <c r="L16" s="143" t="s">
        <v>69</v>
      </c>
      <c r="M16" s="143" t="s">
        <v>1</v>
      </c>
      <c r="N16" s="146" t="s">
        <v>1</v>
      </c>
      <c r="O16" s="146" t="s">
        <v>1</v>
      </c>
      <c r="P16" s="146" t="s">
        <v>1</v>
      </c>
      <c r="Q16" s="146" t="s">
        <v>1</v>
      </c>
      <c r="R16" s="146" t="s">
        <v>1</v>
      </c>
      <c r="S16" s="146" t="s">
        <v>1</v>
      </c>
    </row>
    <row r="17" customFormat="false" ht="15" hidden="false" customHeight="false" outlineLevel="0" collapsed="false">
      <c r="A17" s="143" t="s">
        <v>70</v>
      </c>
      <c r="B17" s="143" t="s">
        <v>71</v>
      </c>
      <c r="C17" s="143" t="s">
        <v>27</v>
      </c>
      <c r="D17" s="143" t="s">
        <v>72</v>
      </c>
      <c r="E17" s="143" t="s">
        <v>73</v>
      </c>
      <c r="F17" s="143" t="s">
        <v>74</v>
      </c>
      <c r="G17" s="143" t="s">
        <v>75</v>
      </c>
      <c r="H17" s="143" t="s">
        <v>76</v>
      </c>
      <c r="I17" s="143" t="s">
        <v>77</v>
      </c>
      <c r="J17" s="143" t="s">
        <v>78</v>
      </c>
      <c r="K17" s="143" t="s">
        <v>79</v>
      </c>
      <c r="L17" s="143" t="s">
        <v>80</v>
      </c>
      <c r="M17" s="143" t="s">
        <v>81</v>
      </c>
      <c r="N17" s="143" t="s">
        <v>82</v>
      </c>
      <c r="O17" s="143" t="s">
        <v>83</v>
      </c>
      <c r="P17" s="143" t="s">
        <v>84</v>
      </c>
      <c r="Q17" s="143" t="s">
        <v>85</v>
      </c>
      <c r="R17" s="143" t="s">
        <v>86</v>
      </c>
      <c r="S17" s="143" t="s">
        <v>87</v>
      </c>
    </row>
    <row r="18" customFormat="false" ht="15" hidden="false" customHeight="false" outlineLevel="0" collapsed="false">
      <c r="A18" s="135" t="s">
        <v>88</v>
      </c>
      <c r="B18" s="135" t="s">
        <v>89</v>
      </c>
      <c r="C18" s="252" t="s">
        <v>31</v>
      </c>
      <c r="D18" s="135" t="s">
        <v>90</v>
      </c>
      <c r="E18" s="135" t="s">
        <v>91</v>
      </c>
      <c r="F18" s="135" t="s">
        <v>92</v>
      </c>
      <c r="G18" s="135" t="s">
        <v>93</v>
      </c>
      <c r="H18" s="135" t="s">
        <v>94</v>
      </c>
      <c r="I18" s="135" t="s">
        <v>95</v>
      </c>
      <c r="J18" s="135" t="s">
        <v>96</v>
      </c>
      <c r="K18" s="135" t="s">
        <v>97</v>
      </c>
      <c r="L18" s="135" t="s">
        <v>1</v>
      </c>
      <c r="M18" s="135" t="s">
        <v>1</v>
      </c>
      <c r="N18" s="135" t="s">
        <v>98</v>
      </c>
      <c r="O18" s="135" t="s">
        <v>99</v>
      </c>
      <c r="P18" s="135" t="s">
        <v>100</v>
      </c>
      <c r="Q18" s="135" t="s">
        <v>101</v>
      </c>
      <c r="R18" s="135" t="s">
        <v>102</v>
      </c>
      <c r="S18" s="135" t="s">
        <v>103</v>
      </c>
      <c r="T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U18" s="146" t="str">
        <f>IF(OR(LEFT(A18,9)="OPERATOR-",LEFT(A18,8)="PAYMENT-",LEFT(A18,7)="DEPLOY-"),"External","Core")</f>
        <v>Core</v>
      </c>
    </row>
    <row r="19" customFormat="false" ht="15" hidden="false" customHeight="false" outlineLevel="0" collapsed="false">
      <c r="A19" s="135" t="s">
        <v>104</v>
      </c>
      <c r="B19" s="135" t="s">
        <v>105</v>
      </c>
      <c r="C19" s="252" t="s">
        <v>31</v>
      </c>
      <c r="D19" s="135" t="s">
        <v>106</v>
      </c>
      <c r="E19" s="135" t="s">
        <v>107</v>
      </c>
      <c r="F19" s="135" t="s">
        <v>4</v>
      </c>
      <c r="G19" s="135" t="s">
        <v>4</v>
      </c>
      <c r="H19" s="135" t="s">
        <v>4</v>
      </c>
      <c r="I19" s="135" t="s">
        <v>4</v>
      </c>
      <c r="J19" s="135" t="s">
        <v>108</v>
      </c>
      <c r="K19" s="135" t="s">
        <v>97</v>
      </c>
      <c r="L19" s="135" t="s">
        <v>1</v>
      </c>
      <c r="M19" s="135" t="s">
        <v>1</v>
      </c>
      <c r="N19" s="135" t="s">
        <v>98</v>
      </c>
      <c r="O19" s="135" t="s">
        <v>109</v>
      </c>
      <c r="P19" s="135" t="s">
        <v>110</v>
      </c>
      <c r="Q19" s="135" t="s">
        <v>101</v>
      </c>
      <c r="R19" s="135" t="s">
        <v>111</v>
      </c>
      <c r="S19" s="135" t="s">
        <v>112</v>
      </c>
      <c r="T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U19" s="146" t="str">
        <f>IF(OR(LEFT(A19,9)="OPERATOR-",LEFT(A19,8)="PAYMENT-",LEFT(A19,7)="DEPLOY-"),"External","Core")</f>
        <v>Core</v>
      </c>
    </row>
    <row r="20" customFormat="false" ht="45" hidden="false" customHeight="true" outlineLevel="0" collapsed="false">
      <c r="A20" s="135" t="s">
        <v>113</v>
      </c>
      <c r="B20" s="135" t="s">
        <v>114</v>
      </c>
      <c r="C20" s="253" t="s">
        <v>39</v>
      </c>
      <c r="D20" s="135" t="s">
        <v>115</v>
      </c>
      <c r="E20" s="135" t="s">
        <v>116</v>
      </c>
      <c r="F20" s="135" t="s">
        <v>117</v>
      </c>
      <c r="G20" s="135" t="s">
        <v>118</v>
      </c>
      <c r="H20" s="135" t="s">
        <v>119</v>
      </c>
      <c r="I20" s="135" t="s">
        <v>4</v>
      </c>
      <c r="J20" s="135" t="s">
        <v>120</v>
      </c>
      <c r="K20" s="135" t="s">
        <v>121</v>
      </c>
      <c r="L20" s="135" t="s">
        <v>1</v>
      </c>
      <c r="M20" s="135" t="s">
        <v>1</v>
      </c>
      <c r="N20" s="135" t="s">
        <v>122</v>
      </c>
      <c r="O20" s="135" t="s">
        <v>123</v>
      </c>
      <c r="P20" s="135" t="s">
        <v>124</v>
      </c>
      <c r="Q20" s="135" t="s">
        <v>101</v>
      </c>
      <c r="R20" s="135" t="s">
        <v>125</v>
      </c>
      <c r="S20" s="135" t="s">
        <v>126</v>
      </c>
      <c r="T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U20" s="146" t="str">
        <f>IF(OR(LEFT(A20,9)="OPERATOR-",LEFT(A20,8)="PAYMENT-",LEFT(A20,7)="DEPLOY-"),"External","Core")</f>
        <v>Core</v>
      </c>
    </row>
    <row r="21" customFormat="false" ht="60" hidden="false" customHeight="true" outlineLevel="0" collapsed="false">
      <c r="A21" s="135" t="s">
        <v>127</v>
      </c>
      <c r="B21" s="135" t="s">
        <v>114</v>
      </c>
      <c r="C21" s="253" t="s">
        <v>39</v>
      </c>
      <c r="D21" s="135" t="s">
        <v>128</v>
      </c>
      <c r="E21" s="135" t="s">
        <v>129</v>
      </c>
      <c r="F21" s="135" t="s">
        <v>4</v>
      </c>
      <c r="G21" s="135" t="s">
        <v>130</v>
      </c>
      <c r="H21" s="135" t="s">
        <v>4</v>
      </c>
      <c r="I21" s="135" t="s">
        <v>4</v>
      </c>
      <c r="J21" s="135" t="s">
        <v>131</v>
      </c>
      <c r="K21" s="135" t="s">
        <v>121</v>
      </c>
      <c r="L21" s="135" t="s">
        <v>1</v>
      </c>
      <c r="M21" s="135" t="s">
        <v>1</v>
      </c>
      <c r="N21" s="135" t="s">
        <v>122</v>
      </c>
      <c r="O21" s="135" t="s">
        <v>132</v>
      </c>
      <c r="P21" s="135" t="s">
        <v>133</v>
      </c>
      <c r="Q21" s="135" t="s">
        <v>101</v>
      </c>
      <c r="R21" s="135" t="s">
        <v>134</v>
      </c>
      <c r="S21" s="135" t="s">
        <v>103</v>
      </c>
      <c r="T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Done</v>
      </c>
      <c r="U21" s="146" t="str">
        <f>IF(OR(LEFT(A21,9)="OPERATOR-",LEFT(A21,8)="PAYMENT-",LEFT(A21,7)="DEPLOY-"),"External","Core")</f>
        <v>Core</v>
      </c>
    </row>
    <row r="22" customFormat="false" ht="150" hidden="false" customHeight="true" outlineLevel="0" collapsed="false">
      <c r="A22" s="135" t="s">
        <v>135</v>
      </c>
      <c r="B22" s="135" t="s">
        <v>114</v>
      </c>
      <c r="C22" s="253" t="s">
        <v>39</v>
      </c>
      <c r="D22" s="135" t="s">
        <v>128</v>
      </c>
      <c r="E22" s="135" t="s">
        <v>136</v>
      </c>
      <c r="F22" s="135" t="s">
        <v>4</v>
      </c>
      <c r="G22" s="135" t="s">
        <v>137</v>
      </c>
      <c r="H22" s="135" t="s">
        <v>4</v>
      </c>
      <c r="I22" s="135" t="s">
        <v>4</v>
      </c>
      <c r="J22" s="135" t="s">
        <v>138</v>
      </c>
      <c r="K22" s="135" t="s">
        <v>121</v>
      </c>
      <c r="L22" s="135" t="s">
        <v>1</v>
      </c>
      <c r="M22" s="135" t="s">
        <v>1</v>
      </c>
      <c r="N22" s="135" t="s">
        <v>122</v>
      </c>
      <c r="O22" s="135" t="s">
        <v>139</v>
      </c>
      <c r="P22" s="135" t="s">
        <v>140</v>
      </c>
      <c r="Q22" s="135" t="s">
        <v>101</v>
      </c>
      <c r="R22" s="135" t="s">
        <v>141</v>
      </c>
      <c r="S22" s="135" t="s">
        <v>103</v>
      </c>
      <c r="T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U22" s="146" t="str">
        <f>IF(OR(LEFT(A22,9)="OPERATOR-",LEFT(A22,8)="PAYMENT-",LEFT(A22,7)="DEPLOY-"),"External","Core")</f>
        <v>Core</v>
      </c>
    </row>
    <row r="23" customFormat="false" ht="90" hidden="false" customHeight="true" outlineLevel="0" collapsed="false">
      <c r="A23" s="135" t="s">
        <v>142</v>
      </c>
      <c r="B23" s="135" t="s">
        <v>114</v>
      </c>
      <c r="C23" s="253" t="s">
        <v>39</v>
      </c>
      <c r="D23" s="135" t="s">
        <v>128</v>
      </c>
      <c r="E23" s="135" t="s">
        <v>143</v>
      </c>
      <c r="F23" s="135" t="s">
        <v>4</v>
      </c>
      <c r="G23" s="135" t="s">
        <v>144</v>
      </c>
      <c r="H23" s="135" t="s">
        <v>4</v>
      </c>
      <c r="I23" s="135" t="s">
        <v>4</v>
      </c>
      <c r="J23" s="135" t="s">
        <v>145</v>
      </c>
      <c r="K23" s="135" t="s">
        <v>97</v>
      </c>
      <c r="L23" s="135" t="s">
        <v>1</v>
      </c>
      <c r="M23" s="135" t="s">
        <v>1</v>
      </c>
      <c r="N23" s="135" t="s">
        <v>122</v>
      </c>
      <c r="O23" s="135" t="s">
        <v>146</v>
      </c>
      <c r="P23" s="135" t="s">
        <v>147</v>
      </c>
      <c r="Q23" s="135" t="s">
        <v>101</v>
      </c>
      <c r="R23" s="135" t="s">
        <v>148</v>
      </c>
      <c r="S23" s="135" t="s">
        <v>103</v>
      </c>
      <c r="T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U23" s="146" t="str">
        <f>IF(OR(LEFT(A23,9)="OPERATOR-",LEFT(A23,8)="PAYMENT-",LEFT(A23,7)="DEPLOY-"),"External","Core")</f>
        <v>Core</v>
      </c>
    </row>
    <row r="24" customFormat="false" ht="105" hidden="false" customHeight="true" outlineLevel="0" collapsed="false">
      <c r="A24" s="135" t="s">
        <v>149</v>
      </c>
      <c r="B24" s="135" t="s">
        <v>150</v>
      </c>
      <c r="C24" s="253" t="s">
        <v>39</v>
      </c>
      <c r="D24" s="135" t="s">
        <v>151</v>
      </c>
      <c r="E24" s="135" t="s">
        <v>152</v>
      </c>
      <c r="F24" s="135" t="s">
        <v>153</v>
      </c>
      <c r="G24" s="135" t="s">
        <v>154</v>
      </c>
      <c r="H24" s="135" t="s">
        <v>4</v>
      </c>
      <c r="I24" s="135" t="s">
        <v>4</v>
      </c>
      <c r="J24" s="135" t="s">
        <v>155</v>
      </c>
      <c r="K24" s="135" t="s">
        <v>97</v>
      </c>
      <c r="L24" s="135" t="s">
        <v>1</v>
      </c>
      <c r="M24" s="135" t="s">
        <v>1</v>
      </c>
      <c r="N24" s="135" t="s">
        <v>156</v>
      </c>
      <c r="O24" s="135" t="s">
        <v>157</v>
      </c>
      <c r="P24" s="135" t="s">
        <v>158</v>
      </c>
      <c r="Q24" s="135" t="s">
        <v>101</v>
      </c>
      <c r="R24" s="135" t="s">
        <v>159</v>
      </c>
      <c r="S24" s="135" t="s">
        <v>103</v>
      </c>
      <c r="T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U24" s="146" t="str">
        <f>IF(OR(LEFT(A24,9)="OPERATOR-",LEFT(A24,8)="PAYMENT-",LEFT(A24,7)="DEPLOY-"),"External","Core")</f>
        <v>Core</v>
      </c>
    </row>
    <row r="25" customFormat="false" ht="75" hidden="false" customHeight="true" outlineLevel="0" collapsed="false">
      <c r="A25" s="135" t="s">
        <v>160</v>
      </c>
      <c r="B25" s="135" t="s">
        <v>150</v>
      </c>
      <c r="C25" s="253" t="s">
        <v>39</v>
      </c>
      <c r="D25" s="135" t="s">
        <v>161</v>
      </c>
      <c r="E25" s="135" t="s">
        <v>162</v>
      </c>
      <c r="F25" s="135" t="s">
        <v>4</v>
      </c>
      <c r="G25" s="135" t="s">
        <v>163</v>
      </c>
      <c r="H25" s="135" t="s">
        <v>4</v>
      </c>
      <c r="I25" s="135" t="s">
        <v>4</v>
      </c>
      <c r="J25" s="135" t="s">
        <v>164</v>
      </c>
      <c r="K25" s="135" t="s">
        <v>97</v>
      </c>
      <c r="L25" s="135" t="s">
        <v>1</v>
      </c>
      <c r="M25" s="135" t="s">
        <v>1</v>
      </c>
      <c r="N25" s="135" t="s">
        <v>165</v>
      </c>
      <c r="O25" s="135" t="s">
        <v>166</v>
      </c>
      <c r="P25" s="135" t="s">
        <v>167</v>
      </c>
      <c r="Q25" s="135" t="s">
        <v>101</v>
      </c>
      <c r="R25" s="135" t="s">
        <v>168</v>
      </c>
      <c r="S25" s="135" t="s">
        <v>103</v>
      </c>
      <c r="T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U25" s="146" t="str">
        <f>IF(OR(LEFT(A25,9)="OPERATOR-",LEFT(A25,8)="PAYMENT-",LEFT(A25,7)="DEPLOY-"),"External","Core")</f>
        <v>Core</v>
      </c>
    </row>
    <row r="26" customFormat="false" ht="15" hidden="false" customHeight="false" outlineLevel="0" collapsed="false">
      <c r="A26" s="135" t="s">
        <v>169</v>
      </c>
      <c r="B26" s="135" t="s">
        <v>170</v>
      </c>
      <c r="C26" s="253" t="s">
        <v>39</v>
      </c>
      <c r="D26" s="135" t="s">
        <v>171</v>
      </c>
      <c r="E26" s="135" t="s">
        <v>172</v>
      </c>
      <c r="F26" s="135" t="s">
        <v>173</v>
      </c>
      <c r="G26" s="135" t="s">
        <v>174</v>
      </c>
      <c r="H26" s="135" t="s">
        <v>4</v>
      </c>
      <c r="I26" s="135" t="s">
        <v>175</v>
      </c>
      <c r="J26" s="135" t="s">
        <v>176</v>
      </c>
      <c r="K26" s="135" t="s">
        <v>177</v>
      </c>
      <c r="L26" s="135" t="s">
        <v>1</v>
      </c>
      <c r="M26" s="135" t="s">
        <v>1</v>
      </c>
      <c r="N26" s="135" t="s">
        <v>178</v>
      </c>
      <c r="O26" s="135" t="s">
        <v>179</v>
      </c>
      <c r="P26" s="135" t="s">
        <v>180</v>
      </c>
      <c r="Q26" s="135" t="s">
        <v>101</v>
      </c>
      <c r="R26" s="135" t="s">
        <v>181</v>
      </c>
      <c r="S26" s="135" t="s">
        <v>182</v>
      </c>
      <c r="T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U26" s="146" t="str">
        <f>IF(OR(LEFT(A26,9)="OPERATOR-",LEFT(A26,8)="PAYMENT-",LEFT(A26,7)="DEPLOY-"),"External","Core")</f>
        <v>Core</v>
      </c>
    </row>
    <row r="27" customFormat="false" ht="15" hidden="false" customHeight="false" outlineLevel="0" collapsed="false">
      <c r="A27" s="135" t="s">
        <v>183</v>
      </c>
      <c r="B27" s="135" t="s">
        <v>184</v>
      </c>
      <c r="C27" s="253" t="s">
        <v>39</v>
      </c>
      <c r="D27" s="135" t="s">
        <v>185</v>
      </c>
      <c r="E27" s="135" t="s">
        <v>186</v>
      </c>
      <c r="F27" s="135" t="s">
        <v>187</v>
      </c>
      <c r="G27" s="135" t="s">
        <v>188</v>
      </c>
      <c r="H27" s="135" t="s">
        <v>189</v>
      </c>
      <c r="I27" s="135" t="s">
        <v>8</v>
      </c>
      <c r="J27" s="135" t="s">
        <v>190</v>
      </c>
      <c r="K27" s="135" t="s">
        <v>177</v>
      </c>
      <c r="L27" s="135" t="s">
        <v>1</v>
      </c>
      <c r="M27" s="135" t="s">
        <v>1</v>
      </c>
      <c r="N27" s="135" t="s">
        <v>178</v>
      </c>
      <c r="O27" s="135" t="s">
        <v>191</v>
      </c>
      <c r="P27" s="135" t="s">
        <v>192</v>
      </c>
      <c r="Q27" s="135" t="s">
        <v>101</v>
      </c>
      <c r="R27" s="135" t="s">
        <v>193</v>
      </c>
      <c r="S27" s="135" t="s">
        <v>126</v>
      </c>
      <c r="T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U27" s="146" t="str">
        <f>IF(OR(LEFT(A27,9)="OPERATOR-",LEFT(A27,8)="PAYMENT-",LEFT(A27,7)="DEPLOY-"),"External","Core")</f>
        <v>Core</v>
      </c>
    </row>
    <row r="28" customFormat="false" ht="15" hidden="false" customHeight="false" outlineLevel="0" collapsed="false">
      <c r="A28" s="135" t="s">
        <v>194</v>
      </c>
      <c r="B28" s="135" t="s">
        <v>195</v>
      </c>
      <c r="C28" s="256" t="s">
        <v>48</v>
      </c>
      <c r="D28" s="135" t="s">
        <v>196</v>
      </c>
      <c r="E28" s="135" t="s">
        <v>197</v>
      </c>
      <c r="F28" s="135" t="s">
        <v>198</v>
      </c>
      <c r="G28" s="135" t="s">
        <v>199</v>
      </c>
      <c r="H28" s="135" t="s">
        <v>200</v>
      </c>
      <c r="I28" s="135" t="s">
        <v>201</v>
      </c>
      <c r="J28" s="135" t="s">
        <v>202</v>
      </c>
      <c r="K28" s="135" t="s">
        <v>203</v>
      </c>
      <c r="L28" s="135" t="s">
        <v>1</v>
      </c>
      <c r="M28" s="135" t="s">
        <v>1</v>
      </c>
      <c r="N28" s="135" t="s">
        <v>204</v>
      </c>
      <c r="O28" s="135" t="s">
        <v>205</v>
      </c>
      <c r="P28" s="135" t="s">
        <v>206</v>
      </c>
      <c r="Q28" s="135" t="s">
        <v>101</v>
      </c>
      <c r="R28" s="135" t="s">
        <v>207</v>
      </c>
      <c r="S28" s="135" t="s">
        <v>112</v>
      </c>
      <c r="T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U28" s="146" t="str">
        <f>IF(OR(LEFT(A28,9)="OPERATOR-",LEFT(A28,8)="PAYMENT-",LEFT(A28,7)="DEPLOY-"),"External","Core")</f>
        <v>Core</v>
      </c>
    </row>
    <row r="29" customFormat="false" ht="15" hidden="false" customHeight="false" outlineLevel="0" collapsed="false">
      <c r="A29" s="135" t="s">
        <v>208</v>
      </c>
      <c r="B29" s="135" t="s">
        <v>209</v>
      </c>
      <c r="C29" s="256" t="s">
        <v>48</v>
      </c>
      <c r="D29" s="135" t="s">
        <v>210</v>
      </c>
      <c r="E29" s="135" t="s">
        <v>211</v>
      </c>
      <c r="F29" s="135" t="s">
        <v>212</v>
      </c>
      <c r="G29" s="135" t="s">
        <v>213</v>
      </c>
      <c r="H29" s="135" t="s">
        <v>214</v>
      </c>
      <c r="I29" s="135" t="s">
        <v>215</v>
      </c>
      <c r="J29" s="135" t="s">
        <v>216</v>
      </c>
      <c r="K29" s="135" t="s">
        <v>203</v>
      </c>
      <c r="L29" s="135" t="s">
        <v>1</v>
      </c>
      <c r="M29" s="135" t="s">
        <v>1</v>
      </c>
      <c r="N29" s="135" t="s">
        <v>204</v>
      </c>
      <c r="O29" s="135" t="s">
        <v>217</v>
      </c>
      <c r="P29" s="135" t="s">
        <v>218</v>
      </c>
      <c r="Q29" s="135" t="s">
        <v>101</v>
      </c>
      <c r="R29" s="135" t="s">
        <v>219</v>
      </c>
      <c r="S29" s="135" t="s">
        <v>126</v>
      </c>
      <c r="T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U29" s="146" t="str">
        <f>IF(OR(LEFT(A29,9)="OPERATOR-",LEFT(A29,8)="PAYMENT-",LEFT(A29,7)="DEPLOY-"),"External","Core")</f>
        <v>Core</v>
      </c>
    </row>
    <row r="30" customFormat="false" ht="15" hidden="false" customHeight="false" outlineLevel="0" collapsed="false">
      <c r="A30" s="135" t="s">
        <v>220</v>
      </c>
      <c r="B30" s="135" t="s">
        <v>195</v>
      </c>
      <c r="C30" s="256" t="s">
        <v>48</v>
      </c>
      <c r="D30" s="135" t="s">
        <v>196</v>
      </c>
      <c r="E30" s="135" t="s">
        <v>221</v>
      </c>
      <c r="F30" s="135" t="s">
        <v>222</v>
      </c>
      <c r="G30" s="135" t="s">
        <v>223</v>
      </c>
      <c r="H30" s="135" t="s">
        <v>200</v>
      </c>
      <c r="I30" s="135" t="s">
        <v>224</v>
      </c>
      <c r="J30" s="135" t="s">
        <v>225</v>
      </c>
      <c r="K30" s="135" t="s">
        <v>203</v>
      </c>
      <c r="L30" s="135" t="s">
        <v>1</v>
      </c>
      <c r="M30" s="135" t="s">
        <v>1</v>
      </c>
      <c r="N30" s="135" t="s">
        <v>204</v>
      </c>
      <c r="O30" s="135" t="s">
        <v>226</v>
      </c>
      <c r="P30" s="135" t="s">
        <v>227</v>
      </c>
      <c r="Q30" s="135" t="s">
        <v>101</v>
      </c>
      <c r="R30" s="135" t="s">
        <v>228</v>
      </c>
      <c r="S30" s="135" t="s">
        <v>229</v>
      </c>
      <c r="T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U30" s="146" t="str">
        <f>IF(OR(LEFT(A30,9)="OPERATOR-",LEFT(A30,8)="PAYMENT-",LEFT(A30,7)="DEPLOY-"),"External","Core")</f>
        <v>Core</v>
      </c>
    </row>
    <row r="31" customFormat="false" ht="180" hidden="false" customHeight="true" outlineLevel="0" collapsed="false">
      <c r="A31" s="135" t="s">
        <v>230</v>
      </c>
      <c r="B31" s="135" t="s">
        <v>231</v>
      </c>
      <c r="C31" s="256" t="s">
        <v>48</v>
      </c>
      <c r="D31" s="135" t="s">
        <v>232</v>
      </c>
      <c r="E31" s="135" t="s">
        <v>233</v>
      </c>
      <c r="F31" s="135" t="s">
        <v>4</v>
      </c>
      <c r="G31" s="135" t="s">
        <v>234</v>
      </c>
      <c r="H31" s="135" t="s">
        <v>4</v>
      </c>
      <c r="I31" s="135" t="s">
        <v>235</v>
      </c>
      <c r="J31" s="135" t="s">
        <v>236</v>
      </c>
      <c r="K31" s="135" t="s">
        <v>97</v>
      </c>
      <c r="L31" s="135" t="s">
        <v>1</v>
      </c>
      <c r="M31" s="135" t="s">
        <v>1</v>
      </c>
      <c r="N31" s="135" t="s">
        <v>122</v>
      </c>
      <c r="O31" s="135" t="s">
        <v>237</v>
      </c>
      <c r="P31" s="135" t="s">
        <v>238</v>
      </c>
      <c r="Q31" s="135" t="s">
        <v>101</v>
      </c>
      <c r="R31" s="135" t="s">
        <v>239</v>
      </c>
      <c r="S31" s="135" t="s">
        <v>240</v>
      </c>
      <c r="T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U31" s="146" t="str">
        <f>IF(OR(LEFT(A31,9)="OPERATOR-",LEFT(A31,8)="PAYMENT-",LEFT(A31,7)="DEPLOY-"),"External","Core")</f>
        <v>Core</v>
      </c>
    </row>
    <row r="32" customFormat="false" ht="15" hidden="false" customHeight="false" outlineLevel="0" collapsed="false">
      <c r="A32" s="135" t="s">
        <v>241</v>
      </c>
      <c r="B32" s="135" t="s">
        <v>242</v>
      </c>
      <c r="C32" s="256" t="s">
        <v>48</v>
      </c>
      <c r="D32" s="135" t="s">
        <v>243</v>
      </c>
      <c r="E32" s="135" t="s">
        <v>244</v>
      </c>
      <c r="F32" s="135" t="s">
        <v>222</v>
      </c>
      <c r="G32" s="135" t="s">
        <v>245</v>
      </c>
      <c r="H32" s="135" t="s">
        <v>4</v>
      </c>
      <c r="I32" s="135" t="s">
        <v>246</v>
      </c>
      <c r="J32" s="135" t="s">
        <v>247</v>
      </c>
      <c r="K32" s="135" t="s">
        <v>248</v>
      </c>
      <c r="L32" s="135" t="s">
        <v>1</v>
      </c>
      <c r="M32" s="135" t="s">
        <v>1</v>
      </c>
      <c r="N32" s="135" t="s">
        <v>122</v>
      </c>
      <c r="O32" s="135" t="s">
        <v>249</v>
      </c>
      <c r="P32" s="135" t="s">
        <v>250</v>
      </c>
      <c r="Q32" s="135" t="s">
        <v>101</v>
      </c>
      <c r="R32" s="135" t="s">
        <v>251</v>
      </c>
      <c r="S32" s="135" t="s">
        <v>103</v>
      </c>
      <c r="T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U32" s="146" t="str">
        <f>IF(OR(LEFT(A32,9)="OPERATOR-",LEFT(A32,8)="PAYMENT-",LEFT(A32,7)="DEPLOY-"),"External","Core")</f>
        <v>Core</v>
      </c>
    </row>
    <row r="33" customFormat="false" ht="15" hidden="false" customHeight="false" outlineLevel="0" collapsed="false">
      <c r="A33" s="135" t="s">
        <v>252</v>
      </c>
      <c r="B33" s="135" t="s">
        <v>195</v>
      </c>
      <c r="C33" s="256" t="s">
        <v>48</v>
      </c>
      <c r="D33" s="135" t="s">
        <v>253</v>
      </c>
      <c r="E33" s="135" t="s">
        <v>254</v>
      </c>
      <c r="F33" s="135" t="s">
        <v>255</v>
      </c>
      <c r="G33" s="135" t="s">
        <v>256</v>
      </c>
      <c r="H33" s="135" t="s">
        <v>257</v>
      </c>
      <c r="I33" s="135" t="s">
        <v>258</v>
      </c>
      <c r="J33" s="135" t="s">
        <v>259</v>
      </c>
      <c r="K33" s="135" t="s">
        <v>203</v>
      </c>
      <c r="L33" s="135" t="s">
        <v>1</v>
      </c>
      <c r="M33" s="135" t="s">
        <v>1</v>
      </c>
      <c r="N33" s="135" t="s">
        <v>204</v>
      </c>
      <c r="O33" s="135" t="s">
        <v>260</v>
      </c>
      <c r="P33" s="135" t="s">
        <v>261</v>
      </c>
      <c r="Q33" s="135" t="s">
        <v>101</v>
      </c>
      <c r="R33" s="135" t="s">
        <v>262</v>
      </c>
      <c r="S33" s="135" t="s">
        <v>263</v>
      </c>
      <c r="T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U33" s="146" t="str">
        <f>IF(OR(LEFT(A33,9)="OPERATOR-",LEFT(A33,8)="PAYMENT-",LEFT(A33,7)="DEPLOY-"),"External","Core")</f>
        <v>Core</v>
      </c>
    </row>
    <row r="34" customFormat="false" ht="15" hidden="false" customHeight="false" outlineLevel="0" collapsed="false">
      <c r="A34" s="135" t="s">
        <v>264</v>
      </c>
      <c r="B34" s="135" t="s">
        <v>265</v>
      </c>
      <c r="C34" s="256" t="s">
        <v>48</v>
      </c>
      <c r="D34" s="135" t="s">
        <v>266</v>
      </c>
      <c r="E34" s="135" t="s">
        <v>267</v>
      </c>
      <c r="F34" s="135" t="s">
        <v>4</v>
      </c>
      <c r="G34" s="135" t="s">
        <v>268</v>
      </c>
      <c r="H34" s="135" t="s">
        <v>4</v>
      </c>
      <c r="I34" s="135" t="s">
        <v>269</v>
      </c>
      <c r="J34" s="135" t="s">
        <v>270</v>
      </c>
      <c r="K34" s="135" t="s">
        <v>271</v>
      </c>
      <c r="L34" s="135" t="s">
        <v>1</v>
      </c>
      <c r="M34" s="135" t="s">
        <v>1</v>
      </c>
      <c r="N34" s="135" t="s">
        <v>204</v>
      </c>
      <c r="O34" s="135" t="s">
        <v>272</v>
      </c>
      <c r="P34" s="135" t="s">
        <v>273</v>
      </c>
      <c r="Q34" s="135" t="s">
        <v>101</v>
      </c>
      <c r="R34" s="135" t="s">
        <v>274</v>
      </c>
      <c r="S34" s="135" t="s">
        <v>275</v>
      </c>
      <c r="T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U34" s="146" t="str">
        <f>IF(OR(LEFT(A34,9)="OPERATOR-",LEFT(A34,8)="PAYMENT-",LEFT(A34,7)="DEPLOY-"),"External","Core")</f>
        <v>Core</v>
      </c>
    </row>
    <row r="35" customFormat="false" ht="15" hidden="false" customHeight="false" outlineLevel="0" collapsed="false">
      <c r="A35" s="135" t="s">
        <v>276</v>
      </c>
      <c r="B35" s="135" t="s">
        <v>277</v>
      </c>
      <c r="C35" s="256" t="s">
        <v>48</v>
      </c>
      <c r="D35" s="135" t="s">
        <v>278</v>
      </c>
      <c r="E35" s="135" t="s">
        <v>279</v>
      </c>
      <c r="F35" s="135" t="s">
        <v>280</v>
      </c>
      <c r="G35" s="135" t="s">
        <v>281</v>
      </c>
      <c r="H35" s="135" t="s">
        <v>282</v>
      </c>
      <c r="I35" s="135" t="s">
        <v>283</v>
      </c>
      <c r="J35" s="135" t="s">
        <v>284</v>
      </c>
      <c r="K35" s="135" t="s">
        <v>248</v>
      </c>
      <c r="L35" s="135" t="s">
        <v>1</v>
      </c>
      <c r="M35" s="135" t="s">
        <v>1</v>
      </c>
      <c r="N35" s="135" t="s">
        <v>204</v>
      </c>
      <c r="O35" s="135" t="s">
        <v>285</v>
      </c>
      <c r="P35" s="135" t="s">
        <v>286</v>
      </c>
      <c r="Q35" s="135" t="s">
        <v>101</v>
      </c>
      <c r="R35" s="135" t="s">
        <v>287</v>
      </c>
      <c r="S35" s="135" t="s">
        <v>288</v>
      </c>
      <c r="T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U35" s="146" t="str">
        <f>IF(OR(LEFT(A35,9)="OPERATOR-",LEFT(A35,8)="PAYMENT-",LEFT(A35,7)="DEPLOY-"),"External","Core")</f>
        <v>Core</v>
      </c>
    </row>
    <row r="36" customFormat="false" ht="15" hidden="false" customHeight="false" outlineLevel="0" collapsed="false">
      <c r="A36" s="135" t="s">
        <v>289</v>
      </c>
      <c r="B36" s="135" t="s">
        <v>209</v>
      </c>
      <c r="C36" s="256" t="s">
        <v>48</v>
      </c>
      <c r="D36" s="135" t="s">
        <v>290</v>
      </c>
      <c r="E36" s="135" t="s">
        <v>291</v>
      </c>
      <c r="F36" s="135" t="s">
        <v>4</v>
      </c>
      <c r="G36" s="135" t="s">
        <v>292</v>
      </c>
      <c r="H36" s="135" t="s">
        <v>4</v>
      </c>
      <c r="I36" s="135" t="s">
        <v>4</v>
      </c>
      <c r="J36" s="135" t="s">
        <v>293</v>
      </c>
      <c r="K36" s="135" t="s">
        <v>248</v>
      </c>
      <c r="L36" s="135" t="s">
        <v>1</v>
      </c>
      <c r="M36" s="135" t="s">
        <v>1</v>
      </c>
      <c r="N36" s="135" t="s">
        <v>204</v>
      </c>
      <c r="O36" s="135" t="s">
        <v>294</v>
      </c>
      <c r="P36" s="135" t="s">
        <v>295</v>
      </c>
      <c r="Q36" s="135" t="s">
        <v>101</v>
      </c>
      <c r="R36" s="135" t="s">
        <v>296</v>
      </c>
      <c r="S36" s="135" t="s">
        <v>297</v>
      </c>
      <c r="T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U36" s="146" t="str">
        <f>IF(OR(LEFT(A36,9)="OPERATOR-",LEFT(A36,8)="PAYMENT-",LEFT(A36,7)="DEPLOY-"),"External","Core")</f>
        <v>Core</v>
      </c>
    </row>
    <row r="37" customFormat="false" ht="15" hidden="false" customHeight="false" outlineLevel="0" collapsed="false">
      <c r="A37" s="135" t="s">
        <v>298</v>
      </c>
      <c r="B37" s="135" t="s">
        <v>170</v>
      </c>
      <c r="C37" s="256" t="s">
        <v>48</v>
      </c>
      <c r="D37" s="135" t="s">
        <v>299</v>
      </c>
      <c r="E37" s="135" t="s">
        <v>300</v>
      </c>
      <c r="F37" s="135" t="s">
        <v>301</v>
      </c>
      <c r="G37" s="135" t="s">
        <v>302</v>
      </c>
      <c r="H37" s="135" t="s">
        <v>303</v>
      </c>
      <c r="I37" s="135" t="s">
        <v>304</v>
      </c>
      <c r="J37" s="135" t="s">
        <v>305</v>
      </c>
      <c r="K37" s="135" t="s">
        <v>248</v>
      </c>
      <c r="L37" s="135" t="s">
        <v>1</v>
      </c>
      <c r="M37" s="135" t="s">
        <v>1</v>
      </c>
      <c r="N37" s="135" t="s">
        <v>306</v>
      </c>
      <c r="O37" s="135" t="s">
        <v>307</v>
      </c>
      <c r="P37" s="135" t="s">
        <v>308</v>
      </c>
      <c r="Q37" s="135" t="s">
        <v>101</v>
      </c>
      <c r="R37" s="135" t="s">
        <v>309</v>
      </c>
      <c r="S37" s="135" t="s">
        <v>126</v>
      </c>
      <c r="T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U37" s="146" t="str">
        <f>IF(OR(LEFT(A37,9)="OPERATOR-",LEFT(A37,8)="PAYMENT-",LEFT(A37,7)="DEPLOY-"),"External","Core")</f>
        <v>Core</v>
      </c>
    </row>
    <row r="38" customFormat="false" ht="15" hidden="false" customHeight="false" outlineLevel="0" collapsed="false">
      <c r="A38" s="135" t="s">
        <v>310</v>
      </c>
      <c r="B38" s="135" t="s">
        <v>170</v>
      </c>
      <c r="C38" s="256" t="s">
        <v>48</v>
      </c>
      <c r="D38" s="135" t="s">
        <v>311</v>
      </c>
      <c r="E38" s="135" t="s">
        <v>312</v>
      </c>
      <c r="F38" s="135" t="s">
        <v>313</v>
      </c>
      <c r="G38" s="135" t="s">
        <v>314</v>
      </c>
      <c r="H38" s="135" t="s">
        <v>315</v>
      </c>
      <c r="I38" s="135" t="s">
        <v>316</v>
      </c>
      <c r="J38" s="135" t="s">
        <v>317</v>
      </c>
      <c r="K38" s="135" t="s">
        <v>318</v>
      </c>
      <c r="L38" s="135" t="s">
        <v>1</v>
      </c>
      <c r="M38" s="135" t="s">
        <v>1</v>
      </c>
      <c r="N38" s="135" t="s">
        <v>319</v>
      </c>
      <c r="O38" s="135" t="s">
        <v>320</v>
      </c>
      <c r="P38" s="135" t="s">
        <v>321</v>
      </c>
      <c r="Q38" s="135" t="s">
        <v>101</v>
      </c>
      <c r="R38" s="135" t="s">
        <v>322</v>
      </c>
      <c r="S38" s="135" t="s">
        <v>103</v>
      </c>
      <c r="T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U38" s="146" t="str">
        <f>IF(OR(LEFT(A38,9)="OPERATOR-",LEFT(A38,8)="PAYMENT-",LEFT(A38,7)="DEPLOY-"),"External","Core")</f>
        <v>Core</v>
      </c>
    </row>
    <row r="39" customFormat="false" ht="15" hidden="false" customHeight="false" outlineLevel="0" collapsed="false">
      <c r="A39" s="135" t="s">
        <v>323</v>
      </c>
      <c r="B39" s="135" t="s">
        <v>195</v>
      </c>
      <c r="C39" s="256" t="s">
        <v>48</v>
      </c>
      <c r="D39" s="135" t="s">
        <v>324</v>
      </c>
      <c r="E39" s="135" t="s">
        <v>325</v>
      </c>
      <c r="F39" s="135" t="s">
        <v>326</v>
      </c>
      <c r="G39" s="135" t="s">
        <v>223</v>
      </c>
      <c r="H39" s="135" t="s">
        <v>200</v>
      </c>
      <c r="I39" s="135" t="s">
        <v>327</v>
      </c>
      <c r="J39" s="135" t="s">
        <v>328</v>
      </c>
      <c r="K39" s="135" t="s">
        <v>203</v>
      </c>
      <c r="L39" s="135" t="s">
        <v>1</v>
      </c>
      <c r="M39" s="135" t="s">
        <v>1</v>
      </c>
      <c r="N39" s="135" t="s">
        <v>204</v>
      </c>
      <c r="O39" s="135" t="s">
        <v>329</v>
      </c>
      <c r="P39" s="135" t="s">
        <v>330</v>
      </c>
      <c r="Q39" s="135" t="s">
        <v>101</v>
      </c>
      <c r="R39" s="135" t="s">
        <v>331</v>
      </c>
      <c r="S39" s="135" t="s">
        <v>332</v>
      </c>
      <c r="T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U39" s="146" t="str">
        <f>IF(OR(LEFT(A39,9)="OPERATOR-",LEFT(A39,8)="PAYMENT-",LEFT(A39,7)="DEPLOY-"),"External","Core")</f>
        <v>Core</v>
      </c>
    </row>
    <row r="40" customFormat="false" ht="180" hidden="false" customHeight="true" outlineLevel="0" collapsed="false">
      <c r="A40" s="135" t="s">
        <v>333</v>
      </c>
      <c r="B40" s="135" t="s">
        <v>195</v>
      </c>
      <c r="C40" s="256" t="s">
        <v>48</v>
      </c>
      <c r="D40" s="135" t="s">
        <v>324</v>
      </c>
      <c r="E40" s="135" t="s">
        <v>334</v>
      </c>
      <c r="F40" s="135" t="s">
        <v>335</v>
      </c>
      <c r="G40" s="135" t="s">
        <v>336</v>
      </c>
      <c r="H40" s="135" t="s">
        <v>200</v>
      </c>
      <c r="I40" s="135" t="s">
        <v>337</v>
      </c>
      <c r="J40" s="135" t="s">
        <v>338</v>
      </c>
      <c r="K40" s="135" t="s">
        <v>339</v>
      </c>
      <c r="L40" s="135" t="s">
        <v>1</v>
      </c>
      <c r="M40" s="135" t="s">
        <v>1</v>
      </c>
      <c r="N40" s="135" t="s">
        <v>122</v>
      </c>
      <c r="O40" s="135" t="s">
        <v>340</v>
      </c>
      <c r="P40" s="135" t="s">
        <v>341</v>
      </c>
      <c r="Q40" s="135" t="s">
        <v>101</v>
      </c>
      <c r="R40" s="135" t="s">
        <v>342</v>
      </c>
      <c r="S40" s="135" t="s">
        <v>343</v>
      </c>
      <c r="T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U40" s="146" t="str">
        <f>IF(OR(LEFT(A40,9)="OPERATOR-",LEFT(A40,8)="PAYMENT-",LEFT(A40,7)="DEPLOY-"),"External","Core")</f>
        <v>Core</v>
      </c>
    </row>
    <row r="41" customFormat="false" ht="120" hidden="false" customHeight="true" outlineLevel="0" collapsed="false">
      <c r="A41" s="135" t="s">
        <v>344</v>
      </c>
      <c r="B41" s="135" t="s">
        <v>195</v>
      </c>
      <c r="C41" s="256" t="s">
        <v>48</v>
      </c>
      <c r="D41" s="135" t="s">
        <v>324</v>
      </c>
      <c r="E41" s="135" t="s">
        <v>345</v>
      </c>
      <c r="F41" s="135" t="s">
        <v>346</v>
      </c>
      <c r="G41" s="135" t="s">
        <v>347</v>
      </c>
      <c r="H41" s="135" t="s">
        <v>200</v>
      </c>
      <c r="I41" s="135" t="s">
        <v>348</v>
      </c>
      <c r="J41" s="135" t="s">
        <v>349</v>
      </c>
      <c r="K41" s="135" t="s">
        <v>203</v>
      </c>
      <c r="L41" s="135" t="s">
        <v>1</v>
      </c>
      <c r="M41" s="135" t="s">
        <v>1</v>
      </c>
      <c r="N41" s="135" t="s">
        <v>156</v>
      </c>
      <c r="O41" s="135" t="s">
        <v>350</v>
      </c>
      <c r="P41" s="135" t="s">
        <v>351</v>
      </c>
      <c r="Q41" s="135" t="s">
        <v>101</v>
      </c>
      <c r="R41" s="135" t="s">
        <v>352</v>
      </c>
      <c r="S41" s="135" t="s">
        <v>263</v>
      </c>
      <c r="T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U41" s="146" t="str">
        <f>IF(OR(LEFT(A41,9)="OPERATOR-",LEFT(A41,8)="PAYMENT-",LEFT(A41,7)="DEPLOY-"),"External","Core")</f>
        <v>Core</v>
      </c>
    </row>
    <row r="42" customFormat="false" ht="105" hidden="false" customHeight="true" outlineLevel="0" collapsed="false">
      <c r="A42" s="135" t="s">
        <v>353</v>
      </c>
      <c r="B42" s="135" t="s">
        <v>195</v>
      </c>
      <c r="C42" s="256" t="s">
        <v>48</v>
      </c>
      <c r="D42" s="135" t="s">
        <v>354</v>
      </c>
      <c r="E42" s="135" t="s">
        <v>355</v>
      </c>
      <c r="F42" s="135" t="s">
        <v>356</v>
      </c>
      <c r="G42" s="135" t="s">
        <v>357</v>
      </c>
      <c r="H42" s="135" t="s">
        <v>358</v>
      </c>
      <c r="I42" s="135" t="s">
        <v>359</v>
      </c>
      <c r="J42" s="135" t="s">
        <v>360</v>
      </c>
      <c r="K42" s="135" t="s">
        <v>203</v>
      </c>
      <c r="L42" s="135" t="s">
        <v>1</v>
      </c>
      <c r="M42" s="135" t="s">
        <v>1</v>
      </c>
      <c r="N42" s="135" t="s">
        <v>156</v>
      </c>
      <c r="O42" s="135" t="s">
        <v>361</v>
      </c>
      <c r="P42" s="135" t="s">
        <v>362</v>
      </c>
      <c r="Q42" s="135" t="s">
        <v>101</v>
      </c>
      <c r="R42" s="135" t="s">
        <v>363</v>
      </c>
      <c r="S42" s="135" t="s">
        <v>343</v>
      </c>
      <c r="T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U42" s="146" t="str">
        <f>IF(OR(LEFT(A42,9)="OPERATOR-",LEFT(A42,8)="PAYMENT-",LEFT(A42,7)="DEPLOY-"),"External","Core")</f>
        <v>Core</v>
      </c>
    </row>
    <row r="43" customFormat="false" ht="60" hidden="false" customHeight="true" outlineLevel="0" collapsed="false">
      <c r="A43" s="135" t="s">
        <v>364</v>
      </c>
      <c r="B43" s="135" t="s">
        <v>195</v>
      </c>
      <c r="C43" s="256" t="s">
        <v>48</v>
      </c>
      <c r="D43" s="135" t="s">
        <v>365</v>
      </c>
      <c r="E43" s="135" t="s">
        <v>366</v>
      </c>
      <c r="F43" s="135" t="s">
        <v>4</v>
      </c>
      <c r="G43" s="135" t="s">
        <v>4</v>
      </c>
      <c r="H43" s="135" t="s">
        <v>4</v>
      </c>
      <c r="I43" s="135" t="s">
        <v>4</v>
      </c>
      <c r="J43" s="135" t="s">
        <v>367</v>
      </c>
      <c r="K43" s="135" t="s">
        <v>203</v>
      </c>
      <c r="L43" s="135" t="s">
        <v>1</v>
      </c>
      <c r="M43" s="135" t="s">
        <v>1</v>
      </c>
      <c r="N43" s="135" t="s">
        <v>156</v>
      </c>
      <c r="O43" s="135" t="s">
        <v>368</v>
      </c>
      <c r="P43" s="135" t="s">
        <v>369</v>
      </c>
      <c r="Q43" s="135" t="s">
        <v>101</v>
      </c>
      <c r="R43" s="135" t="s">
        <v>370</v>
      </c>
      <c r="S43" s="135" t="s">
        <v>371</v>
      </c>
      <c r="T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U43" s="146" t="str">
        <f>IF(OR(LEFT(A43,9)="OPERATOR-",LEFT(A43,8)="PAYMENT-",LEFT(A43,7)="DEPLOY-"),"External","Core")</f>
        <v>Core</v>
      </c>
    </row>
    <row r="44" customFormat="false" ht="60" hidden="false" customHeight="true" outlineLevel="0" collapsed="false">
      <c r="A44" s="135" t="s">
        <v>372</v>
      </c>
      <c r="B44" s="135" t="s">
        <v>195</v>
      </c>
      <c r="C44" s="256" t="s">
        <v>48</v>
      </c>
      <c r="D44" s="135" t="s">
        <v>373</v>
      </c>
      <c r="E44" s="135" t="s">
        <v>374</v>
      </c>
      <c r="F44" s="135" t="s">
        <v>375</v>
      </c>
      <c r="G44" s="135" t="s">
        <v>376</v>
      </c>
      <c r="H44" s="135" t="s">
        <v>377</v>
      </c>
      <c r="I44" s="135" t="s">
        <v>378</v>
      </c>
      <c r="J44" s="135" t="s">
        <v>379</v>
      </c>
      <c r="K44" s="135" t="s">
        <v>203</v>
      </c>
      <c r="L44" s="135" t="s">
        <v>1</v>
      </c>
      <c r="M44" s="135" t="s">
        <v>1</v>
      </c>
      <c r="N44" s="135" t="s">
        <v>156</v>
      </c>
      <c r="O44" s="135" t="s">
        <v>380</v>
      </c>
      <c r="P44" s="135" t="s">
        <v>381</v>
      </c>
      <c r="Q44" s="135" t="s">
        <v>101</v>
      </c>
      <c r="R44" s="135" t="s">
        <v>382</v>
      </c>
      <c r="S44" s="135" t="s">
        <v>263</v>
      </c>
      <c r="T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U44" s="146" t="str">
        <f>IF(OR(LEFT(A44,9)="OPERATOR-",LEFT(A44,8)="PAYMENT-",LEFT(A44,7)="DEPLOY-"),"External","Core")</f>
        <v>Core</v>
      </c>
    </row>
    <row r="45" customFormat="false" ht="15" hidden="false" customHeight="false" outlineLevel="0" collapsed="false">
      <c r="A45" s="135" t="s">
        <v>383</v>
      </c>
      <c r="B45" s="135" t="s">
        <v>195</v>
      </c>
      <c r="C45" s="256" t="s">
        <v>48</v>
      </c>
      <c r="D45" s="135" t="s">
        <v>384</v>
      </c>
      <c r="E45" s="135" t="s">
        <v>385</v>
      </c>
      <c r="F45" s="135" t="s">
        <v>4</v>
      </c>
      <c r="G45" s="135" t="s">
        <v>4</v>
      </c>
      <c r="H45" s="135" t="s">
        <v>4</v>
      </c>
      <c r="I45" s="135" t="s">
        <v>4</v>
      </c>
      <c r="J45" s="135" t="s">
        <v>386</v>
      </c>
      <c r="K45" s="135" t="s">
        <v>387</v>
      </c>
      <c r="L45" s="135" t="s">
        <v>1</v>
      </c>
      <c r="M45" s="135" t="s">
        <v>1</v>
      </c>
      <c r="N45" s="135" t="s">
        <v>204</v>
      </c>
      <c r="O45" s="135" t="s">
        <v>388</v>
      </c>
      <c r="P45" s="135" t="s">
        <v>389</v>
      </c>
      <c r="Q45" s="135" t="s">
        <v>101</v>
      </c>
      <c r="R45" s="135" t="s">
        <v>390</v>
      </c>
      <c r="S45" s="135" t="s">
        <v>103</v>
      </c>
      <c r="T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U45" s="146" t="str">
        <f>IF(OR(LEFT(A45,9)="OPERATOR-",LEFT(A45,8)="PAYMENT-",LEFT(A45,7)="DEPLOY-"),"External","Core")</f>
        <v>Core</v>
      </c>
    </row>
    <row r="46" customFormat="false" ht="15" hidden="false" customHeight="false" outlineLevel="0" collapsed="false">
      <c r="A46" s="135" t="s">
        <v>391</v>
      </c>
      <c r="B46" s="135" t="s">
        <v>195</v>
      </c>
      <c r="C46" s="256" t="s">
        <v>48</v>
      </c>
      <c r="D46" s="135" t="s">
        <v>373</v>
      </c>
      <c r="E46" s="135" t="s">
        <v>392</v>
      </c>
      <c r="F46" s="135" t="s">
        <v>393</v>
      </c>
      <c r="G46" s="135" t="s">
        <v>394</v>
      </c>
      <c r="H46" s="135" t="s">
        <v>395</v>
      </c>
      <c r="I46" s="135" t="s">
        <v>396</v>
      </c>
      <c r="J46" s="135" t="s">
        <v>397</v>
      </c>
      <c r="K46" s="135" t="s">
        <v>97</v>
      </c>
      <c r="L46" s="135" t="s">
        <v>1</v>
      </c>
      <c r="M46" s="135" t="s">
        <v>1</v>
      </c>
      <c r="N46" s="135" t="s">
        <v>204</v>
      </c>
      <c r="O46" s="135" t="s">
        <v>398</v>
      </c>
      <c r="P46" s="135" t="s">
        <v>399</v>
      </c>
      <c r="Q46" s="135" t="s">
        <v>101</v>
      </c>
      <c r="R46" s="135" t="s">
        <v>400</v>
      </c>
      <c r="S46" s="135" t="s">
        <v>103</v>
      </c>
      <c r="T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U46" s="146" t="str">
        <f>IF(OR(LEFT(A46,9)="OPERATOR-",LEFT(A46,8)="PAYMENT-",LEFT(A46,7)="DEPLOY-"),"External","Core")</f>
        <v>Core</v>
      </c>
    </row>
    <row r="47" customFormat="false" ht="180" hidden="false" customHeight="true" outlineLevel="0" collapsed="false">
      <c r="A47" s="135" t="s">
        <v>401</v>
      </c>
      <c r="B47" s="135" t="s">
        <v>195</v>
      </c>
      <c r="C47" s="256" t="s">
        <v>48</v>
      </c>
      <c r="D47" s="135" t="s">
        <v>402</v>
      </c>
      <c r="E47" s="135" t="s">
        <v>403</v>
      </c>
      <c r="F47" s="135" t="s">
        <v>404</v>
      </c>
      <c r="G47" s="135" t="s">
        <v>405</v>
      </c>
      <c r="H47" s="135" t="s">
        <v>406</v>
      </c>
      <c r="I47" s="135" t="s">
        <v>407</v>
      </c>
      <c r="J47" s="135" t="s">
        <v>408</v>
      </c>
      <c r="K47" s="135" t="s">
        <v>248</v>
      </c>
      <c r="L47" s="135" t="s">
        <v>1</v>
      </c>
      <c r="M47" s="135" t="s">
        <v>1</v>
      </c>
      <c r="N47" s="135" t="s">
        <v>156</v>
      </c>
      <c r="O47" s="135" t="s">
        <v>409</v>
      </c>
      <c r="P47" s="135" t="s">
        <v>410</v>
      </c>
      <c r="Q47" s="135" t="s">
        <v>101</v>
      </c>
      <c r="R47" s="135" t="s">
        <v>411</v>
      </c>
      <c r="S47" s="135" t="s">
        <v>103</v>
      </c>
      <c r="T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U47" s="146" t="str">
        <f>IF(OR(LEFT(A47,9)="OPERATOR-",LEFT(A47,8)="PAYMENT-",LEFT(A47,7)="DEPLOY-"),"External","Core")</f>
        <v>Core</v>
      </c>
    </row>
    <row r="48" customFormat="false" ht="180" hidden="false" customHeight="true" outlineLevel="0" collapsed="false">
      <c r="A48" s="135" t="s">
        <v>412</v>
      </c>
      <c r="B48" s="135" t="s">
        <v>195</v>
      </c>
      <c r="C48" s="256" t="s">
        <v>48</v>
      </c>
      <c r="D48" s="135" t="s">
        <v>413</v>
      </c>
      <c r="E48" s="135" t="s">
        <v>414</v>
      </c>
      <c r="F48" s="135" t="s">
        <v>415</v>
      </c>
      <c r="G48" s="135" t="s">
        <v>416</v>
      </c>
      <c r="H48" s="135" t="s">
        <v>415</v>
      </c>
      <c r="I48" s="135" t="s">
        <v>417</v>
      </c>
      <c r="J48" s="135" t="s">
        <v>418</v>
      </c>
      <c r="K48" s="135" t="s">
        <v>318</v>
      </c>
      <c r="L48" s="135" t="s">
        <v>1</v>
      </c>
      <c r="M48" s="135" t="s">
        <v>1</v>
      </c>
      <c r="N48" s="135" t="s">
        <v>156</v>
      </c>
      <c r="O48" s="135" t="s">
        <v>419</v>
      </c>
      <c r="P48" s="135" t="s">
        <v>420</v>
      </c>
      <c r="Q48" s="135" t="s">
        <v>101</v>
      </c>
      <c r="R48" s="135" t="s">
        <v>421</v>
      </c>
      <c r="S48" s="135" t="s">
        <v>126</v>
      </c>
      <c r="T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U48" s="146" t="str">
        <f>IF(OR(LEFT(A48,9)="OPERATOR-",LEFT(A48,8)="PAYMENT-",LEFT(A48,7)="DEPLOY-"),"External","Core")</f>
        <v>Core</v>
      </c>
    </row>
    <row r="49" customFormat="false" ht="15" hidden="false" customHeight="false" outlineLevel="0" collapsed="false">
      <c r="A49" s="135" t="s">
        <v>422</v>
      </c>
      <c r="B49" s="135" t="s">
        <v>195</v>
      </c>
      <c r="C49" s="256" t="s">
        <v>48</v>
      </c>
      <c r="D49" s="135" t="s">
        <v>423</v>
      </c>
      <c r="E49" s="135" t="s">
        <v>424</v>
      </c>
      <c r="F49" s="135" t="s">
        <v>425</v>
      </c>
      <c r="G49" s="135" t="s">
        <v>426</v>
      </c>
      <c r="H49" s="135" t="s">
        <v>377</v>
      </c>
      <c r="I49" s="135" t="s">
        <v>396</v>
      </c>
      <c r="J49" s="135" t="s">
        <v>427</v>
      </c>
      <c r="K49" s="135" t="s">
        <v>97</v>
      </c>
      <c r="L49" s="135" t="s">
        <v>1</v>
      </c>
      <c r="M49" s="135" t="s">
        <v>1</v>
      </c>
      <c r="N49" s="135" t="s">
        <v>156</v>
      </c>
      <c r="O49" s="135" t="s">
        <v>428</v>
      </c>
      <c r="P49" s="135" t="s">
        <v>429</v>
      </c>
      <c r="Q49" s="135" t="s">
        <v>101</v>
      </c>
      <c r="R49" s="135" t="s">
        <v>430</v>
      </c>
      <c r="S49" s="135" t="s">
        <v>103</v>
      </c>
      <c r="T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U49" s="146" t="str">
        <f>IF(OR(LEFT(A49,9)="OPERATOR-",LEFT(A49,8)="PAYMENT-",LEFT(A49,7)="DEPLOY-"),"External","Core")</f>
        <v>Core</v>
      </c>
    </row>
    <row r="50" customFormat="false" ht="15" hidden="false" customHeight="false" outlineLevel="0" collapsed="false">
      <c r="A50" s="135" t="s">
        <v>431</v>
      </c>
      <c r="B50" s="135" t="s">
        <v>195</v>
      </c>
      <c r="C50" s="256" t="s">
        <v>48</v>
      </c>
      <c r="D50" s="135" t="s">
        <v>432</v>
      </c>
      <c r="E50" s="135" t="s">
        <v>433</v>
      </c>
      <c r="F50" s="135" t="s">
        <v>4</v>
      </c>
      <c r="G50" s="135" t="s">
        <v>434</v>
      </c>
      <c r="H50" s="135" t="s">
        <v>4</v>
      </c>
      <c r="I50" s="135" t="s">
        <v>435</v>
      </c>
      <c r="J50" s="135" t="s">
        <v>436</v>
      </c>
      <c r="K50" s="135" t="s">
        <v>437</v>
      </c>
      <c r="L50" s="135" t="s">
        <v>1</v>
      </c>
      <c r="M50" s="135" t="s">
        <v>1</v>
      </c>
      <c r="N50" s="135" t="s">
        <v>438</v>
      </c>
      <c r="O50" s="135" t="s">
        <v>439</v>
      </c>
      <c r="P50" s="135" t="s">
        <v>440</v>
      </c>
      <c r="Q50" s="135" t="s">
        <v>101</v>
      </c>
      <c r="R50" s="135" t="s">
        <v>441</v>
      </c>
      <c r="S50" s="135" t="s">
        <v>229</v>
      </c>
      <c r="T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U50" s="146" t="str">
        <f>IF(OR(LEFT(A50,9)="OPERATOR-",LEFT(A50,8)="PAYMENT-",LEFT(A50,7)="DEPLOY-"),"External","Core")</f>
        <v>Core</v>
      </c>
    </row>
    <row r="51" customFormat="false" ht="15" hidden="false" customHeight="false" outlineLevel="0" collapsed="false">
      <c r="A51" s="135" t="s">
        <v>442</v>
      </c>
      <c r="B51" s="135" t="s">
        <v>195</v>
      </c>
      <c r="C51" s="256" t="s">
        <v>48</v>
      </c>
      <c r="D51" s="135" t="s">
        <v>432</v>
      </c>
      <c r="E51" s="135" t="s">
        <v>443</v>
      </c>
      <c r="F51" s="135" t="s">
        <v>444</v>
      </c>
      <c r="G51" s="135" t="s">
        <v>445</v>
      </c>
      <c r="H51" s="135" t="s">
        <v>446</v>
      </c>
      <c r="I51" s="135" t="s">
        <v>447</v>
      </c>
      <c r="J51" s="135" t="s">
        <v>448</v>
      </c>
      <c r="K51" s="135" t="s">
        <v>97</v>
      </c>
      <c r="L51" s="135" t="s">
        <v>1</v>
      </c>
      <c r="M51" s="135" t="s">
        <v>1</v>
      </c>
      <c r="N51" s="135" t="s">
        <v>438</v>
      </c>
      <c r="O51" s="135" t="s">
        <v>449</v>
      </c>
      <c r="P51" s="135" t="s">
        <v>450</v>
      </c>
      <c r="Q51" s="135" t="s">
        <v>101</v>
      </c>
      <c r="R51" s="135" t="s">
        <v>451</v>
      </c>
      <c r="S51" s="135" t="s">
        <v>343</v>
      </c>
      <c r="T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U51" s="146" t="str">
        <f>IF(OR(LEFT(A51,9)="OPERATOR-",LEFT(A51,8)="PAYMENT-",LEFT(A51,7)="DEPLOY-"),"External","Core")</f>
        <v>Core</v>
      </c>
    </row>
    <row r="52" customFormat="false" ht="15" hidden="false" customHeight="false" outlineLevel="0" collapsed="false">
      <c r="A52" s="135" t="s">
        <v>452</v>
      </c>
      <c r="B52" s="135" t="s">
        <v>195</v>
      </c>
      <c r="C52" s="256" t="s">
        <v>48</v>
      </c>
      <c r="D52" s="135" t="s">
        <v>453</v>
      </c>
      <c r="E52" s="135" t="s">
        <v>454</v>
      </c>
      <c r="F52" s="135" t="s">
        <v>4</v>
      </c>
      <c r="G52" s="135" t="s">
        <v>455</v>
      </c>
      <c r="H52" s="135" t="s">
        <v>4</v>
      </c>
      <c r="I52" s="135" t="s">
        <v>4</v>
      </c>
      <c r="J52" s="135" t="s">
        <v>456</v>
      </c>
      <c r="K52" s="135" t="s">
        <v>97</v>
      </c>
      <c r="L52" s="135" t="s">
        <v>1</v>
      </c>
      <c r="M52" s="135" t="s">
        <v>1</v>
      </c>
      <c r="N52" s="135" t="s">
        <v>438</v>
      </c>
      <c r="O52" s="135" t="s">
        <v>457</v>
      </c>
      <c r="P52" s="135" t="s">
        <v>458</v>
      </c>
      <c r="Q52" s="135" t="s">
        <v>101</v>
      </c>
      <c r="R52" s="135" t="s">
        <v>459</v>
      </c>
      <c r="S52" s="135" t="s">
        <v>297</v>
      </c>
      <c r="T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U52" s="146" t="str">
        <f>IF(OR(LEFT(A52,9)="OPERATOR-",LEFT(A52,8)="PAYMENT-",LEFT(A52,7)="DEPLOY-"),"External","Core")</f>
        <v>Core</v>
      </c>
    </row>
    <row r="53" customFormat="false" ht="15" hidden="false" customHeight="false" outlineLevel="0" collapsed="false">
      <c r="A53" s="135" t="s">
        <v>460</v>
      </c>
      <c r="B53" s="135" t="s">
        <v>195</v>
      </c>
      <c r="C53" s="256" t="s">
        <v>48</v>
      </c>
      <c r="D53" s="135" t="s">
        <v>461</v>
      </c>
      <c r="E53" s="135" t="s">
        <v>462</v>
      </c>
      <c r="F53" s="135" t="s">
        <v>4</v>
      </c>
      <c r="G53" s="135" t="s">
        <v>463</v>
      </c>
      <c r="H53" s="135" t="s">
        <v>4</v>
      </c>
      <c r="I53" s="135" t="s">
        <v>4</v>
      </c>
      <c r="J53" s="135" t="s">
        <v>464</v>
      </c>
      <c r="K53" s="135" t="s">
        <v>203</v>
      </c>
      <c r="L53" s="135" t="s">
        <v>1</v>
      </c>
      <c r="M53" s="135" t="s">
        <v>1</v>
      </c>
      <c r="N53" s="135" t="s">
        <v>438</v>
      </c>
      <c r="O53" s="135" t="s">
        <v>465</v>
      </c>
      <c r="P53" s="135" t="s">
        <v>466</v>
      </c>
      <c r="Q53" s="135" t="s">
        <v>101</v>
      </c>
      <c r="R53" s="135" t="s">
        <v>467</v>
      </c>
      <c r="S53" s="135" t="s">
        <v>263</v>
      </c>
      <c r="T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U53" s="146" t="str">
        <f>IF(OR(LEFT(A53,9)="OPERATOR-",LEFT(A53,8)="PAYMENT-",LEFT(A53,7)="DEPLOY-"),"External","Core")</f>
        <v>Core</v>
      </c>
    </row>
    <row r="54" customFormat="false" ht="15" hidden="false" customHeight="false" outlineLevel="0" collapsed="false">
      <c r="A54" s="135" t="s">
        <v>468</v>
      </c>
      <c r="B54" s="135" t="s">
        <v>195</v>
      </c>
      <c r="C54" s="256" t="s">
        <v>48</v>
      </c>
      <c r="D54" s="135" t="s">
        <v>469</v>
      </c>
      <c r="E54" s="135" t="s">
        <v>470</v>
      </c>
      <c r="F54" s="135" t="s">
        <v>4</v>
      </c>
      <c r="G54" s="135" t="s">
        <v>471</v>
      </c>
      <c r="H54" s="135" t="s">
        <v>472</v>
      </c>
      <c r="I54" s="135" t="s">
        <v>4</v>
      </c>
      <c r="J54" s="135" t="s">
        <v>473</v>
      </c>
      <c r="K54" s="135" t="s">
        <v>101</v>
      </c>
      <c r="L54" s="135" t="s">
        <v>1</v>
      </c>
      <c r="M54" s="135" t="s">
        <v>1</v>
      </c>
      <c r="N54" s="135" t="s">
        <v>438</v>
      </c>
      <c r="O54" s="135" t="s">
        <v>474</v>
      </c>
      <c r="P54" s="135" t="s">
        <v>475</v>
      </c>
      <c r="Q54" s="135" t="s">
        <v>101</v>
      </c>
      <c r="R54" s="135" t="s">
        <v>476</v>
      </c>
      <c r="S54" s="135" t="s">
        <v>263</v>
      </c>
      <c r="T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U54" s="146" t="str">
        <f>IF(OR(LEFT(A54,9)="OPERATOR-",LEFT(A54,8)="PAYMENT-",LEFT(A54,7)="DEPLOY-"),"External","Core")</f>
        <v>Core</v>
      </c>
    </row>
    <row r="55" customFormat="false" ht="15" hidden="false" customHeight="false" outlineLevel="0" collapsed="false">
      <c r="A55" s="135" t="s">
        <v>477</v>
      </c>
      <c r="B55" s="135" t="s">
        <v>195</v>
      </c>
      <c r="C55" s="256" t="s">
        <v>48</v>
      </c>
      <c r="D55" s="135" t="s">
        <v>469</v>
      </c>
      <c r="E55" s="135" t="s">
        <v>478</v>
      </c>
      <c r="F55" s="135" t="s">
        <v>4</v>
      </c>
      <c r="G55" s="135" t="s">
        <v>471</v>
      </c>
      <c r="H55" s="135" t="s">
        <v>4</v>
      </c>
      <c r="I55" s="135" t="s">
        <v>4</v>
      </c>
      <c r="J55" s="135" t="s">
        <v>479</v>
      </c>
      <c r="K55" s="135" t="s">
        <v>97</v>
      </c>
      <c r="L55" s="135" t="s">
        <v>1</v>
      </c>
      <c r="M55" s="135" t="s">
        <v>1</v>
      </c>
      <c r="N55" s="135" t="s">
        <v>438</v>
      </c>
      <c r="O55" s="135" t="s">
        <v>480</v>
      </c>
      <c r="P55" s="135" t="s">
        <v>481</v>
      </c>
      <c r="Q55" s="135" t="s">
        <v>101</v>
      </c>
      <c r="R55" s="135" t="s">
        <v>482</v>
      </c>
      <c r="S55" s="135" t="s">
        <v>483</v>
      </c>
      <c r="T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U55" s="146" t="str">
        <f>IF(OR(LEFT(A55,9)="OPERATOR-",LEFT(A55,8)="PAYMENT-",LEFT(A55,7)="DEPLOY-"),"External","Core")</f>
        <v>Core</v>
      </c>
    </row>
    <row r="56" customFormat="false" ht="15" hidden="false" customHeight="false" outlineLevel="0" collapsed="false">
      <c r="A56" s="138" t="s">
        <v>484</v>
      </c>
      <c r="B56" s="138" t="s">
        <v>195</v>
      </c>
      <c r="C56" s="256" t="s">
        <v>48</v>
      </c>
      <c r="D56" s="138" t="s">
        <v>485</v>
      </c>
      <c r="E56" s="138" t="s">
        <v>486</v>
      </c>
      <c r="F56" s="138" t="s">
        <v>487</v>
      </c>
      <c r="G56" s="138" t="s">
        <v>488</v>
      </c>
      <c r="H56" s="138" t="s">
        <v>489</v>
      </c>
      <c r="I56" s="138" t="s">
        <v>490</v>
      </c>
      <c r="J56" s="138" t="s">
        <v>491</v>
      </c>
      <c r="K56" s="138" t="s">
        <v>492</v>
      </c>
      <c r="L56" s="138" t="s">
        <v>1</v>
      </c>
      <c r="M56" s="138" t="s">
        <v>1</v>
      </c>
      <c r="N56" s="138" t="s">
        <v>1</v>
      </c>
      <c r="O56" s="138" t="s">
        <v>493</v>
      </c>
      <c r="P56" s="138" t="s">
        <v>494</v>
      </c>
      <c r="Q56" s="138" t="s">
        <v>1</v>
      </c>
      <c r="R56" s="138" t="s">
        <v>495</v>
      </c>
      <c r="S56" s="138" t="s">
        <v>103</v>
      </c>
      <c r="T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Not started</v>
      </c>
      <c r="U56" s="146" t="str">
        <f>IF(OR(LEFT(A56,9)="OPERATOR-",LEFT(A56,8)="PAYMENT-",LEFT(A56,7)="DEPLOY-"),"External","Core")</f>
        <v>Core</v>
      </c>
    </row>
    <row r="57" customFormat="false" ht="15" hidden="false" customHeight="false" outlineLevel="0" collapsed="false">
      <c r="A57" s="135" t="s">
        <v>496</v>
      </c>
      <c r="B57" s="135" t="s">
        <v>195</v>
      </c>
      <c r="C57" s="256" t="s">
        <v>48</v>
      </c>
      <c r="D57" s="135" t="s">
        <v>497</v>
      </c>
      <c r="E57" s="135" t="s">
        <v>498</v>
      </c>
      <c r="F57" s="135" t="s">
        <v>499</v>
      </c>
      <c r="G57" s="135" t="s">
        <v>500</v>
      </c>
      <c r="H57" s="135" t="s">
        <v>200</v>
      </c>
      <c r="I57" s="135" t="s">
        <v>501</v>
      </c>
      <c r="J57" s="135" t="s">
        <v>502</v>
      </c>
      <c r="K57" s="135" t="s">
        <v>97</v>
      </c>
      <c r="L57" s="135" t="s">
        <v>1</v>
      </c>
      <c r="M57" s="135" t="s">
        <v>1</v>
      </c>
      <c r="N57" s="135" t="s">
        <v>503</v>
      </c>
      <c r="O57" s="135" t="s">
        <v>504</v>
      </c>
      <c r="P57" s="135" t="s">
        <v>505</v>
      </c>
      <c r="Q57" s="135" t="s">
        <v>101</v>
      </c>
      <c r="R57" s="135" t="s">
        <v>506</v>
      </c>
      <c r="S57" s="135" t="s">
        <v>332</v>
      </c>
      <c r="T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U57" s="146" t="str">
        <f>IF(OR(LEFT(A57,9)="OPERATOR-",LEFT(A57,8)="PAYMENT-",LEFT(A57,7)="DEPLOY-"),"External","Core")</f>
        <v>Core</v>
      </c>
    </row>
    <row r="58" customFormat="false" ht="15" hidden="false" customHeight="false" outlineLevel="0" collapsed="false">
      <c r="A58" s="135" t="s">
        <v>507</v>
      </c>
      <c r="B58" s="135" t="s">
        <v>195</v>
      </c>
      <c r="C58" s="256" t="s">
        <v>48</v>
      </c>
      <c r="D58" s="135" t="s">
        <v>497</v>
      </c>
      <c r="E58" s="135" t="s">
        <v>508</v>
      </c>
      <c r="F58" s="135" t="s">
        <v>4</v>
      </c>
      <c r="G58" s="135" t="s">
        <v>509</v>
      </c>
      <c r="H58" s="135" t="s">
        <v>510</v>
      </c>
      <c r="I58" s="135" t="s">
        <v>511</v>
      </c>
      <c r="J58" s="135" t="s">
        <v>512</v>
      </c>
      <c r="K58" s="135" t="s">
        <v>97</v>
      </c>
      <c r="L58" s="135" t="s">
        <v>1</v>
      </c>
      <c r="M58" s="135" t="s">
        <v>1</v>
      </c>
      <c r="N58" s="135" t="s">
        <v>503</v>
      </c>
      <c r="O58" s="135" t="s">
        <v>513</v>
      </c>
      <c r="P58" s="135" t="s">
        <v>514</v>
      </c>
      <c r="Q58" s="135" t="s">
        <v>101</v>
      </c>
      <c r="R58" s="135" t="s">
        <v>515</v>
      </c>
      <c r="S58" s="135" t="s">
        <v>103</v>
      </c>
      <c r="T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U58" s="146" t="str">
        <f>IF(OR(LEFT(A58,9)="OPERATOR-",LEFT(A58,8)="PAYMENT-",LEFT(A58,7)="DEPLOY-"),"External","Core")</f>
        <v>Core</v>
      </c>
    </row>
    <row r="59" customFormat="false" ht="15" hidden="false" customHeight="false" outlineLevel="0" collapsed="false">
      <c r="A59" s="135" t="s">
        <v>516</v>
      </c>
      <c r="B59" s="135" t="s">
        <v>195</v>
      </c>
      <c r="C59" s="256" t="s">
        <v>48</v>
      </c>
      <c r="D59" s="135" t="s">
        <v>517</v>
      </c>
      <c r="E59" s="135" t="s">
        <v>518</v>
      </c>
      <c r="F59" s="135" t="s">
        <v>4</v>
      </c>
      <c r="G59" s="135" t="s">
        <v>519</v>
      </c>
      <c r="H59" s="135" t="s">
        <v>4</v>
      </c>
      <c r="I59" s="135" t="s">
        <v>520</v>
      </c>
      <c r="J59" s="135" t="s">
        <v>521</v>
      </c>
      <c r="K59" s="135" t="s">
        <v>97</v>
      </c>
      <c r="L59" s="135" t="s">
        <v>1</v>
      </c>
      <c r="M59" s="135" t="s">
        <v>1</v>
      </c>
      <c r="N59" s="135" t="s">
        <v>503</v>
      </c>
      <c r="O59" s="135" t="s">
        <v>522</v>
      </c>
      <c r="P59" s="135" t="s">
        <v>523</v>
      </c>
      <c r="Q59" s="135" t="s">
        <v>101</v>
      </c>
      <c r="R59" s="135" t="s">
        <v>524</v>
      </c>
      <c r="S59" s="135" t="s">
        <v>103</v>
      </c>
      <c r="T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U59" s="146" t="str">
        <f>IF(OR(LEFT(A59,9)="OPERATOR-",LEFT(A59,8)="PAYMENT-",LEFT(A59,7)="DEPLOY-"),"External","Core")</f>
        <v>Core</v>
      </c>
    </row>
    <row r="60" customFormat="false" ht="15" hidden="false" customHeight="false" outlineLevel="0" collapsed="false">
      <c r="A60" s="135" t="s">
        <v>525</v>
      </c>
      <c r="B60" s="135" t="s">
        <v>195</v>
      </c>
      <c r="C60" s="256" t="s">
        <v>48</v>
      </c>
      <c r="D60" s="135" t="s">
        <v>497</v>
      </c>
      <c r="E60" s="135" t="s">
        <v>526</v>
      </c>
      <c r="F60" s="135" t="s">
        <v>527</v>
      </c>
      <c r="G60" s="135" t="s">
        <v>4</v>
      </c>
      <c r="H60" s="135" t="s">
        <v>4</v>
      </c>
      <c r="I60" s="135" t="s">
        <v>4</v>
      </c>
      <c r="J60" s="135" t="s">
        <v>528</v>
      </c>
      <c r="K60" s="135" t="s">
        <v>97</v>
      </c>
      <c r="L60" s="135" t="s">
        <v>1</v>
      </c>
      <c r="M60" s="135" t="s">
        <v>1</v>
      </c>
      <c r="N60" s="135" t="s">
        <v>503</v>
      </c>
      <c r="O60" s="135" t="s">
        <v>529</v>
      </c>
      <c r="P60" s="135" t="s">
        <v>530</v>
      </c>
      <c r="Q60" s="135" t="s">
        <v>101</v>
      </c>
      <c r="R60" s="135" t="s">
        <v>531</v>
      </c>
      <c r="S60" s="135" t="s">
        <v>126</v>
      </c>
      <c r="T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U60" s="146" t="str">
        <f>IF(OR(LEFT(A60,9)="OPERATOR-",LEFT(A60,8)="PAYMENT-",LEFT(A60,7)="DEPLOY-"),"External","Core")</f>
        <v>Core</v>
      </c>
    </row>
    <row r="61" customFormat="false" ht="15" hidden="false" customHeight="false" outlineLevel="0" collapsed="false">
      <c r="A61" s="135" t="s">
        <v>532</v>
      </c>
      <c r="B61" s="135" t="s">
        <v>195</v>
      </c>
      <c r="C61" s="256" t="s">
        <v>48</v>
      </c>
      <c r="D61" s="135" t="s">
        <v>533</v>
      </c>
      <c r="E61" s="135" t="s">
        <v>534</v>
      </c>
      <c r="F61" s="135" t="s">
        <v>535</v>
      </c>
      <c r="G61" s="135" t="s">
        <v>536</v>
      </c>
      <c r="H61" s="135" t="s">
        <v>537</v>
      </c>
      <c r="I61" s="135" t="s">
        <v>538</v>
      </c>
      <c r="J61" s="135" t="s">
        <v>539</v>
      </c>
      <c r="K61" s="135" t="s">
        <v>97</v>
      </c>
      <c r="L61" s="135" t="s">
        <v>1</v>
      </c>
      <c r="M61" s="135" t="s">
        <v>1</v>
      </c>
      <c r="N61" s="135" t="s">
        <v>503</v>
      </c>
      <c r="O61" s="135" t="s">
        <v>540</v>
      </c>
      <c r="P61" s="135" t="s">
        <v>541</v>
      </c>
      <c r="Q61" s="135" t="s">
        <v>101</v>
      </c>
      <c r="R61" s="135" t="s">
        <v>542</v>
      </c>
      <c r="S61" s="135" t="s">
        <v>103</v>
      </c>
      <c r="T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U61" s="146" t="str">
        <f>IF(OR(LEFT(A61,9)="OPERATOR-",LEFT(A61,8)="PAYMENT-",LEFT(A61,7)="DEPLOY-"),"External","Core")</f>
        <v>Core</v>
      </c>
    </row>
    <row r="62" customFormat="false" ht="180" hidden="false" customHeight="true" outlineLevel="0" collapsed="false">
      <c r="A62" s="135" t="s">
        <v>543</v>
      </c>
      <c r="B62" s="135" t="s">
        <v>195</v>
      </c>
      <c r="C62" s="256" t="s">
        <v>48</v>
      </c>
      <c r="D62" s="135" t="s">
        <v>544</v>
      </c>
      <c r="E62" s="135" t="s">
        <v>545</v>
      </c>
      <c r="F62" s="135" t="s">
        <v>546</v>
      </c>
      <c r="G62" s="135" t="s">
        <v>547</v>
      </c>
      <c r="H62" s="135" t="s">
        <v>548</v>
      </c>
      <c r="I62" s="135" t="s">
        <v>549</v>
      </c>
      <c r="J62" s="135" t="s">
        <v>550</v>
      </c>
      <c r="K62" s="135" t="s">
        <v>551</v>
      </c>
      <c r="L62" s="135" t="s">
        <v>1</v>
      </c>
      <c r="M62" s="135" t="s">
        <v>1</v>
      </c>
      <c r="N62" s="135" t="s">
        <v>552</v>
      </c>
      <c r="O62" s="135" t="s">
        <v>553</v>
      </c>
      <c r="P62" s="135" t="s">
        <v>554</v>
      </c>
      <c r="Q62" s="135" t="s">
        <v>101</v>
      </c>
      <c r="R62" s="135" t="s">
        <v>555</v>
      </c>
      <c r="S62" s="135" t="s">
        <v>103</v>
      </c>
      <c r="T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U62" s="146" t="str">
        <f>IF(OR(LEFT(A62,9)="OPERATOR-",LEFT(A62,8)="PAYMENT-",LEFT(A62,7)="DEPLOY-"),"External","Core")</f>
        <v>Core</v>
      </c>
    </row>
    <row r="63" customFormat="false" ht="90" hidden="false" customHeight="true" outlineLevel="0" collapsed="false">
      <c r="A63" s="135" t="s">
        <v>556</v>
      </c>
      <c r="B63" s="135" t="s">
        <v>195</v>
      </c>
      <c r="C63" s="256" t="s">
        <v>48</v>
      </c>
      <c r="D63" s="135" t="s">
        <v>557</v>
      </c>
      <c r="E63" s="135" t="s">
        <v>558</v>
      </c>
      <c r="F63" s="135" t="s">
        <v>4</v>
      </c>
      <c r="G63" s="135" t="s">
        <v>4</v>
      </c>
      <c r="H63" s="135" t="s">
        <v>559</v>
      </c>
      <c r="I63" s="135" t="s">
        <v>560</v>
      </c>
      <c r="J63" s="135" t="s">
        <v>561</v>
      </c>
      <c r="K63" s="135" t="s">
        <v>97</v>
      </c>
      <c r="L63" s="135" t="s">
        <v>1</v>
      </c>
      <c r="M63" s="135" t="s">
        <v>1</v>
      </c>
      <c r="N63" s="135" t="s">
        <v>552</v>
      </c>
      <c r="O63" s="135" t="s">
        <v>562</v>
      </c>
      <c r="P63" s="135" t="s">
        <v>563</v>
      </c>
      <c r="Q63" s="135" t="s">
        <v>101</v>
      </c>
      <c r="R63" s="135" t="s">
        <v>564</v>
      </c>
      <c r="S63" s="135" t="s">
        <v>103</v>
      </c>
      <c r="T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U63" s="146" t="str">
        <f>IF(OR(LEFT(A63,9)="OPERATOR-",LEFT(A63,8)="PAYMENT-",LEFT(A63,7)="DEPLOY-"),"External","Core")</f>
        <v>Core</v>
      </c>
    </row>
    <row r="64" customFormat="false" ht="180" hidden="false" customHeight="true" outlineLevel="0" collapsed="false">
      <c r="A64" s="135" t="s">
        <v>565</v>
      </c>
      <c r="B64" s="135" t="s">
        <v>195</v>
      </c>
      <c r="C64" s="256" t="s">
        <v>48</v>
      </c>
      <c r="D64" s="135" t="s">
        <v>566</v>
      </c>
      <c r="E64" s="135" t="s">
        <v>567</v>
      </c>
      <c r="F64" s="135" t="s">
        <v>568</v>
      </c>
      <c r="G64" s="135" t="s">
        <v>569</v>
      </c>
      <c r="H64" s="135" t="s">
        <v>570</v>
      </c>
      <c r="I64" s="135" t="s">
        <v>571</v>
      </c>
      <c r="J64" s="135" t="s">
        <v>572</v>
      </c>
      <c r="K64" s="135" t="s">
        <v>97</v>
      </c>
      <c r="L64" s="135" t="s">
        <v>1</v>
      </c>
      <c r="M64" s="135" t="s">
        <v>1</v>
      </c>
      <c r="N64" s="135" t="s">
        <v>552</v>
      </c>
      <c r="O64" s="135" t="s">
        <v>573</v>
      </c>
      <c r="P64" s="135" t="s">
        <v>574</v>
      </c>
      <c r="Q64" s="135" t="s">
        <v>101</v>
      </c>
      <c r="R64" s="135" t="s">
        <v>575</v>
      </c>
      <c r="S64" s="135" t="s">
        <v>103</v>
      </c>
      <c r="T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U64" s="146" t="str">
        <f>IF(OR(LEFT(A64,9)="OPERATOR-",LEFT(A64,8)="PAYMENT-",LEFT(A64,7)="DEPLOY-"),"External","Core")</f>
        <v>Core</v>
      </c>
    </row>
    <row r="65" customFormat="false" ht="180" hidden="false" customHeight="true" outlineLevel="0" collapsed="false">
      <c r="A65" s="135" t="s">
        <v>576</v>
      </c>
      <c r="B65" s="135" t="s">
        <v>195</v>
      </c>
      <c r="C65" s="256" t="s">
        <v>48</v>
      </c>
      <c r="D65" s="135" t="s">
        <v>577</v>
      </c>
      <c r="E65" s="135" t="s">
        <v>578</v>
      </c>
      <c r="F65" s="135" t="s">
        <v>579</v>
      </c>
      <c r="G65" s="135" t="s">
        <v>580</v>
      </c>
      <c r="H65" s="135" t="s">
        <v>581</v>
      </c>
      <c r="I65" s="135" t="s">
        <v>582</v>
      </c>
      <c r="J65" s="135" t="s">
        <v>583</v>
      </c>
      <c r="K65" s="135" t="s">
        <v>97</v>
      </c>
      <c r="L65" s="135" t="s">
        <v>1</v>
      </c>
      <c r="M65" s="135" t="s">
        <v>1</v>
      </c>
      <c r="N65" s="135" t="s">
        <v>122</v>
      </c>
      <c r="O65" s="135" t="s">
        <v>584</v>
      </c>
      <c r="P65" s="135" t="s">
        <v>585</v>
      </c>
      <c r="Q65" s="135" t="s">
        <v>101</v>
      </c>
      <c r="R65" s="135" t="s">
        <v>586</v>
      </c>
      <c r="S65" s="135" t="s">
        <v>103</v>
      </c>
      <c r="T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U65" s="146" t="str">
        <f>IF(OR(LEFT(A65,9)="OPERATOR-",LEFT(A65,8)="PAYMENT-",LEFT(A65,7)="DEPLOY-"),"External","Core")</f>
        <v>Core</v>
      </c>
    </row>
    <row r="66" customFormat="false" ht="135" hidden="false" customHeight="true" outlineLevel="0" collapsed="false">
      <c r="A66" s="135" t="s">
        <v>587</v>
      </c>
      <c r="B66" s="135" t="s">
        <v>195</v>
      </c>
      <c r="C66" s="256" t="s">
        <v>48</v>
      </c>
      <c r="D66" s="135" t="s">
        <v>588</v>
      </c>
      <c r="E66" s="135" t="s">
        <v>589</v>
      </c>
      <c r="F66" s="135" t="s">
        <v>4</v>
      </c>
      <c r="G66" s="135" t="s">
        <v>590</v>
      </c>
      <c r="H66" s="135" t="s">
        <v>4</v>
      </c>
      <c r="I66" s="135" t="s">
        <v>591</v>
      </c>
      <c r="J66" s="135" t="s">
        <v>592</v>
      </c>
      <c r="K66" s="135" t="s">
        <v>97</v>
      </c>
      <c r="L66" s="135" t="s">
        <v>1</v>
      </c>
      <c r="M66" s="135" t="s">
        <v>1</v>
      </c>
      <c r="N66" s="135" t="s">
        <v>122</v>
      </c>
      <c r="O66" s="135" t="s">
        <v>593</v>
      </c>
      <c r="P66" s="135" t="s">
        <v>594</v>
      </c>
      <c r="Q66" s="135" t="s">
        <v>101</v>
      </c>
      <c r="R66" s="135" t="s">
        <v>595</v>
      </c>
      <c r="S66" s="135" t="s">
        <v>103</v>
      </c>
      <c r="T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U66" s="146" t="str">
        <f>IF(OR(LEFT(A66,9)="OPERATOR-",LEFT(A66,8)="PAYMENT-",LEFT(A66,7)="DEPLOY-"),"External","Core")</f>
        <v>Core</v>
      </c>
    </row>
    <row r="67" customFormat="false" ht="15" hidden="false" customHeight="false" outlineLevel="0" collapsed="false">
      <c r="A67" s="135" t="s">
        <v>596</v>
      </c>
      <c r="B67" s="135" t="s">
        <v>195</v>
      </c>
      <c r="C67" s="256" t="s">
        <v>48</v>
      </c>
      <c r="D67" s="135" t="s">
        <v>597</v>
      </c>
      <c r="E67" s="135" t="s">
        <v>598</v>
      </c>
      <c r="F67" s="135" t="s">
        <v>4</v>
      </c>
      <c r="G67" s="135" t="s">
        <v>599</v>
      </c>
      <c r="H67" s="135" t="s">
        <v>4</v>
      </c>
      <c r="I67" s="135" t="s">
        <v>600</v>
      </c>
      <c r="J67" s="135" t="s">
        <v>601</v>
      </c>
      <c r="K67" s="135" t="s">
        <v>97</v>
      </c>
      <c r="L67" s="135" t="s">
        <v>1</v>
      </c>
      <c r="M67" s="135" t="s">
        <v>1</v>
      </c>
      <c r="N67" s="135" t="s">
        <v>503</v>
      </c>
      <c r="O67" s="135" t="s">
        <v>602</v>
      </c>
      <c r="P67" s="135" t="s">
        <v>603</v>
      </c>
      <c r="Q67" s="135" t="s">
        <v>101</v>
      </c>
      <c r="R67" s="135" t="s">
        <v>604</v>
      </c>
      <c r="S67" s="135" t="s">
        <v>103</v>
      </c>
      <c r="T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U67" s="146" t="str">
        <f>IF(OR(LEFT(A67,9)="OPERATOR-",LEFT(A67,8)="PAYMENT-",LEFT(A67,7)="DEPLOY-"),"External","Core")</f>
        <v>Core</v>
      </c>
    </row>
    <row r="68" customFormat="false" ht="15" hidden="false" customHeight="false" outlineLevel="0" collapsed="false">
      <c r="A68" s="135" t="s">
        <v>605</v>
      </c>
      <c r="B68" s="135" t="s">
        <v>606</v>
      </c>
      <c r="C68" s="256" t="s">
        <v>48</v>
      </c>
      <c r="D68" s="135" t="s">
        <v>607</v>
      </c>
      <c r="E68" s="135" t="s">
        <v>608</v>
      </c>
      <c r="F68" s="135" t="s">
        <v>609</v>
      </c>
      <c r="G68" s="135" t="s">
        <v>610</v>
      </c>
      <c r="H68" s="135" t="s">
        <v>611</v>
      </c>
      <c r="I68" s="135" t="s">
        <v>612</v>
      </c>
      <c r="J68" s="135" t="s">
        <v>613</v>
      </c>
      <c r="K68" s="135" t="s">
        <v>97</v>
      </c>
      <c r="L68" s="135" t="s">
        <v>1</v>
      </c>
      <c r="M68" s="135" t="s">
        <v>1</v>
      </c>
      <c r="N68" s="135" t="s">
        <v>122</v>
      </c>
      <c r="O68" s="135" t="s">
        <v>614</v>
      </c>
      <c r="P68" s="135" t="s">
        <v>615</v>
      </c>
      <c r="Q68" s="135" t="s">
        <v>101</v>
      </c>
      <c r="R68" s="135" t="s">
        <v>616</v>
      </c>
      <c r="S68" s="135" t="s">
        <v>103</v>
      </c>
      <c r="T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U68" s="146" t="str">
        <f>IF(OR(LEFT(A68,9)="OPERATOR-",LEFT(A68,8)="PAYMENT-",LEFT(A68,7)="DEPLOY-"),"External","Core")</f>
        <v>Core</v>
      </c>
    </row>
    <row r="69" customFormat="false" ht="15" hidden="false" customHeight="false" outlineLevel="0" collapsed="false">
      <c r="A69" s="135" t="s">
        <v>617</v>
      </c>
      <c r="B69" s="135" t="s">
        <v>195</v>
      </c>
      <c r="C69" s="256" t="s">
        <v>48</v>
      </c>
      <c r="D69" s="135" t="s">
        <v>618</v>
      </c>
      <c r="E69" s="135" t="s">
        <v>619</v>
      </c>
      <c r="F69" s="135" t="s">
        <v>4</v>
      </c>
      <c r="G69" s="135" t="s">
        <v>620</v>
      </c>
      <c r="H69" s="135" t="s">
        <v>4</v>
      </c>
      <c r="I69" s="135" t="s">
        <v>621</v>
      </c>
      <c r="J69" s="135" t="s">
        <v>622</v>
      </c>
      <c r="K69" s="135" t="s">
        <v>97</v>
      </c>
      <c r="L69" s="135" t="s">
        <v>1</v>
      </c>
      <c r="M69" s="135" t="s">
        <v>1</v>
      </c>
      <c r="N69" s="135" t="s">
        <v>503</v>
      </c>
      <c r="O69" s="135" t="s">
        <v>623</v>
      </c>
      <c r="P69" s="135" t="s">
        <v>624</v>
      </c>
      <c r="Q69" s="135" t="s">
        <v>101</v>
      </c>
      <c r="R69" s="135" t="s">
        <v>625</v>
      </c>
      <c r="S69" s="135" t="s">
        <v>103</v>
      </c>
      <c r="T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U69" s="146" t="str">
        <f>IF(OR(LEFT(A69,9)="OPERATOR-",LEFT(A69,8)="PAYMENT-",LEFT(A69,7)="DEPLOY-"),"External","Core")</f>
        <v>Core</v>
      </c>
    </row>
    <row r="70" customFormat="false" ht="15" hidden="false" customHeight="false" outlineLevel="0" collapsed="false">
      <c r="A70" s="135" t="s">
        <v>626</v>
      </c>
      <c r="B70" s="135" t="s">
        <v>606</v>
      </c>
      <c r="C70" s="256" t="s">
        <v>48</v>
      </c>
      <c r="D70" s="135" t="s">
        <v>627</v>
      </c>
      <c r="E70" s="135" t="s">
        <v>628</v>
      </c>
      <c r="F70" s="135" t="s">
        <v>4</v>
      </c>
      <c r="G70" s="135" t="s">
        <v>629</v>
      </c>
      <c r="H70" s="135" t="s">
        <v>4</v>
      </c>
      <c r="I70" s="135" t="s">
        <v>630</v>
      </c>
      <c r="J70" s="135" t="s">
        <v>631</v>
      </c>
      <c r="K70" s="135" t="s">
        <v>97</v>
      </c>
      <c r="L70" s="135" t="s">
        <v>1</v>
      </c>
      <c r="M70" s="135" t="s">
        <v>1</v>
      </c>
      <c r="N70" s="135" t="s">
        <v>503</v>
      </c>
      <c r="O70" s="135" t="s">
        <v>632</v>
      </c>
      <c r="P70" s="135" t="s">
        <v>633</v>
      </c>
      <c r="Q70" s="135" t="s">
        <v>101</v>
      </c>
      <c r="R70" s="135" t="s">
        <v>634</v>
      </c>
      <c r="S70" s="135" t="s">
        <v>103</v>
      </c>
      <c r="T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U70" s="146" t="str">
        <f>IF(OR(LEFT(A70,9)="OPERATOR-",LEFT(A70,8)="PAYMENT-",LEFT(A70,7)="DEPLOY-"),"External","Core")</f>
        <v>Core</v>
      </c>
    </row>
    <row r="71" customFormat="false" ht="15" hidden="false" customHeight="false" outlineLevel="0" collapsed="false">
      <c r="A71" s="135" t="s">
        <v>635</v>
      </c>
      <c r="B71" s="135" t="s">
        <v>606</v>
      </c>
      <c r="C71" s="256" t="s">
        <v>48</v>
      </c>
      <c r="D71" s="135" t="s">
        <v>636</v>
      </c>
      <c r="E71" s="135" t="s">
        <v>637</v>
      </c>
      <c r="F71" s="135" t="s">
        <v>4</v>
      </c>
      <c r="G71" s="135" t="s">
        <v>638</v>
      </c>
      <c r="H71" s="135" t="s">
        <v>4</v>
      </c>
      <c r="I71" s="135" t="s">
        <v>639</v>
      </c>
      <c r="J71" s="135" t="s">
        <v>640</v>
      </c>
      <c r="K71" s="135" t="s">
        <v>101</v>
      </c>
      <c r="L71" s="135" t="s">
        <v>1</v>
      </c>
      <c r="M71" s="135" t="s">
        <v>1</v>
      </c>
      <c r="N71" s="135" t="s">
        <v>503</v>
      </c>
      <c r="O71" s="135" t="s">
        <v>641</v>
      </c>
      <c r="P71" s="135" t="s">
        <v>642</v>
      </c>
      <c r="Q71" s="135" t="s">
        <v>97</v>
      </c>
      <c r="R71" s="135" t="s">
        <v>643</v>
      </c>
      <c r="S71" s="135" t="s">
        <v>103</v>
      </c>
      <c r="T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U71" s="146" t="str">
        <f>IF(OR(LEFT(A71,9)="OPERATOR-",LEFT(A71,8)="PAYMENT-",LEFT(A71,7)="DEPLOY-"),"External","Core")</f>
        <v>Core</v>
      </c>
    </row>
    <row r="72" customFormat="false" ht="15" hidden="false" customHeight="false" outlineLevel="0" collapsed="false">
      <c r="A72" s="135" t="s">
        <v>644</v>
      </c>
      <c r="B72" s="135" t="s">
        <v>645</v>
      </c>
      <c r="C72" s="256" t="s">
        <v>48</v>
      </c>
      <c r="D72" s="135" t="s">
        <v>196</v>
      </c>
      <c r="E72" s="135" t="s">
        <v>646</v>
      </c>
      <c r="F72" s="135" t="s">
        <v>4</v>
      </c>
      <c r="G72" s="135" t="s">
        <v>4</v>
      </c>
      <c r="H72" s="135" t="s">
        <v>4</v>
      </c>
      <c r="I72" s="135" t="s">
        <v>4</v>
      </c>
      <c r="J72" s="135" t="s">
        <v>647</v>
      </c>
      <c r="K72" s="135" t="s">
        <v>648</v>
      </c>
      <c r="L72" s="135" t="s">
        <v>1</v>
      </c>
      <c r="M72" s="135" t="s">
        <v>1</v>
      </c>
      <c r="N72" s="135" t="s">
        <v>438</v>
      </c>
      <c r="O72" s="135" t="s">
        <v>649</v>
      </c>
      <c r="P72" s="135" t="s">
        <v>650</v>
      </c>
      <c r="Q72" s="135" t="s">
        <v>101</v>
      </c>
      <c r="R72" s="135" t="s">
        <v>651</v>
      </c>
      <c r="S72" s="135" t="s">
        <v>343</v>
      </c>
      <c r="T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U72" s="146" t="str">
        <f>IF(OR(LEFT(A72,9)="OPERATOR-",LEFT(A72,8)="PAYMENT-",LEFT(A72,7)="DEPLOY-"),"External","Core")</f>
        <v>Core</v>
      </c>
    </row>
    <row r="73" customFormat="false" ht="15" hidden="false" customHeight="false" outlineLevel="0" collapsed="false">
      <c r="A73" s="135" t="s">
        <v>652</v>
      </c>
      <c r="B73" s="135" t="s">
        <v>170</v>
      </c>
      <c r="C73" s="256" t="s">
        <v>48</v>
      </c>
      <c r="D73" s="135" t="s">
        <v>653</v>
      </c>
      <c r="E73" s="135" t="s">
        <v>654</v>
      </c>
      <c r="F73" s="135" t="s">
        <v>4</v>
      </c>
      <c r="G73" s="135" t="s">
        <v>655</v>
      </c>
      <c r="H73" s="135" t="s">
        <v>4</v>
      </c>
      <c r="I73" s="135" t="s">
        <v>656</v>
      </c>
      <c r="J73" s="135" t="s">
        <v>657</v>
      </c>
      <c r="K73" s="135" t="s">
        <v>177</v>
      </c>
      <c r="L73" s="135" t="s">
        <v>1</v>
      </c>
      <c r="M73" s="135" t="s">
        <v>1</v>
      </c>
      <c r="N73" s="135" t="s">
        <v>319</v>
      </c>
      <c r="O73" s="135" t="s">
        <v>658</v>
      </c>
      <c r="P73" s="135" t="s">
        <v>659</v>
      </c>
      <c r="Q73" s="135" t="s">
        <v>101</v>
      </c>
      <c r="R73" s="135" t="s">
        <v>660</v>
      </c>
      <c r="S73" s="135" t="s">
        <v>661</v>
      </c>
      <c r="T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U73" s="146" t="str">
        <f>IF(OR(LEFT(A73,9)="OPERATOR-",LEFT(A73,8)="PAYMENT-",LEFT(A73,7)="DEPLOY-"),"External","Core")</f>
        <v>Core</v>
      </c>
    </row>
    <row r="74" customFormat="false" ht="15" hidden="false" customHeight="false" outlineLevel="0" collapsed="false">
      <c r="A74" s="135" t="s">
        <v>662</v>
      </c>
      <c r="B74" s="135" t="s">
        <v>184</v>
      </c>
      <c r="C74" s="256" t="s">
        <v>48</v>
      </c>
      <c r="D74" s="135" t="s">
        <v>663</v>
      </c>
      <c r="E74" s="135" t="s">
        <v>664</v>
      </c>
      <c r="F74" s="135" t="s">
        <v>665</v>
      </c>
      <c r="G74" s="135" t="s">
        <v>666</v>
      </c>
      <c r="H74" s="135" t="s">
        <v>667</v>
      </c>
      <c r="I74" s="135" t="s">
        <v>8</v>
      </c>
      <c r="J74" s="135" t="s">
        <v>668</v>
      </c>
      <c r="K74" s="135" t="s">
        <v>203</v>
      </c>
      <c r="L74" s="135" t="s">
        <v>1</v>
      </c>
      <c r="M74" s="135" t="s">
        <v>1</v>
      </c>
      <c r="N74" s="135" t="s">
        <v>204</v>
      </c>
      <c r="O74" s="135" t="s">
        <v>669</v>
      </c>
      <c r="P74" s="135" t="s">
        <v>670</v>
      </c>
      <c r="Q74" s="135" t="s">
        <v>101</v>
      </c>
      <c r="R74" s="135" t="s">
        <v>671</v>
      </c>
      <c r="S74" s="135" t="s">
        <v>672</v>
      </c>
      <c r="T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U74" s="146" t="str">
        <f>IF(OR(LEFT(A74,9)="OPERATOR-",LEFT(A74,8)="PAYMENT-",LEFT(A74,7)="DEPLOY-"),"External","Core")</f>
        <v>Core</v>
      </c>
    </row>
    <row r="75" customFormat="false" ht="15" hidden="false" customHeight="false" outlineLevel="0" collapsed="false">
      <c r="A75" s="135" t="s">
        <v>673</v>
      </c>
      <c r="B75" s="135" t="s">
        <v>674</v>
      </c>
      <c r="C75" s="256" t="s">
        <v>48</v>
      </c>
      <c r="D75" s="135" t="s">
        <v>74</v>
      </c>
      <c r="E75" s="135" t="s">
        <v>675</v>
      </c>
      <c r="F75" s="135" t="s">
        <v>676</v>
      </c>
      <c r="G75" s="135" t="s">
        <v>677</v>
      </c>
      <c r="H75" s="135" t="s">
        <v>667</v>
      </c>
      <c r="I75" s="135" t="s">
        <v>678</v>
      </c>
      <c r="J75" s="135" t="s">
        <v>679</v>
      </c>
      <c r="K75" s="135" t="s">
        <v>203</v>
      </c>
      <c r="L75" s="135" t="s">
        <v>1</v>
      </c>
      <c r="M75" s="135" t="s">
        <v>1</v>
      </c>
      <c r="N75" s="135" t="s">
        <v>204</v>
      </c>
      <c r="O75" s="135" t="s">
        <v>680</v>
      </c>
      <c r="P75" s="135" t="s">
        <v>681</v>
      </c>
      <c r="Q75" s="135" t="s">
        <v>101</v>
      </c>
      <c r="R75" s="135" t="s">
        <v>682</v>
      </c>
      <c r="S75" s="135" t="s">
        <v>371</v>
      </c>
      <c r="T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U75" s="146" t="str">
        <f>IF(OR(LEFT(A75,9)="OPERATOR-",LEFT(A75,8)="PAYMENT-",LEFT(A75,7)="DEPLOY-"),"External","Core")</f>
        <v>Core</v>
      </c>
    </row>
    <row r="76" customFormat="false" ht="15" hidden="false" customHeight="false" outlineLevel="0" collapsed="false">
      <c r="A76" s="135" t="s">
        <v>683</v>
      </c>
      <c r="B76" s="135" t="s">
        <v>195</v>
      </c>
      <c r="C76" s="257" t="s">
        <v>57</v>
      </c>
      <c r="D76" s="135" t="s">
        <v>57</v>
      </c>
      <c r="E76" s="135" t="s">
        <v>684</v>
      </c>
      <c r="F76" s="135" t="s">
        <v>685</v>
      </c>
      <c r="G76" s="135" t="s">
        <v>686</v>
      </c>
      <c r="H76" s="135" t="s">
        <v>537</v>
      </c>
      <c r="I76" s="135" t="s">
        <v>687</v>
      </c>
      <c r="J76" s="135" t="s">
        <v>688</v>
      </c>
      <c r="K76" s="135" t="s">
        <v>689</v>
      </c>
      <c r="L76" s="135" t="s">
        <v>1</v>
      </c>
      <c r="M76" s="135" t="s">
        <v>1</v>
      </c>
      <c r="N76" s="135" t="s">
        <v>165</v>
      </c>
      <c r="O76" s="135" t="s">
        <v>690</v>
      </c>
      <c r="P76" s="135" t="s">
        <v>691</v>
      </c>
      <c r="Q76" s="135" t="s">
        <v>101</v>
      </c>
      <c r="R76" s="135" t="s">
        <v>692</v>
      </c>
      <c r="S76" s="135" t="s">
        <v>229</v>
      </c>
      <c r="T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U76" s="146" t="str">
        <f>IF(OR(LEFT(A76,9)="OPERATOR-",LEFT(A76,8)="PAYMENT-",LEFT(A76,7)="DEPLOY-"),"External","Core")</f>
        <v>Core</v>
      </c>
    </row>
    <row r="77" customFormat="false" ht="15" hidden="false" customHeight="false" outlineLevel="0" collapsed="false">
      <c r="A77" s="135" t="s">
        <v>693</v>
      </c>
      <c r="B77" s="135" t="s">
        <v>195</v>
      </c>
      <c r="C77" s="257" t="s">
        <v>57</v>
      </c>
      <c r="D77" s="135" t="s">
        <v>57</v>
      </c>
      <c r="E77" s="135" t="s">
        <v>694</v>
      </c>
      <c r="F77" s="135" t="s">
        <v>255</v>
      </c>
      <c r="G77" s="135" t="s">
        <v>695</v>
      </c>
      <c r="H77" s="135" t="s">
        <v>696</v>
      </c>
      <c r="I77" s="135" t="s">
        <v>697</v>
      </c>
      <c r="J77" s="135" t="s">
        <v>698</v>
      </c>
      <c r="K77" s="135" t="s">
        <v>97</v>
      </c>
      <c r="L77" s="135" t="s">
        <v>1</v>
      </c>
      <c r="M77" s="135" t="s">
        <v>1</v>
      </c>
      <c r="N77" s="135" t="s">
        <v>165</v>
      </c>
      <c r="O77" s="135" t="s">
        <v>699</v>
      </c>
      <c r="P77" s="135" t="s">
        <v>700</v>
      </c>
      <c r="Q77" s="135" t="s">
        <v>101</v>
      </c>
      <c r="R77" s="135" t="s">
        <v>701</v>
      </c>
      <c r="S77" s="135" t="s">
        <v>343</v>
      </c>
      <c r="T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U77" s="146" t="str">
        <f>IF(OR(LEFT(A77,9)="OPERATOR-",LEFT(A77,8)="PAYMENT-",LEFT(A77,7)="DEPLOY-"),"External","Core")</f>
        <v>Core</v>
      </c>
    </row>
    <row r="78" customFormat="false" ht="15" hidden="false" customHeight="false" outlineLevel="0" collapsed="false">
      <c r="A78" s="135" t="s">
        <v>702</v>
      </c>
      <c r="B78" s="135" t="s">
        <v>195</v>
      </c>
      <c r="C78" s="257" t="s">
        <v>57</v>
      </c>
      <c r="D78" s="135" t="s">
        <v>57</v>
      </c>
      <c r="E78" s="135" t="s">
        <v>703</v>
      </c>
      <c r="F78" s="135" t="s">
        <v>704</v>
      </c>
      <c r="G78" s="135" t="s">
        <v>705</v>
      </c>
      <c r="H78" s="135" t="s">
        <v>706</v>
      </c>
      <c r="I78" s="135" t="s">
        <v>707</v>
      </c>
      <c r="J78" s="135" t="s">
        <v>708</v>
      </c>
      <c r="K78" s="135" t="s">
        <v>97</v>
      </c>
      <c r="L78" s="135" t="s">
        <v>1</v>
      </c>
      <c r="M78" s="135" t="s">
        <v>1</v>
      </c>
      <c r="N78" s="135" t="s">
        <v>165</v>
      </c>
      <c r="O78" s="135" t="s">
        <v>709</v>
      </c>
      <c r="P78" s="135" t="s">
        <v>710</v>
      </c>
      <c r="Q78" s="135" t="s">
        <v>101</v>
      </c>
      <c r="R78" s="135" t="s">
        <v>711</v>
      </c>
      <c r="S78" s="135" t="s">
        <v>126</v>
      </c>
      <c r="T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U78" s="146" t="str">
        <f>IF(OR(LEFT(A78,9)="OPERATOR-",LEFT(A78,8)="PAYMENT-",LEFT(A78,7)="DEPLOY-"),"External","Core")</f>
        <v>Core</v>
      </c>
    </row>
    <row r="79" customFormat="false" ht="75" hidden="false" customHeight="true" outlineLevel="0" collapsed="false">
      <c r="A79" s="135" t="s">
        <v>712</v>
      </c>
      <c r="B79" s="135" t="s">
        <v>713</v>
      </c>
      <c r="C79" s="257" t="s">
        <v>57</v>
      </c>
      <c r="D79" s="135" t="s">
        <v>714</v>
      </c>
      <c r="E79" s="135" t="s">
        <v>715</v>
      </c>
      <c r="F79" s="135" t="s">
        <v>716</v>
      </c>
      <c r="G79" s="135" t="s">
        <v>717</v>
      </c>
      <c r="H79" s="135" t="s">
        <v>4</v>
      </c>
      <c r="I79" s="135" t="s">
        <v>718</v>
      </c>
      <c r="J79" s="135" t="s">
        <v>719</v>
      </c>
      <c r="K79" s="135" t="s">
        <v>97</v>
      </c>
      <c r="L79" s="135" t="s">
        <v>1</v>
      </c>
      <c r="M79" s="135" t="s">
        <v>1</v>
      </c>
      <c r="N79" s="135" t="s">
        <v>720</v>
      </c>
      <c r="O79" s="135" t="s">
        <v>721</v>
      </c>
      <c r="P79" s="135" t="s">
        <v>722</v>
      </c>
      <c r="Q79" s="135" t="s">
        <v>101</v>
      </c>
      <c r="R79" s="135" t="s">
        <v>723</v>
      </c>
      <c r="S79" s="135" t="s">
        <v>288</v>
      </c>
      <c r="T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U79" s="146" t="str">
        <f>IF(OR(LEFT(A79,9)="OPERATOR-",LEFT(A79,8)="PAYMENT-",LEFT(A79,7)="DEPLOY-"),"External","Core")</f>
        <v>Core</v>
      </c>
    </row>
    <row r="80" customFormat="false" ht="15" hidden="false" customHeight="false" outlineLevel="0" collapsed="false">
      <c r="A80" s="135" t="s">
        <v>724</v>
      </c>
      <c r="B80" s="135" t="s">
        <v>713</v>
      </c>
      <c r="C80" s="257" t="s">
        <v>57</v>
      </c>
      <c r="D80" s="135" t="s">
        <v>725</v>
      </c>
      <c r="E80" s="135" t="s">
        <v>726</v>
      </c>
      <c r="F80" s="135" t="s">
        <v>727</v>
      </c>
      <c r="G80" s="135" t="s">
        <v>728</v>
      </c>
      <c r="H80" s="135" t="s">
        <v>4</v>
      </c>
      <c r="I80" s="135" t="s">
        <v>4</v>
      </c>
      <c r="J80" s="135" t="s">
        <v>729</v>
      </c>
      <c r="K80" s="135" t="s">
        <v>97</v>
      </c>
      <c r="L80" s="135" t="s">
        <v>1</v>
      </c>
      <c r="M80" s="135" t="s">
        <v>1</v>
      </c>
      <c r="N80" s="135" t="s">
        <v>720</v>
      </c>
      <c r="O80" s="135" t="s">
        <v>730</v>
      </c>
      <c r="P80" s="135" t="s">
        <v>731</v>
      </c>
      <c r="Q80" s="135" t="s">
        <v>101</v>
      </c>
      <c r="R80" s="135" t="s">
        <v>732</v>
      </c>
      <c r="S80" s="135" t="s">
        <v>126</v>
      </c>
      <c r="T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U80" s="146" t="str">
        <f>IF(OR(LEFT(A80,9)="OPERATOR-",LEFT(A80,8)="PAYMENT-",LEFT(A80,7)="DEPLOY-"),"External","Core")</f>
        <v>Core</v>
      </c>
    </row>
    <row r="81" customFormat="false" ht="15" hidden="false" customHeight="false" outlineLevel="0" collapsed="false">
      <c r="A81" s="135" t="s">
        <v>733</v>
      </c>
      <c r="B81" s="135" t="s">
        <v>713</v>
      </c>
      <c r="C81" s="257" t="s">
        <v>57</v>
      </c>
      <c r="D81" s="135" t="s">
        <v>734</v>
      </c>
      <c r="E81" s="135" t="s">
        <v>735</v>
      </c>
      <c r="F81" s="135" t="s">
        <v>736</v>
      </c>
      <c r="G81" s="135" t="s">
        <v>737</v>
      </c>
      <c r="H81" s="135" t="s">
        <v>4</v>
      </c>
      <c r="I81" s="135" t="s">
        <v>4</v>
      </c>
      <c r="J81" s="135" t="s">
        <v>738</v>
      </c>
      <c r="K81" s="135" t="s">
        <v>97</v>
      </c>
      <c r="L81" s="135" t="s">
        <v>1</v>
      </c>
      <c r="M81" s="135" t="s">
        <v>1</v>
      </c>
      <c r="N81" s="135" t="s">
        <v>720</v>
      </c>
      <c r="O81" s="135" t="s">
        <v>739</v>
      </c>
      <c r="P81" s="135" t="s">
        <v>740</v>
      </c>
      <c r="Q81" s="135" t="s">
        <v>101</v>
      </c>
      <c r="R81" s="135" t="s">
        <v>741</v>
      </c>
      <c r="S81" s="135" t="s">
        <v>742</v>
      </c>
      <c r="T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U81" s="146" t="str">
        <f>IF(OR(LEFT(A81,9)="OPERATOR-",LEFT(A81,8)="PAYMENT-",LEFT(A81,7)="DEPLOY-"),"External","Core")</f>
        <v>Core</v>
      </c>
    </row>
    <row r="82" customFormat="false" ht="15" hidden="false" customHeight="false" outlineLevel="0" collapsed="false">
      <c r="A82" s="135" t="s">
        <v>743</v>
      </c>
      <c r="B82" s="135" t="s">
        <v>713</v>
      </c>
      <c r="C82" s="257" t="s">
        <v>57</v>
      </c>
      <c r="D82" s="135" t="s">
        <v>744</v>
      </c>
      <c r="E82" s="135" t="s">
        <v>745</v>
      </c>
      <c r="F82" s="135" t="s">
        <v>746</v>
      </c>
      <c r="G82" s="135" t="s">
        <v>747</v>
      </c>
      <c r="H82" s="135" t="s">
        <v>4</v>
      </c>
      <c r="I82" s="135" t="s">
        <v>4</v>
      </c>
      <c r="J82" s="135" t="s">
        <v>748</v>
      </c>
      <c r="K82" s="135" t="s">
        <v>97</v>
      </c>
      <c r="L82" s="135" t="s">
        <v>4</v>
      </c>
      <c r="M82" s="135" t="s">
        <v>749</v>
      </c>
      <c r="N82" s="135" t="s">
        <v>750</v>
      </c>
      <c r="O82" s="135" t="s">
        <v>751</v>
      </c>
      <c r="P82" s="135" t="s">
        <v>752</v>
      </c>
      <c r="Q82" s="135" t="s">
        <v>101</v>
      </c>
      <c r="R82" s="135" t="s">
        <v>753</v>
      </c>
      <c r="S82" s="135" t="s">
        <v>103</v>
      </c>
      <c r="T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U82" s="146" t="str">
        <f>IF(OR(LEFT(A82,9)="OPERATOR-",LEFT(A82,8)="PAYMENT-",LEFT(A82,7)="DEPLOY-"),"External","Core")</f>
        <v>Core</v>
      </c>
    </row>
    <row r="83" customFormat="false" ht="15" hidden="false" customHeight="false" outlineLevel="0" collapsed="false">
      <c r="A83" s="135" t="s">
        <v>754</v>
      </c>
      <c r="B83" s="135" t="s">
        <v>713</v>
      </c>
      <c r="C83" s="257" t="s">
        <v>57</v>
      </c>
      <c r="D83" s="135" t="s">
        <v>755</v>
      </c>
      <c r="E83" s="135" t="s">
        <v>756</v>
      </c>
      <c r="F83" s="135" t="s">
        <v>757</v>
      </c>
      <c r="G83" s="135" t="s">
        <v>758</v>
      </c>
      <c r="H83" s="135" t="s">
        <v>4</v>
      </c>
      <c r="I83" s="135" t="s">
        <v>759</v>
      </c>
      <c r="J83" s="135" t="s">
        <v>760</v>
      </c>
      <c r="K83" s="135" t="s">
        <v>97</v>
      </c>
      <c r="L83" s="135" t="s">
        <v>4</v>
      </c>
      <c r="M83" s="135" t="s">
        <v>749</v>
      </c>
      <c r="N83" s="135" t="s">
        <v>750</v>
      </c>
      <c r="O83" s="135" t="s">
        <v>761</v>
      </c>
      <c r="P83" s="135" t="s">
        <v>762</v>
      </c>
      <c r="Q83" s="135" t="s">
        <v>101</v>
      </c>
      <c r="R83" s="135" t="s">
        <v>763</v>
      </c>
      <c r="S83" s="135" t="s">
        <v>103</v>
      </c>
      <c r="T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U83" s="146" t="str">
        <f>IF(OR(LEFT(A83,9)="OPERATOR-",LEFT(A83,8)="PAYMENT-",LEFT(A83,7)="DEPLOY-"),"External","Core")</f>
        <v>Core</v>
      </c>
    </row>
    <row r="84" customFormat="false" ht="15" hidden="false" customHeight="false" outlineLevel="0" collapsed="false">
      <c r="A84" s="135" t="s">
        <v>764</v>
      </c>
      <c r="B84" s="135" t="s">
        <v>713</v>
      </c>
      <c r="C84" s="257" t="s">
        <v>57</v>
      </c>
      <c r="D84" s="135" t="s">
        <v>765</v>
      </c>
      <c r="E84" s="135" t="s">
        <v>766</v>
      </c>
      <c r="F84" s="135" t="s">
        <v>4</v>
      </c>
      <c r="G84" s="135" t="s">
        <v>767</v>
      </c>
      <c r="H84" s="135" t="s">
        <v>4</v>
      </c>
      <c r="I84" s="135" t="s">
        <v>4</v>
      </c>
      <c r="J84" s="135" t="s">
        <v>768</v>
      </c>
      <c r="K84" s="135" t="s">
        <v>97</v>
      </c>
      <c r="L84" s="135" t="s">
        <v>4</v>
      </c>
      <c r="M84" s="135" t="s">
        <v>749</v>
      </c>
      <c r="N84" s="135" t="s">
        <v>750</v>
      </c>
      <c r="O84" s="135" t="s">
        <v>769</v>
      </c>
      <c r="P84" s="135" t="s">
        <v>770</v>
      </c>
      <c r="Q84" s="135" t="s">
        <v>101</v>
      </c>
      <c r="R84" s="135" t="s">
        <v>771</v>
      </c>
      <c r="S84" s="135" t="s">
        <v>103</v>
      </c>
      <c r="T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U84" s="146" t="str">
        <f>IF(OR(LEFT(A84,9)="OPERATOR-",LEFT(A84,8)="PAYMENT-",LEFT(A84,7)="DEPLOY-"),"External","Core")</f>
        <v>Core</v>
      </c>
    </row>
    <row r="85" customFormat="false" ht="15" hidden="false" customHeight="false" outlineLevel="0" collapsed="false">
      <c r="A85" s="135" t="s">
        <v>772</v>
      </c>
      <c r="B85" s="135" t="s">
        <v>773</v>
      </c>
      <c r="C85" s="257" t="s">
        <v>57</v>
      </c>
      <c r="D85" s="135" t="s">
        <v>774</v>
      </c>
      <c r="E85" s="135" t="s">
        <v>775</v>
      </c>
      <c r="F85" s="135" t="s">
        <v>776</v>
      </c>
      <c r="G85" s="135" t="s">
        <v>777</v>
      </c>
      <c r="H85" s="135" t="s">
        <v>778</v>
      </c>
      <c r="I85" s="135" t="s">
        <v>779</v>
      </c>
      <c r="J85" s="135" t="s">
        <v>780</v>
      </c>
      <c r="K85" s="135" t="s">
        <v>781</v>
      </c>
      <c r="L85" s="135" t="s">
        <v>1</v>
      </c>
      <c r="M85" s="135" t="s">
        <v>1</v>
      </c>
      <c r="N85" s="135" t="s">
        <v>782</v>
      </c>
      <c r="O85" s="135" t="s">
        <v>783</v>
      </c>
      <c r="P85" s="135" t="s">
        <v>784</v>
      </c>
      <c r="Q85" s="135" t="s">
        <v>101</v>
      </c>
      <c r="R85" s="135" t="s">
        <v>785</v>
      </c>
      <c r="S85" s="135" t="s">
        <v>103</v>
      </c>
      <c r="T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U85" s="146" t="str">
        <f>IF(OR(LEFT(A85,9)="OPERATOR-",LEFT(A85,8)="PAYMENT-",LEFT(A85,7)="DEPLOY-"),"External","Core")</f>
        <v>Core</v>
      </c>
    </row>
    <row r="86" customFormat="false" ht="15" hidden="false" customHeight="false" outlineLevel="0" collapsed="false">
      <c r="A86" s="135" t="s">
        <v>786</v>
      </c>
      <c r="B86" s="135" t="s">
        <v>773</v>
      </c>
      <c r="C86" s="257" t="s">
        <v>57</v>
      </c>
      <c r="D86" s="135" t="s">
        <v>787</v>
      </c>
      <c r="E86" s="135" t="s">
        <v>788</v>
      </c>
      <c r="F86" s="135" t="s">
        <v>789</v>
      </c>
      <c r="G86" s="135" t="s">
        <v>790</v>
      </c>
      <c r="H86" s="135" t="s">
        <v>4</v>
      </c>
      <c r="I86" s="135" t="s">
        <v>4</v>
      </c>
      <c r="J86" s="135" t="s">
        <v>791</v>
      </c>
      <c r="K86" s="135" t="s">
        <v>97</v>
      </c>
      <c r="L86" s="135" t="s">
        <v>101</v>
      </c>
      <c r="M86" s="135" t="s">
        <v>792</v>
      </c>
      <c r="N86" s="135" t="s">
        <v>98</v>
      </c>
      <c r="O86" s="135" t="s">
        <v>793</v>
      </c>
      <c r="P86" s="135" t="s">
        <v>794</v>
      </c>
      <c r="Q86" s="135" t="s">
        <v>101</v>
      </c>
      <c r="R86" s="135" t="s">
        <v>795</v>
      </c>
      <c r="S86" s="135" t="s">
        <v>103</v>
      </c>
      <c r="T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U86" s="146" t="str">
        <f>IF(OR(LEFT(A86,9)="OPERATOR-",LEFT(A86,8)="PAYMENT-",LEFT(A86,7)="DEPLOY-"),"External","Core")</f>
        <v>Core</v>
      </c>
    </row>
    <row r="87" customFormat="false" ht="15" hidden="false" customHeight="false" outlineLevel="0" collapsed="false">
      <c r="A87" s="135" t="s">
        <v>796</v>
      </c>
      <c r="B87" s="135" t="s">
        <v>773</v>
      </c>
      <c r="C87" s="257" t="s">
        <v>57</v>
      </c>
      <c r="D87" s="135" t="s">
        <v>797</v>
      </c>
      <c r="E87" s="135" t="s">
        <v>798</v>
      </c>
      <c r="F87" s="135" t="s">
        <v>789</v>
      </c>
      <c r="G87" s="135" t="s">
        <v>799</v>
      </c>
      <c r="H87" s="135" t="s">
        <v>4</v>
      </c>
      <c r="I87" s="135" t="s">
        <v>4</v>
      </c>
      <c r="J87" s="135" t="s">
        <v>800</v>
      </c>
      <c r="K87" s="135" t="s">
        <v>97</v>
      </c>
      <c r="L87" s="135" t="s">
        <v>101</v>
      </c>
      <c r="M87" s="135" t="s">
        <v>792</v>
      </c>
      <c r="N87" s="135" t="s">
        <v>98</v>
      </c>
      <c r="O87" s="135" t="s">
        <v>801</v>
      </c>
      <c r="P87" s="135" t="s">
        <v>802</v>
      </c>
      <c r="Q87" s="135" t="s">
        <v>101</v>
      </c>
      <c r="R87" s="135" t="s">
        <v>803</v>
      </c>
      <c r="S87" s="135" t="s">
        <v>103</v>
      </c>
      <c r="T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U87" s="146" t="str">
        <f>IF(OR(LEFT(A87,9)="OPERATOR-",LEFT(A87,8)="PAYMENT-",LEFT(A87,7)="DEPLOY-"),"External","Core")</f>
        <v>Core</v>
      </c>
    </row>
    <row r="88" customFormat="false" ht="15" hidden="false" customHeight="false" outlineLevel="0" collapsed="false">
      <c r="A88" s="135" t="s">
        <v>804</v>
      </c>
      <c r="B88" s="135" t="s">
        <v>773</v>
      </c>
      <c r="C88" s="257" t="s">
        <v>57</v>
      </c>
      <c r="D88" s="135" t="s">
        <v>805</v>
      </c>
      <c r="E88" s="135" t="s">
        <v>806</v>
      </c>
      <c r="F88" s="135" t="s">
        <v>807</v>
      </c>
      <c r="G88" s="135" t="s">
        <v>808</v>
      </c>
      <c r="H88" s="135" t="s">
        <v>4</v>
      </c>
      <c r="I88" s="135" t="s">
        <v>809</v>
      </c>
      <c r="J88" s="135" t="s">
        <v>810</v>
      </c>
      <c r="K88" s="135" t="s">
        <v>97</v>
      </c>
      <c r="L88" s="135" t="s">
        <v>1</v>
      </c>
      <c r="M88" s="135" t="s">
        <v>1</v>
      </c>
      <c r="N88" s="135" t="s">
        <v>98</v>
      </c>
      <c r="O88" s="135" t="s">
        <v>811</v>
      </c>
      <c r="P88" s="135" t="s">
        <v>812</v>
      </c>
      <c r="Q88" s="135" t="s">
        <v>101</v>
      </c>
      <c r="R88" s="135" t="s">
        <v>813</v>
      </c>
      <c r="S88" s="135" t="s">
        <v>103</v>
      </c>
      <c r="T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U88" s="146" t="str">
        <f>IF(OR(LEFT(A88,9)="OPERATOR-",LEFT(A88,8)="PAYMENT-",LEFT(A88,7)="DEPLOY-"),"External","Core")</f>
        <v>Core</v>
      </c>
    </row>
    <row r="89" customFormat="false" ht="15" hidden="false" customHeight="false" outlineLevel="0" collapsed="false">
      <c r="A89" s="135" t="s">
        <v>814</v>
      </c>
      <c r="B89" s="135" t="s">
        <v>773</v>
      </c>
      <c r="C89" s="257" t="s">
        <v>57</v>
      </c>
      <c r="D89" s="135" t="s">
        <v>815</v>
      </c>
      <c r="E89" s="135" t="s">
        <v>816</v>
      </c>
      <c r="F89" s="135" t="s">
        <v>817</v>
      </c>
      <c r="G89" s="135" t="s">
        <v>818</v>
      </c>
      <c r="H89" s="135" t="s">
        <v>4</v>
      </c>
      <c r="I89" s="135" t="s">
        <v>819</v>
      </c>
      <c r="J89" s="135" t="s">
        <v>820</v>
      </c>
      <c r="K89" s="135" t="s">
        <v>97</v>
      </c>
      <c r="L89" s="135" t="s">
        <v>101</v>
      </c>
      <c r="M89" s="135" t="s">
        <v>792</v>
      </c>
      <c r="N89" s="135" t="s">
        <v>98</v>
      </c>
      <c r="O89" s="135" t="s">
        <v>821</v>
      </c>
      <c r="P89" s="135" t="s">
        <v>822</v>
      </c>
      <c r="Q89" s="135" t="s">
        <v>101</v>
      </c>
      <c r="R89" s="135" t="s">
        <v>823</v>
      </c>
      <c r="S89" s="135" t="s">
        <v>126</v>
      </c>
      <c r="T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U89" s="146" t="str">
        <f>IF(OR(LEFT(A89,9)="OPERATOR-",LEFT(A89,8)="PAYMENT-",LEFT(A89,7)="DEPLOY-"),"External","Core")</f>
        <v>Core</v>
      </c>
    </row>
    <row r="90" customFormat="false" ht="15" hidden="false" customHeight="false" outlineLevel="0" collapsed="false">
      <c r="A90" s="135" t="s">
        <v>824</v>
      </c>
      <c r="B90" s="135" t="s">
        <v>184</v>
      </c>
      <c r="C90" s="257" t="s">
        <v>57</v>
      </c>
      <c r="D90" s="135" t="s">
        <v>825</v>
      </c>
      <c r="E90" s="135" t="s">
        <v>826</v>
      </c>
      <c r="F90" s="135" t="s">
        <v>4</v>
      </c>
      <c r="G90" s="135" t="s">
        <v>827</v>
      </c>
      <c r="H90" s="135" t="s">
        <v>4</v>
      </c>
      <c r="I90" s="135" t="s">
        <v>8</v>
      </c>
      <c r="J90" s="135" t="s">
        <v>828</v>
      </c>
      <c r="K90" s="135" t="s">
        <v>97</v>
      </c>
      <c r="L90" s="135" t="s">
        <v>101</v>
      </c>
      <c r="M90" s="135" t="s">
        <v>792</v>
      </c>
      <c r="N90" s="135" t="s">
        <v>98</v>
      </c>
      <c r="O90" s="135" t="s">
        <v>829</v>
      </c>
      <c r="P90" s="135" t="s">
        <v>830</v>
      </c>
      <c r="Q90" s="135" t="s">
        <v>101</v>
      </c>
      <c r="R90" s="135" t="s">
        <v>831</v>
      </c>
      <c r="S90" s="135" t="s">
        <v>832</v>
      </c>
      <c r="T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U90" s="146" t="str">
        <f>IF(OR(LEFT(A90,9)="OPERATOR-",LEFT(A90,8)="PAYMENT-",LEFT(A90,7)="DEPLOY-"),"External","Core")</f>
        <v>Core</v>
      </c>
    </row>
    <row r="91" customFormat="false" ht="15" hidden="false" customHeight="false" outlineLevel="0" collapsed="false">
      <c r="A91" s="135" t="s">
        <v>833</v>
      </c>
      <c r="B91" s="135" t="s">
        <v>195</v>
      </c>
      <c r="C91" s="258" t="s">
        <v>63</v>
      </c>
      <c r="D91" s="135" t="s">
        <v>834</v>
      </c>
      <c r="E91" s="135" t="s">
        <v>835</v>
      </c>
      <c r="F91" s="135" t="s">
        <v>836</v>
      </c>
      <c r="G91" s="135" t="s">
        <v>837</v>
      </c>
      <c r="H91" s="135" t="s">
        <v>4</v>
      </c>
      <c r="I91" s="135" t="s">
        <v>838</v>
      </c>
      <c r="J91" s="135" t="s">
        <v>839</v>
      </c>
      <c r="K91" s="135" t="s">
        <v>840</v>
      </c>
      <c r="L91" s="135" t="s">
        <v>1</v>
      </c>
      <c r="M91" s="135" t="s">
        <v>1</v>
      </c>
      <c r="N91" s="135" t="s">
        <v>438</v>
      </c>
      <c r="O91" s="135" t="s">
        <v>841</v>
      </c>
      <c r="P91" s="135" t="s">
        <v>842</v>
      </c>
      <c r="Q91" s="135" t="s">
        <v>101</v>
      </c>
      <c r="R91" s="135" t="s">
        <v>843</v>
      </c>
      <c r="S91" s="135" t="s">
        <v>103</v>
      </c>
      <c r="T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U91" s="146" t="str">
        <f>IF(OR(LEFT(A91,9)="OPERATOR-",LEFT(A91,8)="PAYMENT-",LEFT(A91,7)="DEPLOY-"),"External","Core")</f>
        <v>Core</v>
      </c>
    </row>
    <row r="92" customFormat="false" ht="15" hidden="false" customHeight="false" outlineLevel="0" collapsed="false">
      <c r="A92" s="135" t="s">
        <v>844</v>
      </c>
      <c r="B92" s="135" t="s">
        <v>845</v>
      </c>
      <c r="C92" s="258" t="s">
        <v>63</v>
      </c>
      <c r="D92" s="135" t="s">
        <v>846</v>
      </c>
      <c r="E92" s="135" t="s">
        <v>847</v>
      </c>
      <c r="F92" s="135" t="s">
        <v>848</v>
      </c>
      <c r="G92" s="135" t="s">
        <v>849</v>
      </c>
      <c r="H92" s="135" t="s">
        <v>4</v>
      </c>
      <c r="I92" s="135" t="s">
        <v>850</v>
      </c>
      <c r="J92" s="135" t="s">
        <v>851</v>
      </c>
      <c r="K92" s="135" t="s">
        <v>97</v>
      </c>
      <c r="L92" s="135" t="s">
        <v>101</v>
      </c>
      <c r="M92" s="135" t="s">
        <v>792</v>
      </c>
      <c r="N92" s="135" t="s">
        <v>98</v>
      </c>
      <c r="O92" s="135" t="s">
        <v>852</v>
      </c>
      <c r="P92" s="135" t="s">
        <v>853</v>
      </c>
      <c r="Q92" s="135" t="s">
        <v>101</v>
      </c>
      <c r="R92" s="135" t="s">
        <v>854</v>
      </c>
      <c r="S92" s="135" t="s">
        <v>103</v>
      </c>
      <c r="T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U92" s="146" t="str">
        <f>IF(OR(LEFT(A92,9)="OPERATOR-",LEFT(A92,8)="PAYMENT-",LEFT(A92,7)="DEPLOY-"),"External","Core")</f>
        <v>Core</v>
      </c>
    </row>
    <row r="93" customFormat="false" ht="15" hidden="false" customHeight="false" outlineLevel="0" collapsed="false">
      <c r="A93" s="135" t="s">
        <v>855</v>
      </c>
      <c r="B93" s="135" t="s">
        <v>845</v>
      </c>
      <c r="C93" s="258" t="s">
        <v>63</v>
      </c>
      <c r="D93" s="135" t="s">
        <v>856</v>
      </c>
      <c r="E93" s="135" t="s">
        <v>857</v>
      </c>
      <c r="F93" s="135" t="s">
        <v>858</v>
      </c>
      <c r="G93" s="135" t="s">
        <v>859</v>
      </c>
      <c r="H93" s="135" t="s">
        <v>4</v>
      </c>
      <c r="I93" s="135" t="s">
        <v>4</v>
      </c>
      <c r="J93" s="135" t="s">
        <v>860</v>
      </c>
      <c r="K93" s="135" t="s">
        <v>97</v>
      </c>
      <c r="L93" s="135" t="s">
        <v>101</v>
      </c>
      <c r="M93" s="135" t="s">
        <v>792</v>
      </c>
      <c r="N93" s="135" t="s">
        <v>98</v>
      </c>
      <c r="O93" s="135" t="s">
        <v>861</v>
      </c>
      <c r="P93" s="135" t="s">
        <v>862</v>
      </c>
      <c r="Q93" s="135" t="s">
        <v>101</v>
      </c>
      <c r="R93" s="135" t="s">
        <v>863</v>
      </c>
      <c r="S93" s="135" t="s">
        <v>126</v>
      </c>
      <c r="T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U93" s="146" t="str">
        <f>IF(OR(LEFT(A93,9)="OPERATOR-",LEFT(A93,8)="PAYMENT-",LEFT(A93,7)="DEPLOY-"),"External","Core")</f>
        <v>Core</v>
      </c>
    </row>
    <row r="94" customFormat="false" ht="15" hidden="false" customHeight="false" outlineLevel="0" collapsed="false">
      <c r="A94" s="135" t="s">
        <v>864</v>
      </c>
      <c r="B94" s="135" t="s">
        <v>845</v>
      </c>
      <c r="C94" s="258" t="s">
        <v>63</v>
      </c>
      <c r="D94" s="135" t="s">
        <v>865</v>
      </c>
      <c r="E94" s="135" t="s">
        <v>866</v>
      </c>
      <c r="F94" s="135" t="s">
        <v>867</v>
      </c>
      <c r="G94" s="135" t="s">
        <v>868</v>
      </c>
      <c r="H94" s="135" t="s">
        <v>4</v>
      </c>
      <c r="I94" s="135" t="s">
        <v>4</v>
      </c>
      <c r="J94" s="135" t="s">
        <v>869</v>
      </c>
      <c r="K94" s="135" t="s">
        <v>97</v>
      </c>
      <c r="L94" s="135" t="s">
        <v>101</v>
      </c>
      <c r="M94" s="135" t="s">
        <v>792</v>
      </c>
      <c r="N94" s="135" t="s">
        <v>98</v>
      </c>
      <c r="O94" s="135" t="s">
        <v>870</v>
      </c>
      <c r="P94" s="135" t="s">
        <v>871</v>
      </c>
      <c r="Q94" s="135" t="s">
        <v>101</v>
      </c>
      <c r="R94" s="135" t="s">
        <v>872</v>
      </c>
      <c r="S94" s="135" t="s">
        <v>343</v>
      </c>
      <c r="T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U94" s="146" t="str">
        <f>IF(OR(LEFT(A94,9)="OPERATOR-",LEFT(A94,8)="PAYMENT-",LEFT(A94,7)="DEPLOY-"),"External","Core")</f>
        <v>Core</v>
      </c>
    </row>
    <row r="95" customFormat="false" ht="15" hidden="false" customHeight="false" outlineLevel="0" collapsed="false">
      <c r="A95" s="135" t="s">
        <v>873</v>
      </c>
      <c r="B95" s="135" t="s">
        <v>845</v>
      </c>
      <c r="C95" s="258" t="s">
        <v>63</v>
      </c>
      <c r="D95" s="135" t="s">
        <v>874</v>
      </c>
      <c r="E95" s="135" t="s">
        <v>875</v>
      </c>
      <c r="F95" s="135" t="s">
        <v>876</v>
      </c>
      <c r="G95" s="135" t="s">
        <v>877</v>
      </c>
      <c r="H95" s="135" t="s">
        <v>4</v>
      </c>
      <c r="I95" s="135" t="s">
        <v>4</v>
      </c>
      <c r="J95" s="135" t="s">
        <v>878</v>
      </c>
      <c r="K95" s="135" t="s">
        <v>97</v>
      </c>
      <c r="L95" s="135" t="s">
        <v>101</v>
      </c>
      <c r="M95" s="135" t="s">
        <v>792</v>
      </c>
      <c r="N95" s="135" t="s">
        <v>98</v>
      </c>
      <c r="O95" s="135" t="s">
        <v>879</v>
      </c>
      <c r="P95" s="135" t="s">
        <v>880</v>
      </c>
      <c r="Q95" s="135" t="s">
        <v>101</v>
      </c>
      <c r="R95" s="135" t="s">
        <v>881</v>
      </c>
      <c r="S95" s="135" t="s">
        <v>343</v>
      </c>
      <c r="T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U95" s="146" t="str">
        <f>IF(OR(LEFT(A95,9)="OPERATOR-",LEFT(A95,8)="PAYMENT-",LEFT(A95,7)="DEPLOY-"),"External","Core")</f>
        <v>Core</v>
      </c>
    </row>
    <row r="96" customFormat="false" ht="15" hidden="false" customHeight="false" outlineLevel="0" collapsed="false">
      <c r="A96" s="135" t="s">
        <v>882</v>
      </c>
      <c r="B96" s="135" t="s">
        <v>674</v>
      </c>
      <c r="C96" s="258" t="s">
        <v>63</v>
      </c>
      <c r="D96" s="135" t="s">
        <v>74</v>
      </c>
      <c r="E96" s="135" t="s">
        <v>883</v>
      </c>
      <c r="F96" s="135" t="s">
        <v>884</v>
      </c>
      <c r="G96" s="135" t="s">
        <v>885</v>
      </c>
      <c r="H96" s="135" t="s">
        <v>4</v>
      </c>
      <c r="I96" s="135" t="s">
        <v>886</v>
      </c>
      <c r="J96" s="135" t="s">
        <v>887</v>
      </c>
      <c r="K96" s="135" t="s">
        <v>203</v>
      </c>
      <c r="L96" s="135" t="s">
        <v>1</v>
      </c>
      <c r="M96" s="135" t="s">
        <v>1</v>
      </c>
      <c r="N96" s="135" t="s">
        <v>438</v>
      </c>
      <c r="O96" s="135" t="s">
        <v>888</v>
      </c>
      <c r="P96" s="135" t="s">
        <v>889</v>
      </c>
      <c r="Q96" s="135" t="s">
        <v>101</v>
      </c>
      <c r="R96" s="135" t="s">
        <v>890</v>
      </c>
      <c r="S96" s="135" t="s">
        <v>891</v>
      </c>
      <c r="T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U96" s="146" t="str">
        <f>IF(OR(LEFT(A96,9)="OPERATOR-",LEFT(A96,8)="PAYMENT-",LEFT(A96,7)="DEPLOY-"),"External","Core")</f>
        <v>Core</v>
      </c>
    </row>
    <row r="97" customFormat="false" ht="15" hidden="false" customHeight="false" outlineLevel="0" collapsed="false">
      <c r="A97" s="135" t="s">
        <v>892</v>
      </c>
      <c r="B97" s="135" t="s">
        <v>773</v>
      </c>
      <c r="C97" s="259" t="s">
        <v>34</v>
      </c>
      <c r="D97" s="135" t="s">
        <v>893</v>
      </c>
      <c r="E97" s="135" t="s">
        <v>894</v>
      </c>
      <c r="F97" s="135" t="s">
        <v>895</v>
      </c>
      <c r="G97" s="135" t="s">
        <v>896</v>
      </c>
      <c r="H97" s="135" t="s">
        <v>4</v>
      </c>
      <c r="I97" s="135" t="s">
        <v>4</v>
      </c>
      <c r="J97" s="135" t="s">
        <v>897</v>
      </c>
      <c r="K97" s="135" t="s">
        <v>97</v>
      </c>
      <c r="L97" s="135" t="s">
        <v>101</v>
      </c>
      <c r="M97" s="135" t="s">
        <v>898</v>
      </c>
      <c r="N97" s="135" t="s">
        <v>899</v>
      </c>
      <c r="O97" s="135" t="s">
        <v>900</v>
      </c>
      <c r="P97" s="135" t="s">
        <v>901</v>
      </c>
      <c r="Q97" s="135" t="s">
        <v>101</v>
      </c>
      <c r="R97" s="135" t="s">
        <v>902</v>
      </c>
      <c r="S97" s="135" t="s">
        <v>126</v>
      </c>
      <c r="T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U97" s="146" t="str">
        <f>IF(OR(LEFT(A97,9)="OPERATOR-",LEFT(A97,8)="PAYMENT-",LEFT(A97,7)="DEPLOY-"),"External","Core")</f>
        <v>Core</v>
      </c>
    </row>
    <row r="98" customFormat="false" ht="15" hidden="false" customHeight="false" outlineLevel="0" collapsed="false">
      <c r="A98" s="135" t="s">
        <v>903</v>
      </c>
      <c r="B98" s="135" t="s">
        <v>773</v>
      </c>
      <c r="C98" s="259" t="s">
        <v>34</v>
      </c>
      <c r="D98" s="135" t="s">
        <v>904</v>
      </c>
      <c r="E98" s="135" t="s">
        <v>905</v>
      </c>
      <c r="F98" s="135" t="s">
        <v>906</v>
      </c>
      <c r="G98" s="135" t="s">
        <v>907</v>
      </c>
      <c r="H98" s="135" t="s">
        <v>908</v>
      </c>
      <c r="I98" s="135" t="s">
        <v>909</v>
      </c>
      <c r="J98" s="135" t="s">
        <v>910</v>
      </c>
      <c r="K98" s="135" t="s">
        <v>97</v>
      </c>
      <c r="L98" s="135" t="s">
        <v>101</v>
      </c>
      <c r="M98" s="135" t="s">
        <v>898</v>
      </c>
      <c r="N98" s="135" t="s">
        <v>899</v>
      </c>
      <c r="O98" s="135" t="s">
        <v>911</v>
      </c>
      <c r="P98" s="135" t="s">
        <v>912</v>
      </c>
      <c r="Q98" s="135" t="s">
        <v>101</v>
      </c>
      <c r="R98" s="135" t="s">
        <v>913</v>
      </c>
      <c r="S98" s="135" t="s">
        <v>343</v>
      </c>
      <c r="T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U98" s="146" t="str">
        <f>IF(OR(LEFT(A98,9)="OPERATOR-",LEFT(A98,8)="PAYMENT-",LEFT(A98,7)="DEPLOY-"),"External","Core")</f>
        <v>Core</v>
      </c>
    </row>
    <row r="99" customFormat="false" ht="15" hidden="false" customHeight="false" outlineLevel="0" collapsed="false">
      <c r="A99" s="135" t="s">
        <v>914</v>
      </c>
      <c r="B99" s="135" t="s">
        <v>170</v>
      </c>
      <c r="C99" s="259" t="s">
        <v>34</v>
      </c>
      <c r="D99" s="135" t="s">
        <v>915</v>
      </c>
      <c r="E99" s="135" t="s">
        <v>916</v>
      </c>
      <c r="F99" s="135" t="s">
        <v>917</v>
      </c>
      <c r="G99" s="135" t="s">
        <v>918</v>
      </c>
      <c r="H99" s="135" t="s">
        <v>4</v>
      </c>
      <c r="I99" s="135" t="s">
        <v>919</v>
      </c>
      <c r="J99" s="135" t="s">
        <v>920</v>
      </c>
      <c r="K99" s="135" t="s">
        <v>97</v>
      </c>
      <c r="L99" s="135" t="s">
        <v>101</v>
      </c>
      <c r="M99" s="135" t="s">
        <v>898</v>
      </c>
      <c r="N99" s="135" t="s">
        <v>899</v>
      </c>
      <c r="O99" s="135" t="s">
        <v>921</v>
      </c>
      <c r="P99" s="135" t="s">
        <v>922</v>
      </c>
      <c r="Q99" s="135" t="s">
        <v>101</v>
      </c>
      <c r="R99" s="135" t="s">
        <v>923</v>
      </c>
      <c r="S99" s="135" t="s">
        <v>263</v>
      </c>
      <c r="T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Done</v>
      </c>
      <c r="U99" s="146" t="str">
        <f>IF(OR(LEFT(A99,9)="OPERATOR-",LEFT(A99,8)="PAYMENT-",LEFT(A99,7)="DEPLOY-"),"External","Core")</f>
        <v>Core</v>
      </c>
    </row>
    <row r="100" customFormat="false" ht="15" hidden="false" customHeight="false" outlineLevel="0" collapsed="false">
      <c r="A100" s="138" t="s">
        <v>924</v>
      </c>
      <c r="B100" s="138" t="s">
        <v>170</v>
      </c>
      <c r="C100" s="259" t="s">
        <v>34</v>
      </c>
      <c r="D100" s="138" t="s">
        <v>925</v>
      </c>
      <c r="E100" s="138" t="s">
        <v>926</v>
      </c>
      <c r="F100" s="138" t="s">
        <v>927</v>
      </c>
      <c r="G100" s="138" t="s">
        <v>928</v>
      </c>
      <c r="H100" s="138" t="s">
        <v>4</v>
      </c>
      <c r="I100" s="138" t="s">
        <v>929</v>
      </c>
      <c r="J100" s="138" t="s">
        <v>930</v>
      </c>
      <c r="K100" s="138" t="s">
        <v>492</v>
      </c>
      <c r="L100" s="138" t="s">
        <v>1</v>
      </c>
      <c r="M100" s="138" t="s">
        <v>1</v>
      </c>
      <c r="N100" s="138" t="s">
        <v>1</v>
      </c>
      <c r="O100" s="138" t="s">
        <v>931</v>
      </c>
      <c r="P100" s="138" t="s">
        <v>932</v>
      </c>
      <c r="Q100" s="138" t="s">
        <v>1</v>
      </c>
      <c r="R100" s="138" t="s">
        <v>933</v>
      </c>
      <c r="S100" s="138" t="s">
        <v>934</v>
      </c>
      <c r="T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Not started</v>
      </c>
      <c r="U100" s="146" t="str">
        <f>IF(OR(LEFT(A100,9)="OPERATOR-",LEFT(A100,8)="PAYMENT-",LEFT(A100,7)="DEPLOY-"),"External","Core")</f>
        <v>Core</v>
      </c>
    </row>
    <row r="101" customFormat="false" ht="15" hidden="false" customHeight="false" outlineLevel="0" collapsed="false">
      <c r="A101" s="138" t="s">
        <v>935</v>
      </c>
      <c r="B101" s="138" t="s">
        <v>195</v>
      </c>
      <c r="C101" s="259" t="s">
        <v>34</v>
      </c>
      <c r="D101" s="138" t="s">
        <v>936</v>
      </c>
      <c r="E101" s="138" t="s">
        <v>937</v>
      </c>
      <c r="F101" s="138" t="s">
        <v>938</v>
      </c>
      <c r="G101" s="138" t="s">
        <v>939</v>
      </c>
      <c r="H101" s="138" t="s">
        <v>940</v>
      </c>
      <c r="I101" s="138" t="s">
        <v>941</v>
      </c>
      <c r="J101" s="138" t="s">
        <v>942</v>
      </c>
      <c r="K101" s="138" t="s">
        <v>492</v>
      </c>
      <c r="L101" s="138" t="s">
        <v>1</v>
      </c>
      <c r="M101" s="138" t="s">
        <v>1</v>
      </c>
      <c r="N101" s="138" t="s">
        <v>1</v>
      </c>
      <c r="O101" s="138" t="s">
        <v>943</v>
      </c>
      <c r="P101" s="138" t="s">
        <v>944</v>
      </c>
      <c r="Q101" s="138" t="s">
        <v>1</v>
      </c>
      <c r="R101" s="138" t="s">
        <v>945</v>
      </c>
      <c r="S101" s="138" t="s">
        <v>103</v>
      </c>
      <c r="T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Not started</v>
      </c>
      <c r="U101" s="146" t="str">
        <f>IF(OR(LEFT(A101,9)="OPERATOR-",LEFT(A101,8)="PAYMENT-",LEFT(A101,7)="DEPLOY-"),"External","Core")</f>
        <v>Core</v>
      </c>
    </row>
    <row r="102" customFormat="false" ht="15" hidden="false" customHeight="false" outlineLevel="0" collapsed="false">
      <c r="A102" s="138" t="s">
        <v>946</v>
      </c>
      <c r="B102" s="138" t="s">
        <v>170</v>
      </c>
      <c r="C102" s="259" t="s">
        <v>34</v>
      </c>
      <c r="D102" s="138" t="s">
        <v>947</v>
      </c>
      <c r="E102" s="138" t="s">
        <v>948</v>
      </c>
      <c r="F102" s="138" t="s">
        <v>949</v>
      </c>
      <c r="G102" s="138" t="s">
        <v>950</v>
      </c>
      <c r="H102" s="138" t="s">
        <v>4</v>
      </c>
      <c r="I102" s="138" t="s">
        <v>951</v>
      </c>
      <c r="J102" s="138" t="s">
        <v>952</v>
      </c>
      <c r="K102" s="138" t="s">
        <v>492</v>
      </c>
      <c r="L102" s="138" t="s">
        <v>1</v>
      </c>
      <c r="M102" s="138" t="s">
        <v>1</v>
      </c>
      <c r="N102" s="138" t="s">
        <v>1</v>
      </c>
      <c r="O102" s="138" t="s">
        <v>953</v>
      </c>
      <c r="P102" s="138" t="s">
        <v>954</v>
      </c>
      <c r="Q102" s="138" t="s">
        <v>1</v>
      </c>
      <c r="R102" s="138" t="s">
        <v>955</v>
      </c>
      <c r="S102" s="138" t="s">
        <v>263</v>
      </c>
      <c r="T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Not started</v>
      </c>
      <c r="U102" s="146" t="str">
        <f>IF(OR(LEFT(A102,9)="OPERATOR-",LEFT(A102,8)="PAYMENT-",LEFT(A102,7)="DEPLOY-"),"External","Core")</f>
        <v>Core</v>
      </c>
    </row>
    <row r="103" customFormat="false" ht="15" hidden="false" customHeight="false" outlineLevel="0" collapsed="false">
      <c r="A103" s="135" t="s">
        <v>956</v>
      </c>
      <c r="B103" s="135" t="s">
        <v>195</v>
      </c>
      <c r="C103" s="261" t="s">
        <v>42</v>
      </c>
      <c r="D103" s="135" t="s">
        <v>957</v>
      </c>
      <c r="E103" s="135" t="s">
        <v>958</v>
      </c>
      <c r="F103" s="135" t="s">
        <v>4</v>
      </c>
      <c r="G103" s="135" t="s">
        <v>4</v>
      </c>
      <c r="H103" s="135" t="s">
        <v>4</v>
      </c>
      <c r="I103" s="135" t="s">
        <v>4</v>
      </c>
      <c r="J103" s="135" t="s">
        <v>959</v>
      </c>
      <c r="K103" s="135" t="s">
        <v>689</v>
      </c>
      <c r="L103" s="135" t="s">
        <v>1</v>
      </c>
      <c r="M103" s="135" t="s">
        <v>1</v>
      </c>
      <c r="N103" s="135" t="s">
        <v>438</v>
      </c>
      <c r="O103" s="135" t="s">
        <v>960</v>
      </c>
      <c r="P103" s="135" t="s">
        <v>961</v>
      </c>
      <c r="Q103" s="135" t="s">
        <v>101</v>
      </c>
      <c r="R103" s="135" t="s">
        <v>962</v>
      </c>
      <c r="S103" s="135" t="s">
        <v>263</v>
      </c>
      <c r="T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U103" s="146" t="str">
        <f>IF(OR(LEFT(A103,9)="OPERATOR-",LEFT(A103,8)="PAYMENT-",LEFT(A103,7)="DEPLOY-"),"External","Core")</f>
        <v>Core</v>
      </c>
    </row>
    <row r="104" customFormat="false" ht="15" hidden="false" customHeight="false" outlineLevel="0" collapsed="false">
      <c r="A104" s="135" t="s">
        <v>963</v>
      </c>
      <c r="B104" s="135" t="s">
        <v>195</v>
      </c>
      <c r="C104" s="261" t="s">
        <v>42</v>
      </c>
      <c r="D104" s="135" t="s">
        <v>964</v>
      </c>
      <c r="E104" s="135" t="s">
        <v>965</v>
      </c>
      <c r="F104" s="135" t="s">
        <v>4</v>
      </c>
      <c r="G104" s="135" t="s">
        <v>4</v>
      </c>
      <c r="H104" s="135" t="s">
        <v>4</v>
      </c>
      <c r="I104" s="135" t="s">
        <v>4</v>
      </c>
      <c r="J104" s="135" t="s">
        <v>966</v>
      </c>
      <c r="K104" s="135" t="s">
        <v>689</v>
      </c>
      <c r="L104" s="135" t="s">
        <v>1</v>
      </c>
      <c r="M104" s="135" t="s">
        <v>1</v>
      </c>
      <c r="N104" s="135" t="s">
        <v>438</v>
      </c>
      <c r="O104" s="135" t="s">
        <v>967</v>
      </c>
      <c r="P104" s="135" t="s">
        <v>968</v>
      </c>
      <c r="Q104" s="135" t="s">
        <v>101</v>
      </c>
      <c r="R104" s="135" t="s">
        <v>969</v>
      </c>
      <c r="S104" s="135" t="s">
        <v>332</v>
      </c>
      <c r="T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U104" s="146" t="str">
        <f>IF(OR(LEFT(A104,9)="OPERATOR-",LEFT(A104,8)="PAYMENT-",LEFT(A104,7)="DEPLOY-"),"External","Core")</f>
        <v>Core</v>
      </c>
    </row>
    <row r="105" customFormat="false" ht="15" hidden="false" customHeight="false" outlineLevel="0" collapsed="false">
      <c r="A105" s="138" t="s">
        <v>970</v>
      </c>
      <c r="B105" s="138" t="s">
        <v>170</v>
      </c>
      <c r="C105" s="261" t="s">
        <v>42</v>
      </c>
      <c r="D105" s="138" t="s">
        <v>971</v>
      </c>
      <c r="E105" s="138" t="s">
        <v>972</v>
      </c>
      <c r="F105" s="138" t="s">
        <v>973</v>
      </c>
      <c r="G105" s="138" t="s">
        <v>974</v>
      </c>
      <c r="H105" s="138" t="s">
        <v>4</v>
      </c>
      <c r="I105" s="138" t="s">
        <v>4</v>
      </c>
      <c r="J105" s="138" t="s">
        <v>975</v>
      </c>
      <c r="K105" s="138" t="s">
        <v>492</v>
      </c>
      <c r="L105" s="138" t="s">
        <v>1</v>
      </c>
      <c r="M105" s="138" t="s">
        <v>1</v>
      </c>
      <c r="N105" s="138" t="s">
        <v>1</v>
      </c>
      <c r="O105" s="138" t="s">
        <v>976</v>
      </c>
      <c r="P105" s="138" t="s">
        <v>977</v>
      </c>
      <c r="Q105" s="138" t="s">
        <v>1</v>
      </c>
      <c r="R105" s="138" t="s">
        <v>978</v>
      </c>
      <c r="S105" s="138" t="s">
        <v>979</v>
      </c>
      <c r="T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Not started</v>
      </c>
      <c r="U105" s="146" t="str">
        <f>IF(OR(LEFT(A105,9)="OPERATOR-",LEFT(A105,8)="PAYMENT-",LEFT(A105,7)="DEPLOY-"),"External","Core")</f>
        <v>Core</v>
      </c>
    </row>
    <row r="106" customFormat="false" ht="15" hidden="false" customHeight="false" outlineLevel="0" collapsed="false">
      <c r="A106" s="138" t="s">
        <v>980</v>
      </c>
      <c r="B106" s="138" t="s">
        <v>170</v>
      </c>
      <c r="C106" s="255" t="s">
        <v>51</v>
      </c>
      <c r="D106" s="138" t="s">
        <v>981</v>
      </c>
      <c r="E106" s="138" t="s">
        <v>982</v>
      </c>
      <c r="F106" s="138" t="s">
        <v>983</v>
      </c>
      <c r="G106" s="138" t="s">
        <v>984</v>
      </c>
      <c r="H106" s="138" t="s">
        <v>4</v>
      </c>
      <c r="I106" s="138" t="s">
        <v>985</v>
      </c>
      <c r="J106" s="138" t="s">
        <v>986</v>
      </c>
      <c r="K106" s="138" t="s">
        <v>492</v>
      </c>
      <c r="L106" s="138" t="s">
        <v>1</v>
      </c>
      <c r="M106" s="138" t="s">
        <v>1</v>
      </c>
      <c r="N106" s="138" t="s">
        <v>1</v>
      </c>
      <c r="O106" s="138" t="s">
        <v>987</v>
      </c>
      <c r="P106" s="138" t="s">
        <v>988</v>
      </c>
      <c r="Q106" s="138" t="s">
        <v>1</v>
      </c>
      <c r="R106" s="138" t="s">
        <v>989</v>
      </c>
      <c r="S106" s="138" t="s">
        <v>126</v>
      </c>
      <c r="T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Not started</v>
      </c>
      <c r="U106" s="146" t="str">
        <f>IF(OR(LEFT(A106,9)="OPERATOR-",LEFT(A106,8)="PAYMENT-",LEFT(A106,7)="DEPLOY-"),"External","Core")</f>
        <v>Core</v>
      </c>
    </row>
    <row r="107" customFormat="false" ht="15" hidden="false" customHeight="false" outlineLevel="0" collapsed="false">
      <c r="A107" s="136" t="s">
        <v>990</v>
      </c>
      <c r="B107" s="136" t="s">
        <v>170</v>
      </c>
      <c r="C107" s="255" t="s">
        <v>51</v>
      </c>
      <c r="D107" s="136" t="s">
        <v>991</v>
      </c>
      <c r="E107" s="136" t="s">
        <v>992</v>
      </c>
      <c r="F107" s="136" t="s">
        <v>993</v>
      </c>
      <c r="G107" s="136" t="s">
        <v>994</v>
      </c>
      <c r="H107" s="136" t="s">
        <v>995</v>
      </c>
      <c r="I107" s="136" t="s">
        <v>996</v>
      </c>
      <c r="J107" s="136" t="s">
        <v>997</v>
      </c>
      <c r="K107" s="136" t="s">
        <v>998</v>
      </c>
      <c r="L107" s="136" t="s">
        <v>1</v>
      </c>
      <c r="M107" s="136" t="s">
        <v>1</v>
      </c>
      <c r="N107" s="136" t="s">
        <v>204</v>
      </c>
      <c r="O107" s="136" t="s">
        <v>999</v>
      </c>
      <c r="P107" s="136" t="s">
        <v>1000</v>
      </c>
      <c r="Q107" s="136" t="s">
        <v>1001</v>
      </c>
      <c r="R107" s="136" t="s">
        <v>1002</v>
      </c>
      <c r="S107" s="136" t="s">
        <v>275</v>
      </c>
      <c r="T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Pending</v>
      </c>
      <c r="U107" s="146" t="str">
        <f>IF(OR(LEFT(A107,9)="OPERATOR-",LEFT(A107,8)="PAYMENT-",LEFT(A107,7)="DEPLOY-"),"External","Core")</f>
        <v>Core</v>
      </c>
    </row>
    <row r="108" customFormat="false" ht="15" hidden="false" customHeight="false" outlineLevel="0" collapsed="false">
      <c r="A108" s="136" t="s">
        <v>1003</v>
      </c>
      <c r="B108" s="136" t="s">
        <v>184</v>
      </c>
      <c r="C108" s="255" t="s">
        <v>51</v>
      </c>
      <c r="D108" s="136" t="s">
        <v>1004</v>
      </c>
      <c r="E108" s="136" t="s">
        <v>1005</v>
      </c>
      <c r="F108" s="136" t="s">
        <v>4</v>
      </c>
      <c r="G108" s="136" t="s">
        <v>1006</v>
      </c>
      <c r="H108" s="136" t="s">
        <v>4</v>
      </c>
      <c r="I108" s="136" t="s">
        <v>8</v>
      </c>
      <c r="J108" s="136" t="s">
        <v>1007</v>
      </c>
      <c r="K108" s="136" t="s">
        <v>1008</v>
      </c>
      <c r="L108" s="136" t="s">
        <v>1</v>
      </c>
      <c r="M108" s="136" t="s">
        <v>1</v>
      </c>
      <c r="N108" s="136" t="s">
        <v>1009</v>
      </c>
      <c r="O108" s="136" t="s">
        <v>1010</v>
      </c>
      <c r="P108" s="136" t="s">
        <v>1011</v>
      </c>
      <c r="Q108" s="136" t="s">
        <v>1001</v>
      </c>
      <c r="R108" s="136" t="s">
        <v>1012</v>
      </c>
      <c r="S108" s="136" t="s">
        <v>832</v>
      </c>
      <c r="T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Pending</v>
      </c>
      <c r="U108" s="146" t="str">
        <f>IF(OR(LEFT(A108,9)="OPERATOR-",LEFT(A108,8)="PAYMENT-",LEFT(A108,7)="DEPLOY-"),"External","Core")</f>
        <v>Core</v>
      </c>
    </row>
    <row r="109" customFormat="false" ht="15" hidden="false" customHeight="false" outlineLevel="0" collapsed="false">
      <c r="A109" s="136" t="s">
        <v>1013</v>
      </c>
      <c r="B109" s="136" t="s">
        <v>170</v>
      </c>
      <c r="C109" s="255" t="s">
        <v>51</v>
      </c>
      <c r="D109" s="136" t="s">
        <v>1014</v>
      </c>
      <c r="E109" s="136" t="s">
        <v>1015</v>
      </c>
      <c r="F109" s="136" t="s">
        <v>1016</v>
      </c>
      <c r="G109" s="136" t="s">
        <v>1017</v>
      </c>
      <c r="H109" s="136" t="s">
        <v>4</v>
      </c>
      <c r="I109" s="136" t="s">
        <v>1018</v>
      </c>
      <c r="J109" s="136" t="s">
        <v>1019</v>
      </c>
      <c r="K109" s="136" t="s">
        <v>998</v>
      </c>
      <c r="L109" s="136" t="s">
        <v>1</v>
      </c>
      <c r="M109" s="136" t="s">
        <v>1</v>
      </c>
      <c r="N109" s="136" t="s">
        <v>204</v>
      </c>
      <c r="O109" s="136" t="s">
        <v>1020</v>
      </c>
      <c r="P109" s="136" t="s">
        <v>1021</v>
      </c>
      <c r="Q109" s="136" t="s">
        <v>1001</v>
      </c>
      <c r="R109" s="136" t="s">
        <v>1022</v>
      </c>
      <c r="S109" s="136" t="s">
        <v>343</v>
      </c>
      <c r="T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Pending</v>
      </c>
      <c r="U109" s="146" t="str">
        <f>IF(OR(LEFT(A109,9)="OPERATOR-",LEFT(A109,8)="PAYMENT-",LEFT(A109,7)="DEPLOY-"),"External","Core")</f>
        <v>Core</v>
      </c>
    </row>
    <row r="110" customFormat="false" ht="15" hidden="false" customHeight="false" outlineLevel="0" collapsed="false">
      <c r="A110" s="138" t="s">
        <v>1023</v>
      </c>
      <c r="B110" s="138" t="s">
        <v>170</v>
      </c>
      <c r="C110" s="262" t="s">
        <v>60</v>
      </c>
      <c r="D110" s="138" t="s">
        <v>1024</v>
      </c>
      <c r="E110" s="138" t="s">
        <v>1025</v>
      </c>
      <c r="F110" s="138" t="s">
        <v>1026</v>
      </c>
      <c r="G110" s="138" t="s">
        <v>1027</v>
      </c>
      <c r="H110" s="138" t="s">
        <v>4</v>
      </c>
      <c r="I110" s="138" t="s">
        <v>1028</v>
      </c>
      <c r="J110" s="138" t="s">
        <v>1029</v>
      </c>
      <c r="K110" s="138" t="s">
        <v>492</v>
      </c>
      <c r="L110" s="138" t="s">
        <v>1</v>
      </c>
      <c r="M110" s="138" t="s">
        <v>1</v>
      </c>
      <c r="N110" s="138" t="s">
        <v>1</v>
      </c>
      <c r="O110" s="138" t="s">
        <v>1030</v>
      </c>
      <c r="P110" s="138" t="s">
        <v>1031</v>
      </c>
      <c r="Q110" s="138" t="s">
        <v>1</v>
      </c>
      <c r="R110" s="138" t="s">
        <v>1032</v>
      </c>
      <c r="S110" s="138" t="s">
        <v>103</v>
      </c>
      <c r="T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Not started</v>
      </c>
      <c r="U110" s="146" t="str">
        <f>IF(OR(LEFT(A110,9)="OPERATOR-",LEFT(A110,8)="PAYMENT-",LEFT(A110,7)="DEPLOY-"),"External","Core")</f>
        <v>Core</v>
      </c>
    </row>
    <row r="111" customFormat="false" ht="15" hidden="false" customHeight="false" outlineLevel="0" collapsed="false">
      <c r="A111" s="136" t="s">
        <v>1033</v>
      </c>
      <c r="B111" s="136" t="s">
        <v>1034</v>
      </c>
      <c r="C111" s="262" t="s">
        <v>60</v>
      </c>
      <c r="D111" s="136" t="s">
        <v>1035</v>
      </c>
      <c r="E111" s="136" t="s">
        <v>1036</v>
      </c>
      <c r="F111" s="136" t="s">
        <v>4</v>
      </c>
      <c r="G111" s="136" t="s">
        <v>4</v>
      </c>
      <c r="H111" s="136" t="s">
        <v>4</v>
      </c>
      <c r="I111" s="136" t="s">
        <v>1037</v>
      </c>
      <c r="J111" s="136" t="s">
        <v>1038</v>
      </c>
      <c r="K111" s="136" t="s">
        <v>1039</v>
      </c>
      <c r="L111" s="136" t="s">
        <v>1</v>
      </c>
      <c r="M111" s="136" t="s">
        <v>1</v>
      </c>
      <c r="N111" s="136" t="s">
        <v>204</v>
      </c>
      <c r="O111" s="136" t="s">
        <v>1040</v>
      </c>
      <c r="P111" s="136" t="s">
        <v>1041</v>
      </c>
      <c r="Q111" s="136" t="s">
        <v>1042</v>
      </c>
      <c r="R111" s="136" t="s">
        <v>1043</v>
      </c>
      <c r="S111" s="136" t="s">
        <v>1044</v>
      </c>
      <c r="T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Pending</v>
      </c>
      <c r="U111" s="146" t="str">
        <f>IF(OR(LEFT(A111,9)="OPERATOR-",LEFT(A111,8)="PAYMENT-",LEFT(A111,7)="DEPLOY-"),"External","Core")</f>
        <v>Core</v>
      </c>
    </row>
    <row r="112" customFormat="false" ht="15" hidden="false" customHeight="false" outlineLevel="0" collapsed="false">
      <c r="A112" s="135" t="s">
        <v>1045</v>
      </c>
      <c r="B112" s="135" t="s">
        <v>1046</v>
      </c>
      <c r="C112" s="263" t="s">
        <v>66</v>
      </c>
      <c r="D112" s="135" t="s">
        <v>74</v>
      </c>
      <c r="E112" s="135" t="s">
        <v>1047</v>
      </c>
      <c r="F112" s="135" t="s">
        <v>1048</v>
      </c>
      <c r="G112" s="135" t="s">
        <v>4</v>
      </c>
      <c r="H112" s="135" t="s">
        <v>4</v>
      </c>
      <c r="I112" s="135" t="s">
        <v>4</v>
      </c>
      <c r="J112" s="135" t="s">
        <v>4</v>
      </c>
      <c r="K112" s="135" t="s">
        <v>689</v>
      </c>
      <c r="L112" s="135" t="s">
        <v>1</v>
      </c>
      <c r="M112" s="135" t="s">
        <v>1</v>
      </c>
      <c r="N112" s="135" t="s">
        <v>204</v>
      </c>
      <c r="O112" s="135" t="s">
        <v>1049</v>
      </c>
      <c r="P112" s="135" t="s">
        <v>1050</v>
      </c>
      <c r="Q112" s="135" t="s">
        <v>101</v>
      </c>
      <c r="R112" s="135" t="s">
        <v>1051</v>
      </c>
      <c r="S112" s="135" t="s">
        <v>1052</v>
      </c>
      <c r="T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U112" s="146" t="str">
        <f>IF(OR(LEFT(A112,9)="OPERATOR-",LEFT(A112,8)="PAYMENT-",LEFT(A112,7)="DEPLOY-"),"External","Core")</f>
        <v>Core</v>
      </c>
    </row>
    <row r="113" customFormat="false" ht="15" hidden="false" customHeight="false" outlineLevel="0" collapsed="false">
      <c r="A113" s="138" t="s">
        <v>1053</v>
      </c>
      <c r="B113" s="138" t="s">
        <v>170</v>
      </c>
      <c r="C113" s="263" t="s">
        <v>66</v>
      </c>
      <c r="D113" s="138" t="s">
        <v>1054</v>
      </c>
      <c r="E113" s="138" t="s">
        <v>1055</v>
      </c>
      <c r="F113" s="138" t="s">
        <v>1056</v>
      </c>
      <c r="G113" s="138" t="s">
        <v>1057</v>
      </c>
      <c r="H113" s="138" t="s">
        <v>1058</v>
      </c>
      <c r="I113" s="138" t="s">
        <v>1059</v>
      </c>
      <c r="J113" s="138" t="s">
        <v>1060</v>
      </c>
      <c r="K113" s="138" t="s">
        <v>492</v>
      </c>
      <c r="L113" s="138" t="s">
        <v>1</v>
      </c>
      <c r="M113" s="138" t="s">
        <v>1</v>
      </c>
      <c r="N113" s="138" t="s">
        <v>1</v>
      </c>
      <c r="O113" s="138" t="s">
        <v>1061</v>
      </c>
      <c r="P113" s="138" t="s">
        <v>1062</v>
      </c>
      <c r="Q113" s="138" t="s">
        <v>1</v>
      </c>
      <c r="R113" s="138" t="s">
        <v>1063</v>
      </c>
      <c r="S113" s="138" t="s">
        <v>263</v>
      </c>
      <c r="T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Not started</v>
      </c>
      <c r="U113" s="146" t="str">
        <f>IF(OR(LEFT(A113,9)="OPERATOR-",LEFT(A113,8)="PAYMENT-",LEFT(A113,7)="DEPLOY-"),"External","Core")</f>
        <v>Core</v>
      </c>
    </row>
    <row r="114" customFormat="false" ht="15" hidden="false" customHeight="false" outlineLevel="0" collapsed="false">
      <c r="A114" s="136" t="s">
        <v>1064</v>
      </c>
      <c r="B114" s="136" t="s">
        <v>170</v>
      </c>
      <c r="C114" s="263" t="s">
        <v>66</v>
      </c>
      <c r="D114" s="136" t="s">
        <v>1065</v>
      </c>
      <c r="E114" s="136" t="s">
        <v>1066</v>
      </c>
      <c r="F114" s="136" t="s">
        <v>1067</v>
      </c>
      <c r="G114" s="136" t="s">
        <v>1068</v>
      </c>
      <c r="H114" s="136" t="s">
        <v>1069</v>
      </c>
      <c r="I114" s="136" t="s">
        <v>1070</v>
      </c>
      <c r="J114" s="136" t="s">
        <v>1071</v>
      </c>
      <c r="K114" s="136" t="s">
        <v>998</v>
      </c>
      <c r="L114" s="136" t="s">
        <v>1</v>
      </c>
      <c r="M114" s="136" t="s">
        <v>1</v>
      </c>
      <c r="N114" s="136" t="s">
        <v>204</v>
      </c>
      <c r="O114" s="136" t="s">
        <v>1072</v>
      </c>
      <c r="P114" s="136" t="s">
        <v>1073</v>
      </c>
      <c r="Q114" s="136" t="s">
        <v>1001</v>
      </c>
      <c r="R114" s="136" t="s">
        <v>1074</v>
      </c>
      <c r="S114" s="136" t="s">
        <v>1075</v>
      </c>
      <c r="T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Pending</v>
      </c>
      <c r="U114" s="146" t="str">
        <f>IF(OR(LEFT(A114,9)="OPERATOR-",LEFT(A114,8)="PAYMENT-",LEFT(A114,7)="DEPLOY-"),"External","Core")</f>
        <v>Core</v>
      </c>
    </row>
    <row r="115" customFormat="false" ht="15" hidden="false" customHeight="false" outlineLevel="0" collapsed="false">
      <c r="A115" s="138" t="s">
        <v>1076</v>
      </c>
      <c r="B115" s="138" t="s">
        <v>170</v>
      </c>
      <c r="C115" s="263" t="s">
        <v>66</v>
      </c>
      <c r="D115" s="138" t="s">
        <v>1077</v>
      </c>
      <c r="E115" s="138" t="s">
        <v>1078</v>
      </c>
      <c r="F115" s="138" t="s">
        <v>1079</v>
      </c>
      <c r="G115" s="138" t="s">
        <v>1080</v>
      </c>
      <c r="H115" s="138" t="s">
        <v>1081</v>
      </c>
      <c r="I115" s="138" t="s">
        <v>1082</v>
      </c>
      <c r="J115" s="138" t="s">
        <v>1083</v>
      </c>
      <c r="K115" s="138" t="s">
        <v>492</v>
      </c>
      <c r="L115" s="138" t="s">
        <v>1</v>
      </c>
      <c r="M115" s="138" t="s">
        <v>1</v>
      </c>
      <c r="N115" s="138" t="s">
        <v>1</v>
      </c>
      <c r="O115" s="138" t="s">
        <v>1084</v>
      </c>
      <c r="P115" s="138" t="s">
        <v>1085</v>
      </c>
      <c r="Q115" s="138" t="s">
        <v>1</v>
      </c>
      <c r="R115" s="138" t="s">
        <v>1086</v>
      </c>
      <c r="S115" s="138" t="s">
        <v>1087</v>
      </c>
      <c r="T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Not started</v>
      </c>
      <c r="U115" s="146" t="str">
        <f>IF(OR(LEFT(A115,9)="OPERATOR-",LEFT(A115,8)="PAYMENT-",LEFT(A115,7)="DEPLOY-"),"External","Core")</f>
        <v>Core</v>
      </c>
    </row>
    <row r="116" customFormat="false" ht="15" hidden="false" customHeight="false" outlineLevel="0" collapsed="false">
      <c r="A116" s="243" t="s">
        <v>1088</v>
      </c>
      <c r="B116" s="243" t="s">
        <v>170</v>
      </c>
      <c r="C116" s="243" t="s">
        <v>36</v>
      </c>
      <c r="D116" s="243" t="s">
        <v>1089</v>
      </c>
      <c r="E116" s="243" t="s">
        <v>1090</v>
      </c>
      <c r="F116" s="243" t="s">
        <v>4</v>
      </c>
      <c r="G116" s="243" t="s">
        <v>1091</v>
      </c>
      <c r="H116" s="243" t="s">
        <v>4</v>
      </c>
      <c r="I116" s="243" t="s">
        <v>1092</v>
      </c>
      <c r="J116" s="243" t="s">
        <v>1093</v>
      </c>
      <c r="K116" s="243" t="s">
        <v>492</v>
      </c>
      <c r="L116" s="243" t="s">
        <v>1</v>
      </c>
      <c r="M116" s="243" t="s">
        <v>1</v>
      </c>
      <c r="N116" s="243" t="s">
        <v>1</v>
      </c>
      <c r="O116" s="243" t="s">
        <v>1094</v>
      </c>
      <c r="P116" s="243" t="s">
        <v>1095</v>
      </c>
      <c r="Q116" s="243" t="s">
        <v>1</v>
      </c>
      <c r="R116" s="243" t="s">
        <v>1096</v>
      </c>
      <c r="S116" s="243" t="s">
        <v>103</v>
      </c>
      <c r="T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Not started</v>
      </c>
      <c r="U116" s="146" t="str">
        <f>IF(OR(LEFT(A116,9)="OPERATOR-",LEFT(A116,8)="PAYMENT-",LEFT(A116,7)="DEPLOY-"),"External","Core")</f>
        <v>External</v>
      </c>
    </row>
    <row r="117" customFormat="false" ht="15" hidden="false" customHeight="false" outlineLevel="0" collapsed="false">
      <c r="A117" s="243" t="s">
        <v>1097</v>
      </c>
      <c r="B117" s="243" t="s">
        <v>170</v>
      </c>
      <c r="C117" s="243" t="s">
        <v>36</v>
      </c>
      <c r="D117" s="243" t="s">
        <v>1098</v>
      </c>
      <c r="E117" s="243" t="s">
        <v>1099</v>
      </c>
      <c r="F117" s="243" t="s">
        <v>4</v>
      </c>
      <c r="G117" s="243" t="s">
        <v>1100</v>
      </c>
      <c r="H117" s="243" t="s">
        <v>4</v>
      </c>
      <c r="I117" s="243" t="s">
        <v>1101</v>
      </c>
      <c r="J117" s="243" t="s">
        <v>1102</v>
      </c>
      <c r="K117" s="243" t="s">
        <v>492</v>
      </c>
      <c r="L117" s="243" t="s">
        <v>1</v>
      </c>
      <c r="M117" s="243" t="s">
        <v>1</v>
      </c>
      <c r="N117" s="243" t="s">
        <v>1</v>
      </c>
      <c r="O117" s="243" t="s">
        <v>1103</v>
      </c>
      <c r="P117" s="243" t="s">
        <v>1104</v>
      </c>
      <c r="Q117" s="243" t="s">
        <v>1</v>
      </c>
      <c r="R117" s="243" t="s">
        <v>1105</v>
      </c>
      <c r="S117" s="243" t="s">
        <v>103</v>
      </c>
      <c r="T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Not started</v>
      </c>
      <c r="U117" s="146" t="str">
        <f>IF(OR(LEFT(A117,9)="OPERATOR-",LEFT(A117,8)="PAYMENT-",LEFT(A117,7)="DEPLOY-"),"External","Core")</f>
        <v>External</v>
      </c>
    </row>
    <row r="118" customFormat="false" ht="15" hidden="false" customHeight="false" outlineLevel="0" collapsed="false">
      <c r="A118" s="243" t="s">
        <v>1106</v>
      </c>
      <c r="B118" s="243" t="s">
        <v>170</v>
      </c>
      <c r="C118" s="243" t="s">
        <v>36</v>
      </c>
      <c r="D118" s="243" t="s">
        <v>1107</v>
      </c>
      <c r="E118" s="243" t="s">
        <v>1108</v>
      </c>
      <c r="F118" s="243" t="s">
        <v>4</v>
      </c>
      <c r="G118" s="243" t="s">
        <v>1109</v>
      </c>
      <c r="H118" s="243" t="s">
        <v>4</v>
      </c>
      <c r="I118" s="243" t="s">
        <v>4</v>
      </c>
      <c r="J118" s="243" t="s">
        <v>1110</v>
      </c>
      <c r="K118" s="243" t="s">
        <v>492</v>
      </c>
      <c r="L118" s="243" t="s">
        <v>1</v>
      </c>
      <c r="M118" s="243" t="s">
        <v>1</v>
      </c>
      <c r="N118" s="243" t="s">
        <v>1</v>
      </c>
      <c r="O118" s="243" t="s">
        <v>1111</v>
      </c>
      <c r="P118" s="243" t="s">
        <v>1112</v>
      </c>
      <c r="Q118" s="243" t="s">
        <v>1</v>
      </c>
      <c r="R118" s="243" t="s">
        <v>1113</v>
      </c>
      <c r="S118" s="243" t="s">
        <v>126</v>
      </c>
      <c r="T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Not started</v>
      </c>
      <c r="U118" s="146" t="str">
        <f>IF(OR(LEFT(A118,9)="OPERATOR-",LEFT(A118,8)="PAYMENT-",LEFT(A118,7)="DEPLOY-"),"External","Core")</f>
        <v>External</v>
      </c>
    </row>
    <row r="119" customFormat="false" ht="15" hidden="false" customHeight="false" outlineLevel="0" collapsed="false">
      <c r="A119" s="243" t="s">
        <v>1114</v>
      </c>
      <c r="B119" s="243" t="s">
        <v>170</v>
      </c>
      <c r="C119" s="243" t="s">
        <v>36</v>
      </c>
      <c r="D119" s="243" t="s">
        <v>1115</v>
      </c>
      <c r="E119" s="243" t="s">
        <v>1116</v>
      </c>
      <c r="F119" s="243" t="s">
        <v>1117</v>
      </c>
      <c r="G119" s="243" t="s">
        <v>1118</v>
      </c>
      <c r="H119" s="243" t="s">
        <v>4</v>
      </c>
      <c r="I119" s="243" t="s">
        <v>1119</v>
      </c>
      <c r="J119" s="243" t="s">
        <v>1120</v>
      </c>
      <c r="K119" s="243" t="s">
        <v>492</v>
      </c>
      <c r="L119" s="243" t="s">
        <v>1</v>
      </c>
      <c r="M119" s="243" t="s">
        <v>1</v>
      </c>
      <c r="N119" s="243" t="s">
        <v>1</v>
      </c>
      <c r="O119" s="243" t="s">
        <v>1121</v>
      </c>
      <c r="P119" s="243" t="s">
        <v>1122</v>
      </c>
      <c r="Q119" s="243" t="s">
        <v>1</v>
      </c>
      <c r="R119" s="243" t="s">
        <v>1123</v>
      </c>
      <c r="S119" s="243" t="s">
        <v>103</v>
      </c>
      <c r="T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Not started</v>
      </c>
      <c r="U119" s="146" t="str">
        <f>IF(OR(LEFT(A119,9)="OPERATOR-",LEFT(A119,8)="PAYMENT-",LEFT(A119,7)="DEPLOY-"),"External","Core")</f>
        <v>External</v>
      </c>
    </row>
    <row r="120" customFormat="false" ht="15" hidden="false" customHeight="false" outlineLevel="0" collapsed="false">
      <c r="A120" s="243" t="s">
        <v>1124</v>
      </c>
      <c r="B120" s="243" t="s">
        <v>170</v>
      </c>
      <c r="C120" s="243" t="s">
        <v>36</v>
      </c>
      <c r="D120" s="243" t="s">
        <v>1125</v>
      </c>
      <c r="E120" s="243" t="s">
        <v>1126</v>
      </c>
      <c r="F120" s="243" t="s">
        <v>1127</v>
      </c>
      <c r="G120" s="243" t="s">
        <v>1128</v>
      </c>
      <c r="H120" s="243" t="s">
        <v>1129</v>
      </c>
      <c r="I120" s="243" t="s">
        <v>1130</v>
      </c>
      <c r="J120" s="243" t="s">
        <v>1131</v>
      </c>
      <c r="K120" s="243" t="s">
        <v>492</v>
      </c>
      <c r="L120" s="243" t="s">
        <v>1</v>
      </c>
      <c r="M120" s="243" t="s">
        <v>1</v>
      </c>
      <c r="N120" s="243" t="s">
        <v>1</v>
      </c>
      <c r="O120" s="243" t="s">
        <v>1132</v>
      </c>
      <c r="P120" s="243" t="s">
        <v>1133</v>
      </c>
      <c r="Q120" s="243" t="s">
        <v>1</v>
      </c>
      <c r="R120" s="243" t="s">
        <v>1134</v>
      </c>
      <c r="S120" s="243" t="s">
        <v>742</v>
      </c>
      <c r="T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Not started</v>
      </c>
      <c r="U120" s="146" t="str">
        <f>IF(OR(LEFT(A120,9)="OPERATOR-",LEFT(A120,8)="PAYMENT-",LEFT(A120,7)="DEPLOY-"),"External","Core")</f>
        <v>External</v>
      </c>
    </row>
    <row r="121" customFormat="false" ht="15" hidden="false" customHeight="false" outlineLevel="0" collapsed="false">
      <c r="A121" s="243" t="s">
        <v>1135</v>
      </c>
      <c r="B121" s="243" t="s">
        <v>170</v>
      </c>
      <c r="C121" s="243" t="s">
        <v>36</v>
      </c>
      <c r="D121" s="243" t="s">
        <v>1136</v>
      </c>
      <c r="E121" s="243" t="s">
        <v>1137</v>
      </c>
      <c r="F121" s="243" t="s">
        <v>4</v>
      </c>
      <c r="G121" s="243" t="s">
        <v>1138</v>
      </c>
      <c r="H121" s="243" t="s">
        <v>4</v>
      </c>
      <c r="I121" s="243" t="s">
        <v>1139</v>
      </c>
      <c r="J121" s="243" t="s">
        <v>1140</v>
      </c>
      <c r="K121" s="243" t="s">
        <v>492</v>
      </c>
      <c r="L121" s="243" t="s">
        <v>1</v>
      </c>
      <c r="M121" s="243" t="s">
        <v>1</v>
      </c>
      <c r="N121" s="243" t="s">
        <v>1</v>
      </c>
      <c r="O121" s="243" t="s">
        <v>1141</v>
      </c>
      <c r="P121" s="243" t="s">
        <v>1142</v>
      </c>
      <c r="Q121" s="243" t="s">
        <v>1</v>
      </c>
      <c r="R121" s="243" t="s">
        <v>1143</v>
      </c>
      <c r="S121" s="243" t="s">
        <v>103</v>
      </c>
      <c r="T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Not started</v>
      </c>
      <c r="U121" s="146" t="str">
        <f>IF(OR(LEFT(A121,9)="OPERATOR-",LEFT(A121,8)="PAYMENT-",LEFT(A121,7)="DEPLOY-"),"External","Core")</f>
        <v>External</v>
      </c>
    </row>
    <row r="122" customFormat="false" ht="15" hidden="false" customHeight="false" outlineLevel="0" collapsed="false">
      <c r="A122" s="243" t="s">
        <v>1144</v>
      </c>
      <c r="B122" s="243" t="s">
        <v>170</v>
      </c>
      <c r="C122" s="243" t="s">
        <v>36</v>
      </c>
      <c r="D122" s="243" t="s">
        <v>1145</v>
      </c>
      <c r="E122" s="243" t="s">
        <v>1146</v>
      </c>
      <c r="F122" s="243" t="s">
        <v>4</v>
      </c>
      <c r="G122" s="243" t="s">
        <v>1147</v>
      </c>
      <c r="H122" s="243" t="s">
        <v>4</v>
      </c>
      <c r="I122" s="243" t="s">
        <v>1148</v>
      </c>
      <c r="J122" s="243" t="s">
        <v>1149</v>
      </c>
      <c r="K122" s="243" t="s">
        <v>492</v>
      </c>
      <c r="L122" s="243" t="s">
        <v>1</v>
      </c>
      <c r="M122" s="243" t="s">
        <v>1</v>
      </c>
      <c r="N122" s="243" t="s">
        <v>1</v>
      </c>
      <c r="O122" s="243" t="s">
        <v>1150</v>
      </c>
      <c r="P122" s="243" t="s">
        <v>1151</v>
      </c>
      <c r="Q122" s="243" t="s">
        <v>1</v>
      </c>
      <c r="R122" s="243" t="s">
        <v>1152</v>
      </c>
      <c r="S122" s="243" t="s">
        <v>126</v>
      </c>
      <c r="T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Not started</v>
      </c>
      <c r="U122" s="146" t="str">
        <f>IF(OR(LEFT(A122,9)="OPERATOR-",LEFT(A122,8)="PAYMENT-",LEFT(A122,7)="DEPLOY-"),"External","Core")</f>
        <v>External</v>
      </c>
    </row>
    <row r="123" customFormat="false" ht="15" hidden="false" customHeight="false" outlineLevel="0" collapsed="false">
      <c r="A123" s="243" t="s">
        <v>1153</v>
      </c>
      <c r="B123" s="243" t="s">
        <v>170</v>
      </c>
      <c r="C123" s="243" t="s">
        <v>36</v>
      </c>
      <c r="D123" s="243" t="s">
        <v>1154</v>
      </c>
      <c r="E123" s="243" t="s">
        <v>1155</v>
      </c>
      <c r="F123" s="243" t="s">
        <v>1156</v>
      </c>
      <c r="G123" s="243" t="s">
        <v>1157</v>
      </c>
      <c r="H123" s="243" t="s">
        <v>4</v>
      </c>
      <c r="I123" s="243" t="s">
        <v>1158</v>
      </c>
      <c r="J123" s="243" t="s">
        <v>1159</v>
      </c>
      <c r="K123" s="243" t="s">
        <v>492</v>
      </c>
      <c r="L123" s="243" t="s">
        <v>1</v>
      </c>
      <c r="M123" s="243" t="s">
        <v>1</v>
      </c>
      <c r="N123" s="243" t="s">
        <v>1</v>
      </c>
      <c r="O123" s="243" t="s">
        <v>1160</v>
      </c>
      <c r="P123" s="243" t="s">
        <v>1161</v>
      </c>
      <c r="Q123" s="243" t="s">
        <v>1</v>
      </c>
      <c r="R123" s="243" t="s">
        <v>1162</v>
      </c>
      <c r="S123" s="243" t="s">
        <v>979</v>
      </c>
      <c r="T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Not started</v>
      </c>
      <c r="U123" s="146" t="str">
        <f>IF(OR(LEFT(A123,9)="OPERATOR-",LEFT(A123,8)="PAYMENT-",LEFT(A123,7)="DEPLOY-"),"External","Core")</f>
        <v>External</v>
      </c>
    </row>
    <row r="124" customFormat="false" ht="15" hidden="false" customHeight="false" outlineLevel="0" collapsed="false">
      <c r="A124" s="243" t="s">
        <v>1163</v>
      </c>
      <c r="B124" s="243" t="s">
        <v>170</v>
      </c>
      <c r="C124" s="243" t="s">
        <v>36</v>
      </c>
      <c r="D124" s="243" t="s">
        <v>1164</v>
      </c>
      <c r="E124" s="243" t="s">
        <v>1165</v>
      </c>
      <c r="F124" s="243" t="s">
        <v>1166</v>
      </c>
      <c r="G124" s="243" t="s">
        <v>1167</v>
      </c>
      <c r="H124" s="243" t="s">
        <v>1168</v>
      </c>
      <c r="I124" s="243" t="s">
        <v>1169</v>
      </c>
      <c r="J124" s="243" t="s">
        <v>1170</v>
      </c>
      <c r="K124" s="243" t="s">
        <v>492</v>
      </c>
      <c r="L124" s="243" t="s">
        <v>1</v>
      </c>
      <c r="M124" s="243" t="s">
        <v>1</v>
      </c>
      <c r="N124" s="243" t="s">
        <v>1</v>
      </c>
      <c r="O124" s="243" t="s">
        <v>1171</v>
      </c>
      <c r="P124" s="243" t="s">
        <v>1172</v>
      </c>
      <c r="Q124" s="243" t="s">
        <v>1</v>
      </c>
      <c r="R124" s="243" t="s">
        <v>1173</v>
      </c>
      <c r="S124" s="243" t="s">
        <v>742</v>
      </c>
      <c r="T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Not started</v>
      </c>
      <c r="U124" s="146" t="str">
        <f>IF(OR(LEFT(A124,9)="OPERATOR-",LEFT(A124,8)="PAYMENT-",LEFT(A124,7)="DEPLOY-"),"External","Core")</f>
        <v>External</v>
      </c>
    </row>
    <row r="125" customFormat="false" ht="15" hidden="false" customHeight="false" outlineLevel="0" collapsed="false">
      <c r="A125" s="243" t="s">
        <v>1174</v>
      </c>
      <c r="B125" s="243" t="s">
        <v>170</v>
      </c>
      <c r="C125" s="272" t="s">
        <v>45</v>
      </c>
      <c r="D125" s="243" t="s">
        <v>1175</v>
      </c>
      <c r="E125" s="243" t="s">
        <v>1176</v>
      </c>
      <c r="F125" s="243" t="s">
        <v>1177</v>
      </c>
      <c r="G125" s="243" t="s">
        <v>1178</v>
      </c>
      <c r="H125" s="243" t="s">
        <v>4</v>
      </c>
      <c r="I125" s="243" t="s">
        <v>1179</v>
      </c>
      <c r="J125" s="243" t="s">
        <v>1180</v>
      </c>
      <c r="K125" s="243" t="s">
        <v>998</v>
      </c>
      <c r="L125" s="243" t="s">
        <v>1</v>
      </c>
      <c r="M125" s="243" t="s">
        <v>1</v>
      </c>
      <c r="N125" s="243" t="s">
        <v>1</v>
      </c>
      <c r="O125" s="243" t="s">
        <v>1181</v>
      </c>
      <c r="P125" s="243" t="s">
        <v>1182</v>
      </c>
      <c r="Q125" s="243" t="s">
        <v>1001</v>
      </c>
      <c r="R125" s="243" t="s">
        <v>1183</v>
      </c>
      <c r="S125" s="243" t="s">
        <v>103</v>
      </c>
      <c r="T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Pending</v>
      </c>
      <c r="U125" s="146" t="str">
        <f>IF(OR(LEFT(A125,9)="OPERATOR-",LEFT(A125,8)="PAYMENT-",LEFT(A125,7)="DEPLOY-"),"External","Core")</f>
        <v>External</v>
      </c>
    </row>
    <row r="126" customFormat="false" ht="15" hidden="false" customHeight="false" outlineLevel="0" collapsed="false">
      <c r="A126" s="243" t="s">
        <v>1184</v>
      </c>
      <c r="B126" s="243" t="s">
        <v>170</v>
      </c>
      <c r="C126" s="272" t="s">
        <v>45</v>
      </c>
      <c r="D126" s="243" t="s">
        <v>1185</v>
      </c>
      <c r="E126" s="243" t="s">
        <v>1186</v>
      </c>
      <c r="F126" s="243" t="s">
        <v>1187</v>
      </c>
      <c r="G126" s="243" t="s">
        <v>1188</v>
      </c>
      <c r="H126" s="243" t="s">
        <v>4</v>
      </c>
      <c r="I126" s="243" t="s">
        <v>1189</v>
      </c>
      <c r="J126" s="243" t="s">
        <v>1190</v>
      </c>
      <c r="K126" s="243" t="s">
        <v>998</v>
      </c>
      <c r="L126" s="243" t="s">
        <v>1</v>
      </c>
      <c r="M126" s="243" t="s">
        <v>1</v>
      </c>
      <c r="N126" s="243" t="s">
        <v>1</v>
      </c>
      <c r="O126" s="243" t="s">
        <v>1191</v>
      </c>
      <c r="P126" s="243" t="s">
        <v>1192</v>
      </c>
      <c r="Q126" s="243" t="s">
        <v>1001</v>
      </c>
      <c r="R126" s="243" t="s">
        <v>1193</v>
      </c>
      <c r="S126" s="243" t="s">
        <v>103</v>
      </c>
      <c r="T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Pending</v>
      </c>
      <c r="U126" s="146" t="str">
        <f>IF(OR(LEFT(A126,9)="OPERATOR-",LEFT(A126,8)="PAYMENT-",LEFT(A126,7)="DEPLOY-"),"External","Core")</f>
        <v>External</v>
      </c>
    </row>
    <row r="127" customFormat="false" ht="15" hidden="false" customHeight="false" outlineLevel="0" collapsed="false">
      <c r="A127" s="243" t="s">
        <v>1194</v>
      </c>
      <c r="B127" s="243" t="s">
        <v>170</v>
      </c>
      <c r="C127" s="272" t="s">
        <v>45</v>
      </c>
      <c r="D127" s="243" t="s">
        <v>1195</v>
      </c>
      <c r="E127" s="243" t="s">
        <v>1196</v>
      </c>
      <c r="F127" s="243" t="s">
        <v>1197</v>
      </c>
      <c r="G127" s="243" t="s">
        <v>1198</v>
      </c>
      <c r="H127" s="243" t="s">
        <v>4</v>
      </c>
      <c r="I127" s="243" t="s">
        <v>1199</v>
      </c>
      <c r="J127" s="243" t="s">
        <v>1200</v>
      </c>
      <c r="K127" s="243" t="s">
        <v>998</v>
      </c>
      <c r="L127" s="243" t="s">
        <v>1</v>
      </c>
      <c r="M127" s="243" t="s">
        <v>1</v>
      </c>
      <c r="N127" s="243" t="s">
        <v>1</v>
      </c>
      <c r="O127" s="243" t="s">
        <v>1201</v>
      </c>
      <c r="P127" s="243" t="s">
        <v>1202</v>
      </c>
      <c r="Q127" s="243" t="s">
        <v>1001</v>
      </c>
      <c r="R127" s="243" t="s">
        <v>1203</v>
      </c>
      <c r="S127" s="243" t="s">
        <v>343</v>
      </c>
      <c r="T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Pending</v>
      </c>
      <c r="U127" s="146" t="str">
        <f>IF(OR(LEFT(A127,9)="OPERATOR-",LEFT(A127,8)="PAYMENT-",LEFT(A127,7)="DEPLOY-"),"External","Core")</f>
        <v>External</v>
      </c>
    </row>
    <row r="128" customFormat="false" ht="15" hidden="false" customHeight="false" outlineLevel="0" collapsed="false">
      <c r="A128" s="243" t="s">
        <v>1204</v>
      </c>
      <c r="B128" s="243" t="s">
        <v>170</v>
      </c>
      <c r="C128" s="272" t="s">
        <v>45</v>
      </c>
      <c r="D128" s="243" t="s">
        <v>1205</v>
      </c>
      <c r="E128" s="243" t="s">
        <v>1206</v>
      </c>
      <c r="F128" s="243" t="s">
        <v>1207</v>
      </c>
      <c r="G128" s="243" t="s">
        <v>1208</v>
      </c>
      <c r="H128" s="243" t="s">
        <v>4</v>
      </c>
      <c r="I128" s="243" t="s">
        <v>1209</v>
      </c>
      <c r="J128" s="243" t="s">
        <v>1210</v>
      </c>
      <c r="K128" s="243" t="s">
        <v>998</v>
      </c>
      <c r="L128" s="243" t="s">
        <v>1</v>
      </c>
      <c r="M128" s="243" t="s">
        <v>1</v>
      </c>
      <c r="N128" s="243" t="s">
        <v>1</v>
      </c>
      <c r="O128" s="243" t="s">
        <v>1211</v>
      </c>
      <c r="P128" s="243" t="s">
        <v>1212</v>
      </c>
      <c r="Q128" s="243" t="s">
        <v>1001</v>
      </c>
      <c r="R128" s="243" t="s">
        <v>1213</v>
      </c>
      <c r="S128" s="243" t="s">
        <v>103</v>
      </c>
      <c r="T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Pending</v>
      </c>
      <c r="U128" s="146" t="str">
        <f>IF(OR(LEFT(A128,9)="OPERATOR-",LEFT(A128,8)="PAYMENT-",LEFT(A128,7)="DEPLOY-"),"External","Core")</f>
        <v>External</v>
      </c>
    </row>
    <row r="129" customFormat="false" ht="15" hidden="false" customHeight="false" outlineLevel="0" collapsed="false">
      <c r="A129" s="243" t="s">
        <v>1214</v>
      </c>
      <c r="B129" s="243" t="s">
        <v>170</v>
      </c>
      <c r="C129" s="272" t="s">
        <v>45</v>
      </c>
      <c r="D129" s="243" t="s">
        <v>1215</v>
      </c>
      <c r="E129" s="243" t="s">
        <v>1216</v>
      </c>
      <c r="F129" s="243" t="s">
        <v>4</v>
      </c>
      <c r="G129" s="243" t="s">
        <v>1217</v>
      </c>
      <c r="H129" s="243" t="s">
        <v>4</v>
      </c>
      <c r="I129" s="243" t="s">
        <v>4</v>
      </c>
      <c r="J129" s="243" t="s">
        <v>1218</v>
      </c>
      <c r="K129" s="243" t="s">
        <v>998</v>
      </c>
      <c r="L129" s="243" t="s">
        <v>1</v>
      </c>
      <c r="M129" s="243" t="s">
        <v>1</v>
      </c>
      <c r="N129" s="243" t="s">
        <v>1</v>
      </c>
      <c r="O129" s="243" t="s">
        <v>1219</v>
      </c>
      <c r="P129" s="243" t="s">
        <v>1220</v>
      </c>
      <c r="Q129" s="243" t="s">
        <v>1001</v>
      </c>
      <c r="R129" s="243" t="s">
        <v>1221</v>
      </c>
      <c r="S129" s="243" t="s">
        <v>126</v>
      </c>
      <c r="T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Pending</v>
      </c>
      <c r="U129" s="146" t="str">
        <f>IF(OR(LEFT(A129,9)="OPERATOR-",LEFT(A129,8)="PAYMENT-",LEFT(A129,7)="DEPLOY-"),"External","Core")</f>
        <v>External</v>
      </c>
    </row>
    <row r="130" customFormat="false" ht="15" hidden="false" customHeight="false" outlineLevel="0" collapsed="false">
      <c r="A130" s="243" t="s">
        <v>1222</v>
      </c>
      <c r="B130" s="243" t="s">
        <v>170</v>
      </c>
      <c r="C130" s="273" t="s">
        <v>54</v>
      </c>
      <c r="D130" s="243" t="s">
        <v>1223</v>
      </c>
      <c r="E130" s="243" t="s">
        <v>1224</v>
      </c>
      <c r="F130" s="243" t="s">
        <v>1225</v>
      </c>
      <c r="G130" s="243" t="s">
        <v>1226</v>
      </c>
      <c r="H130" s="243" t="s">
        <v>1227</v>
      </c>
      <c r="I130" s="243" t="s">
        <v>1228</v>
      </c>
      <c r="J130" s="243" t="s">
        <v>1229</v>
      </c>
      <c r="K130" s="243" t="s">
        <v>492</v>
      </c>
      <c r="L130" s="243" t="s">
        <v>1</v>
      </c>
      <c r="M130" s="243" t="s">
        <v>1</v>
      </c>
      <c r="N130" s="243" t="s">
        <v>306</v>
      </c>
      <c r="O130" s="243" t="s">
        <v>1230</v>
      </c>
      <c r="P130" s="243" t="s">
        <v>1231</v>
      </c>
      <c r="Q130" s="243" t="s">
        <v>1</v>
      </c>
      <c r="R130" s="243" t="s">
        <v>1232</v>
      </c>
      <c r="S130" s="243" t="s">
        <v>126</v>
      </c>
      <c r="T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Not started</v>
      </c>
      <c r="U130" s="146" t="str">
        <f>IF(OR(LEFT(A130,9)="OPERATOR-",LEFT(A130,8)="PAYMENT-",LEFT(A130,7)="DEPLOY-"),"External","Core")</f>
        <v>External</v>
      </c>
    </row>
    <row r="131" customFormat="false" ht="15" hidden="false" customHeight="false" outlineLevel="0" collapsed="false">
      <c r="A131" s="243" t="s">
        <v>1233</v>
      </c>
      <c r="B131" s="243" t="s">
        <v>170</v>
      </c>
      <c r="C131" s="273" t="s">
        <v>54</v>
      </c>
      <c r="D131" s="243" t="s">
        <v>1234</v>
      </c>
      <c r="E131" s="243" t="s">
        <v>1235</v>
      </c>
      <c r="F131" s="243" t="s">
        <v>1236</v>
      </c>
      <c r="G131" s="243" t="s">
        <v>1237</v>
      </c>
      <c r="H131" s="243" t="s">
        <v>4</v>
      </c>
      <c r="I131" s="243" t="s">
        <v>1238</v>
      </c>
      <c r="J131" s="243" t="s">
        <v>1239</v>
      </c>
      <c r="K131" s="243" t="s">
        <v>492</v>
      </c>
      <c r="L131" s="243" t="s">
        <v>1</v>
      </c>
      <c r="M131" s="243" t="s">
        <v>1</v>
      </c>
      <c r="N131" s="243" t="s">
        <v>1</v>
      </c>
      <c r="O131" s="243" t="s">
        <v>1240</v>
      </c>
      <c r="P131" s="243" t="s">
        <v>1241</v>
      </c>
      <c r="Q131" s="243" t="s">
        <v>1</v>
      </c>
      <c r="R131" s="243" t="s">
        <v>1242</v>
      </c>
      <c r="S131" s="243" t="s">
        <v>103</v>
      </c>
      <c r="T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Not started</v>
      </c>
      <c r="U131" s="146" t="str">
        <f>IF(OR(LEFT(A131,9)="OPERATOR-",LEFT(A131,8)="PAYMENT-",LEFT(A131,7)="DEPLOY-"),"External","Core")</f>
        <v>External</v>
      </c>
    </row>
    <row r="132" customFormat="false" ht="15" hidden="false" customHeight="false" outlineLevel="0" collapsed="false">
      <c r="A132" s="243" t="s">
        <v>1243</v>
      </c>
      <c r="B132" s="243" t="s">
        <v>170</v>
      </c>
      <c r="C132" s="273" t="s">
        <v>54</v>
      </c>
      <c r="D132" s="243" t="s">
        <v>1244</v>
      </c>
      <c r="E132" s="243" t="s">
        <v>1245</v>
      </c>
      <c r="F132" s="243" t="s">
        <v>4</v>
      </c>
      <c r="G132" s="243" t="s">
        <v>1246</v>
      </c>
      <c r="H132" s="243" t="s">
        <v>4</v>
      </c>
      <c r="I132" s="243" t="s">
        <v>4</v>
      </c>
      <c r="J132" s="243" t="s">
        <v>1247</v>
      </c>
      <c r="K132" s="243" t="s">
        <v>492</v>
      </c>
      <c r="L132" s="243" t="s">
        <v>1</v>
      </c>
      <c r="M132" s="243" t="s">
        <v>1</v>
      </c>
      <c r="N132" s="243" t="s">
        <v>1</v>
      </c>
      <c r="O132" s="243" t="s">
        <v>1248</v>
      </c>
      <c r="P132" s="243" t="s">
        <v>1249</v>
      </c>
      <c r="Q132" s="243" t="s">
        <v>1</v>
      </c>
      <c r="R132" s="243" t="s">
        <v>1250</v>
      </c>
      <c r="S132" s="243" t="s">
        <v>103</v>
      </c>
      <c r="T132" s="146" t="str">
        <f>IF(OR(ISNUMBER(SEARCH("FAIL",K132&amp;" "&amp;Q132)),ISNUMBER(SEARCH("CLEAN RETEST REQUIRED",K132&amp;" "&amp;Q132))),"Failed",IF(OR(ISNUMBER(SEARCH("NOT RUN",K132&amp;" "&amp;Q132)),ISNUMBER(SEARCH("NOT IMPLEMENTED",K132&amp;" "&amp;Q132))),"Not started",IF(OR(ISNUMBER(SEARCH("PARTIAL",K132&amp;" "&amp;Q132)),ISNUMBER(SEARCH("PENDING",K132&amp;" "&amp;Q132)),ISNUMBER(SEARCH("IN PROGRESS",K132&amp;" "&amp;Q132)),ISNUMBER(SEARCH("OPEN",K132&amp;" "&amp;Q132)),ISNUMBER(SEARCH("RETEST REQUIRED",K132&amp;" "&amp;Q132)),ISNUMBER(SEARCH("IMPLEMENTATION UPDATED",K132&amp;" "&amp;Q132)),ISNUMBER(SEARCH("REQUIRED EVERY SESSION",K132&amp;" "&amp;Q132))),"Pending",IF(OR(Q132="PASS",ISNUMBER(SEARCH("PASS",K132&amp;" "&amp;Q132))),"Done","Pending"))))</f>
        <v>Not started</v>
      </c>
      <c r="U132" s="146" t="str">
        <f>IF(OR(LEFT(A132,9)="OPERATOR-",LEFT(A132,8)="PAYMENT-",LEFT(A132,7)="DEPLOY-"),"External","Core")</f>
        <v>External</v>
      </c>
    </row>
    <row r="133" customFormat="false" ht="15" hidden="false" customHeight="false" outlineLevel="0" collapsed="false">
      <c r="A133" s="243" t="s">
        <v>1251</v>
      </c>
      <c r="B133" s="243" t="s">
        <v>1252</v>
      </c>
      <c r="C133" s="273" t="s">
        <v>54</v>
      </c>
      <c r="D133" s="243" t="s">
        <v>1253</v>
      </c>
      <c r="E133" s="243" t="s">
        <v>1254</v>
      </c>
      <c r="F133" s="243" t="s">
        <v>1255</v>
      </c>
      <c r="G133" s="243" t="s">
        <v>1256</v>
      </c>
      <c r="H133" s="243" t="s">
        <v>4</v>
      </c>
      <c r="I133" s="243" t="s">
        <v>1257</v>
      </c>
      <c r="J133" s="243" t="s">
        <v>1258</v>
      </c>
      <c r="K133" s="243" t="s">
        <v>492</v>
      </c>
      <c r="L133" s="243" t="s">
        <v>1</v>
      </c>
      <c r="M133" s="243" t="s">
        <v>1</v>
      </c>
      <c r="N133" s="243" t="s">
        <v>1</v>
      </c>
      <c r="O133" s="243" t="s">
        <v>1259</v>
      </c>
      <c r="P133" s="243" t="s">
        <v>1260</v>
      </c>
      <c r="Q133" s="243" t="s">
        <v>1</v>
      </c>
      <c r="R133" s="243" t="s">
        <v>1261</v>
      </c>
      <c r="S133" s="243" t="s">
        <v>103</v>
      </c>
      <c r="T133" s="146" t="str">
        <f>IF(OR(ISNUMBER(SEARCH("FAIL",K133&amp;" "&amp;Q133)),ISNUMBER(SEARCH("CLEAN RETEST REQUIRED",K133&amp;" "&amp;Q133))),"Failed",IF(OR(ISNUMBER(SEARCH("NOT RUN",K133&amp;" "&amp;Q133)),ISNUMBER(SEARCH("NOT IMPLEMENTED",K133&amp;" "&amp;Q133))),"Not started",IF(OR(ISNUMBER(SEARCH("PARTIAL",K133&amp;" "&amp;Q133)),ISNUMBER(SEARCH("PENDING",K133&amp;" "&amp;Q133)),ISNUMBER(SEARCH("IN PROGRESS",K133&amp;" "&amp;Q133)),ISNUMBER(SEARCH("OPEN",K133&amp;" "&amp;Q133)),ISNUMBER(SEARCH("RETEST REQUIRED",K133&amp;" "&amp;Q133)),ISNUMBER(SEARCH("IMPLEMENTATION UPDATED",K133&amp;" "&amp;Q133)),ISNUMBER(SEARCH("REQUIRED EVERY SESSION",K133&amp;" "&amp;Q133))),"Pending",IF(OR(Q133="PASS",ISNUMBER(SEARCH("PASS",K133&amp;" "&amp;Q133))),"Done","Pending"))))</f>
        <v>Not started</v>
      </c>
      <c r="U133" s="146" t="str">
        <f>IF(OR(LEFT(A133,9)="OPERATOR-",LEFT(A133,8)="PAYMENT-",LEFT(A133,7)="DEPLOY-"),"External","Core")</f>
        <v>External</v>
      </c>
    </row>
    <row r="134" customFormat="false" ht="15" hidden="false" customHeight="false" outlineLevel="0" collapsed="false">
      <c r="A134" s="243" t="s">
        <v>1262</v>
      </c>
      <c r="B134" s="243" t="s">
        <v>1252</v>
      </c>
      <c r="C134" s="273" t="s">
        <v>54</v>
      </c>
      <c r="D134" s="243" t="s">
        <v>1263</v>
      </c>
      <c r="E134" s="243" t="s">
        <v>1264</v>
      </c>
      <c r="F134" s="243" t="s">
        <v>4</v>
      </c>
      <c r="G134" s="243" t="s">
        <v>1265</v>
      </c>
      <c r="H134" s="243" t="s">
        <v>4</v>
      </c>
      <c r="I134" s="243" t="s">
        <v>4</v>
      </c>
      <c r="J134" s="243" t="s">
        <v>1266</v>
      </c>
      <c r="K134" s="243" t="s">
        <v>492</v>
      </c>
      <c r="L134" s="243" t="s">
        <v>1</v>
      </c>
      <c r="M134" s="243" t="s">
        <v>1</v>
      </c>
      <c r="N134" s="243" t="s">
        <v>1</v>
      </c>
      <c r="O134" s="243" t="s">
        <v>1267</v>
      </c>
      <c r="P134" s="243" t="s">
        <v>1268</v>
      </c>
      <c r="Q134" s="243" t="s">
        <v>1</v>
      </c>
      <c r="R134" s="243" t="s">
        <v>1269</v>
      </c>
      <c r="S134" s="243" t="s">
        <v>103</v>
      </c>
      <c r="T134" s="146" t="str">
        <f>IF(OR(ISNUMBER(SEARCH("FAIL",K134&amp;" "&amp;Q134)),ISNUMBER(SEARCH("CLEAN RETEST REQUIRED",K134&amp;" "&amp;Q134))),"Failed",IF(OR(ISNUMBER(SEARCH("NOT RUN",K134&amp;" "&amp;Q134)),ISNUMBER(SEARCH("NOT IMPLEMENTED",K134&amp;" "&amp;Q134))),"Not started",IF(OR(ISNUMBER(SEARCH("PARTIAL",K134&amp;" "&amp;Q134)),ISNUMBER(SEARCH("PENDING",K134&amp;" "&amp;Q134)),ISNUMBER(SEARCH("IN PROGRESS",K134&amp;" "&amp;Q134)),ISNUMBER(SEARCH("OPEN",K134&amp;" "&amp;Q134)),ISNUMBER(SEARCH("RETEST REQUIRED",K134&amp;" "&amp;Q134)),ISNUMBER(SEARCH("IMPLEMENTATION UPDATED",K134&amp;" "&amp;Q134)),ISNUMBER(SEARCH("REQUIRED EVERY SESSION",K134&amp;" "&amp;Q134))),"Pending",IF(OR(Q134="PASS",ISNUMBER(SEARCH("PASS",K134&amp;" "&amp;Q134))),"Done","Pending"))))</f>
        <v>Not started</v>
      </c>
      <c r="U134" s="146" t="str">
        <f>IF(OR(LEFT(A134,9)="OPERATOR-",LEFT(A134,8)="PAYMENT-",LEFT(A134,7)="DEPLOY-"),"External","Core")</f>
        <v>External</v>
      </c>
    </row>
    <row r="135" customFormat="false" ht="15" hidden="false" customHeight="false" outlineLevel="0" collapsed="false">
      <c r="A135" s="243" t="s">
        <v>1270</v>
      </c>
      <c r="B135" s="243" t="s">
        <v>1252</v>
      </c>
      <c r="C135" s="273" t="s">
        <v>54</v>
      </c>
      <c r="D135" s="243" t="s">
        <v>1271</v>
      </c>
      <c r="E135" s="243" t="s">
        <v>1272</v>
      </c>
      <c r="F135" s="243" t="s">
        <v>4</v>
      </c>
      <c r="G135" s="243" t="s">
        <v>1273</v>
      </c>
      <c r="H135" s="243" t="s">
        <v>4</v>
      </c>
      <c r="I135" s="243" t="s">
        <v>1274</v>
      </c>
      <c r="J135" s="243" t="s">
        <v>1275</v>
      </c>
      <c r="K135" s="243" t="s">
        <v>492</v>
      </c>
      <c r="L135" s="243" t="s">
        <v>1</v>
      </c>
      <c r="M135" s="243" t="s">
        <v>1</v>
      </c>
      <c r="N135" s="243" t="s">
        <v>1</v>
      </c>
      <c r="O135" s="243" t="s">
        <v>1276</v>
      </c>
      <c r="P135" s="243" t="s">
        <v>1277</v>
      </c>
      <c r="Q135" s="243" t="s">
        <v>1</v>
      </c>
      <c r="R135" s="243" t="s">
        <v>1278</v>
      </c>
      <c r="S135" s="243" t="s">
        <v>103</v>
      </c>
      <c r="T135" s="146" t="str">
        <f>IF(OR(ISNUMBER(SEARCH("FAIL",K135&amp;" "&amp;Q135)),ISNUMBER(SEARCH("CLEAN RETEST REQUIRED",K135&amp;" "&amp;Q135))),"Failed",IF(OR(ISNUMBER(SEARCH("NOT RUN",K135&amp;" "&amp;Q135)),ISNUMBER(SEARCH("NOT IMPLEMENTED",K135&amp;" "&amp;Q135))),"Not started",IF(OR(ISNUMBER(SEARCH("PARTIAL",K135&amp;" "&amp;Q135)),ISNUMBER(SEARCH("PENDING",K135&amp;" "&amp;Q135)),ISNUMBER(SEARCH("IN PROGRESS",K135&amp;" "&amp;Q135)),ISNUMBER(SEARCH("OPEN",K135&amp;" "&amp;Q135)),ISNUMBER(SEARCH("RETEST REQUIRED",K135&amp;" "&amp;Q135)),ISNUMBER(SEARCH("IMPLEMENTATION UPDATED",K135&amp;" "&amp;Q135)),ISNUMBER(SEARCH("REQUIRED EVERY SESSION",K135&amp;" "&amp;Q135))),"Pending",IF(OR(Q135="PASS",ISNUMBER(SEARCH("PASS",K135&amp;" "&amp;Q135))),"Done","Pending"))))</f>
        <v>Not started</v>
      </c>
      <c r="U135" s="146" t="str">
        <f>IF(OR(LEFT(A135,9)="OPERATOR-",LEFT(A135,8)="PAYMENT-",LEFT(A135,7)="DEPLOY-"),"External","Core")</f>
        <v>External</v>
      </c>
    </row>
  </sheetData>
  <mergeCells count="40">
    <mergeCell ref="A1:B1"/>
    <mergeCell ref="A8:S8"/>
    <mergeCell ref="A9:B9"/>
    <mergeCell ref="D9:E9"/>
    <mergeCell ref="F9:G9"/>
    <mergeCell ref="I9:J9"/>
    <mergeCell ref="K9:L9"/>
    <mergeCell ref="N9:O9"/>
    <mergeCell ref="A10:B10"/>
    <mergeCell ref="D10:E10"/>
    <mergeCell ref="F10:G10"/>
    <mergeCell ref="I10:J10"/>
    <mergeCell ref="K10:L10"/>
    <mergeCell ref="N10:O10"/>
    <mergeCell ref="A11:B11"/>
    <mergeCell ref="D11:E11"/>
    <mergeCell ref="F11:G11"/>
    <mergeCell ref="I11:J11"/>
    <mergeCell ref="K11:L11"/>
    <mergeCell ref="N11:O11"/>
    <mergeCell ref="A12:B12"/>
    <mergeCell ref="D12:E12"/>
    <mergeCell ref="F12:G12"/>
    <mergeCell ref="I12:J12"/>
    <mergeCell ref="K12:L12"/>
    <mergeCell ref="N12:O12"/>
    <mergeCell ref="A13:B13"/>
    <mergeCell ref="D13:E13"/>
    <mergeCell ref="F13:G13"/>
    <mergeCell ref="I13:J13"/>
    <mergeCell ref="K13:L13"/>
    <mergeCell ref="N13:O13"/>
    <mergeCell ref="A14:B14"/>
    <mergeCell ref="D14:E14"/>
    <mergeCell ref="F14:G14"/>
    <mergeCell ref="I14:J14"/>
    <mergeCell ref="K14:L14"/>
    <mergeCell ref="N14:O14"/>
    <mergeCell ref="A15:S15"/>
    <mergeCell ref="L16:M16"/>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