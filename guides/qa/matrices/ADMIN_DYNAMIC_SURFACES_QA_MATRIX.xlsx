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<sst xmlns="http://schemas.openxmlformats.org/spreadsheetml/2006/main" count="3232" uniqueCount="1831">
  <si>
    <t>EFFECT / SCOPE MARKERS</t>
  </si>
  <si>
    <t/>
  </si>
  <si>
    <t>Done</t>
  </si>
  <si>
    <t>58 (42%)</t>
  </si>
  <si>
    <t>X</t>
  </si>
  <si>
    <t>No expected effect — An unchanged X cell is PASS</t>
  </si>
  <si>
    <t>Pending</t>
  </si>
  <si>
    <t>19</t>
  </si>
  <si>
    <t>DELTA</t>
  </si>
  <si>
    <t>Required direct effect — Record before/after count and direction</t>
  </si>
  <si>
    <t>Not started</t>
  </si>
  <si>
    <t>60</t>
  </si>
  <si>
    <t>INDIRECT</t>
  </si>
  <si>
    <t>Conditional effect — State the condition and prove it occurred</t>
  </si>
  <si>
    <t>Failed</t>
  </si>
  <si>
    <t>0</t>
  </si>
  <si>
    <t>GAP</t>
  </si>
  <si>
    <t>Known observability gap — Record FAIL/GAP separately from domain PASS</t>
  </si>
  <si>
    <t>Core</t>
  </si>
  <si>
    <t>137</t>
  </si>
  <si>
    <t>EXT</t>
  </si>
  <si>
    <t>External operator, payment, Registry or deployment boundary — IDs beginning OPERATOR-, PAYMENT- or DEPLOY- are classified EXT and receive the external color</t>
  </si>
  <si>
    <t>External</t>
  </si>
  <si>
    <t>56</t>
  </si>
  <si>
    <t>Total</t>
  </si>
  <si>
    <t>193</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</si>
  <si>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</si>
  <si>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</si>
  <si>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</si>
  <si>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</si>
  <si>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</si>
  <si>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</si>
  <si>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</si>
  <si>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</si>
  <si>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</si>
  <si>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</si>
  <si>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</si>
  <si>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</si>
  <si>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</si>
  <si>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</si>
  <si>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</si>
  <si>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</si>
  <si>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</si>
  <si>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</si>
  <si>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</si>
  <si>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</si>
  <si>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</si>
  <si>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</si>
  <si>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</si>
  <si>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</si>
  <si>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</si>
  <si>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</si>
  <si>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</si>
  <si>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</si>
  <si>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</si>
  <si>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</si>
  <si>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</si>
  <si>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</si>
  <si>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</si>
  <si>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</si>
  <si>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</si>
  <si>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</si>
  <si>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</si>
  <si>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</si>
  <si>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</si>
  <si>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</si>
  <si>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</si>
  <si>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</si>
  <si>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</si>
  <si>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</si>
  <si>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</si>
  <si>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</si>
  <si>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</si>
  <si>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</si>
  <si>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</si>
  <si>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</si>
  <si>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</si>
  <si>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</si>
  <si>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</si>
  <si>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</si>
  <si>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</si>
  <si>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</si>
  <si>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</si>
  <si>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</si>
  <si>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</si>
  <si>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</si>
  <si>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</si>
  <si>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</si>
  <si>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</si>
  <si>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</si>
  <si>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</si>
  <si>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</si>
  <si>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</si>
  <si>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</si>
  <si>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</si>
  <si>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</si>
  <si>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</si>
  <si>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</si>
  <si>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</si>
  <si>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</si>
  <si>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</si>
  <si>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</si>
  <si>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</si>
  <si>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</si>
  <si>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</si>
  <si>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</si>
  <si>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</si>
  <si>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</si>
  <si>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</si>
  <si>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</si>
  <si>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</si>
  <si>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</si>
  <si>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</si>
  <si>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</si>
  <si>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</si>
  <si>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</si>
  <si>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</si>
  <si>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</si>
  <si>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</si>
  <si>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</si>
  <si>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</si>
  <si>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</si>
  <si>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</si>
  <si>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</si>
  <si>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</si>
  <si>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</si>
  <si>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</si>
  <si>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</si>
  <si>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</si>
  <si>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</si>
  <si>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</si>
  <si>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</si>
  <si>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</si>
  <si>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</si>
  <si>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</si>
  <si>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</si>
  <si>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</si>
  <si>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</si>
  <si>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</si>
  <si>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</si>
  <si>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</si>
  <si>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</si>
  <si>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</si>
  <si>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</si>
  <si>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</si>
  <si>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</si>
  <si>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</si>
  <si>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</si>
  <si>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</si>
  <si>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</si>
  <si>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</si>
  <si>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</si>
  <si>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</si>
  <si>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</si>
  <si>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</si>
  <si>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</si>
  <si>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</si>
  <si>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</si>
  <si>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</si>
  <si>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</si>
  <si>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</si>
  <si>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</si>
  <si>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</si>
  <si>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</si>
  <si>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</si>
  <si>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</si>
  <si>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</si>
  <si>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</si>
  <si>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</si>
  <si>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</si>
  <si>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</si>
  <si>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</si>
  <si>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</si>
  <si>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</si>
  <si>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</si>
  <si>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</si>
  <si>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</si>
  <si>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</si>
  <si>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</si>
  <si>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</si>
  <si>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</si>
  <si>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</si>
  <si>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</si>
  <si>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</si>
  <si>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</si>
  <si>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</si>
  <si>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</si>
  <si>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</si>
  <si>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</si>
  <si>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</si>
  <si>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</si>
  <si>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</si>
  <si>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</si>
  <si>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</si>
  <si>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</si>
  <si>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</si>
  <si>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</si>
  <si>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</si>
  <si>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</si>
  <si>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</si>
  <si>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</si>
  <si>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</si>
  <si>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</si>
  <si>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</si>
  <si>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</si>
  <si>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</si>
  <si>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</si>
  <si>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</si>
  <si>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</si>
  <si>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</si>
  <si>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</si>
  <si>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</si>
  <si>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</si>
  <si>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</si>
  <si>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</si>
  <si>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</si>
  <si>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</si>
  <si>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</si>
  <si>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</si>
  <si>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</si>
  <si>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</si>
  <si>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</si>
  <si>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</si>
  <si>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</si>
  <si>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</si>
  <si>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</si>
  <si>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</si>
  <si>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</si>
  <si>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</si>
  <si>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</si>
  <si>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</si>
  <si>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</si>
  <si>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</si>
  <si>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</si>
  <si>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</si>
  <si>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</si>
  <si>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</si>
  <si>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</si>
  <si>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</si>
  <si>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</si>
  <si>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</si>
  <si>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</si>
  <si>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</si>
  <si>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</si>
  <si>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</si>
  <si>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</si>
  <si>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</si>
  <si>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</si>
  <si>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</si>
  <si>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</si>
  <si>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</si>
  <si>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</si>
  <si>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</si>
  <si>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</si>
  <si>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</si>
  <si>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</si>
  <si>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</si>
  <si>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</si>
  <si>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</si>
  <si>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</si>
  <si>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</si>
  <si>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</si>
  <si>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</si>
  <si>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</si>
  <si>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</si>
  <si>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</si>
  <si>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</si>
  <si>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</si>
  <si>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</si>
  <si>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</si>
  <si>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</si>
  <si>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</si>
  <si>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</si>
  <si>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</si>
  <si>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</si>
  <si>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</si>
  <si>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</si>
  <si>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</si>
  <si>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</si>
  <si>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</si>
  <si>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</si>
  <si>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</si>
  <si>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</si>
  <si>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</si>
  <si>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</si>
  <si>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</si>
  <si>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</si>
  <si>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</si>
  <si>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</si>
  <si>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</si>
  <si>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</si>
  <si>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</si>
  <si>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</si>
  <si>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</si>
  <si>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</si>
  <si>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</si>
  <si>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</si>
  <si>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</si>
  <si>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</si>
  <si>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</si>
  <si>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</si>
  <si>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</si>
  <si>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</si>
  <si>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</si>
  <si>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</si>
  <si>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</si>
  <si>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</si>
  <si>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</si>
  <si>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</si>
  <si>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</si>
  <si>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</si>
  <si>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</si>
  <si>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</si>
  <si>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</si>
  <si>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</si>
  <si>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</si>
  <si>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</si>
  <si>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</si>
  <si>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</si>
  <si>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</si>
  <si>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</si>
  <si>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</si>
  <si>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</si>
  <si>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</si>
  <si>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</si>
  <si>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</si>
  <si>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</si>
  <si>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</si>
  <si>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</si>
  <si>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</si>
  <si>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</si>
  <si>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</si>
  <si>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</si>
  <si>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</si>
  <si>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</si>
  <si>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</si>
  <si>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</si>
  <si>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</si>
  <si>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</si>
  <si>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</si>
  <si>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</si>
  <si>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</si>
  <si>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</si>
  <si>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</si>
  <si>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</si>
  <si>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</si>
  <si>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</si>
  <si>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</si>
  <si>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</si>
  <si>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</si>
  <si>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</si>
  <si>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</si>
  <si>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</si>
  <si>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</si>
  <si>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</si>
  <si>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</si>
  <si>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</si>
  <si>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</si>
  <si>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</si>
  <si>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</si>
  <si>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</si>
  <si>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</si>
  <si>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</si>
  <si>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</si>
  <si>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</si>
  <si>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</si>
  <si>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</si>
  <si>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</si>
  <si>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</si>
  <si>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</si>
  <si>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</si>
  <si>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</si>
  <si>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</si>
  <si>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</si>
  <si>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</si>
  <si>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</si>
  <si>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</si>
  <si>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</si>
  <si>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</si>
  <si>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</si>
  <si>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</si>
  <si>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</si>
  <si>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</si>
  <si>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</si>
  <si>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</si>
  <si>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</si>
  <si>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</si>
  <si>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</si>
  <si>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</si>
  <si>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</si>
  <si>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</si>
  <si>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</si>
  <si>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</si>
  <si>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</si>
  <si>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</si>
  <si>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</si>
  <si>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</si>
  <si>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</si>
  <si>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</si>
  <si>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</si>
  <si>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</si>
  <si>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</si>
  <si>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</si>
  <si>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</si>
  <si>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</si>
  <si>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</si>
  <si>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</si>
  <si>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</si>
  <si>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</si>
  <si>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</si>
  <si>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</si>
  <si>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</si>
  <si>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</si>
  <si>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</si>
  <si>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</si>
  <si>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</si>
  <si>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</si>
  <si>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</si>
  <si>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</si>
  <si>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</si>
  <si>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</si>
  <si>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</si>
  <si>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</si>
  <si>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</si>
  <si>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</si>
  <si>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</si>
  <si>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</si>
  <si>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</si>
  <si>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</si>
  <si>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</si>
  <si>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</si>
  <si>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</si>
  <si>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</si>
  <si>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</si>
  <si>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</si>
  <si>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</si>
  <si>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</si>
  <si>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</si>
  <si>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</si>
  <si>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</si>
  <si>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</si>
  <si>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</si>
  <si>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</si>
  <si>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</si>
  <si>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</si>
  <si>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</si>
  <si>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</si>
  <si>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</si>
  <si>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</si>
  <si>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</si>
  <si>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</si>
  <si>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</si>
  <si>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</si>
  <si>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</si>
  <si>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</si>
  <si>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</si>
  <si>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</si>
  <si>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</si>
  <si>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</si>
  <si>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</si>
  <si>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</si>
  <si>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</si>
  <si>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</si>
  <si>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</si>
  <si>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</si>
  <si>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</si>
  <si>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</si>
  <si>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</si>
  <si>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</si>
  <si>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</si>
  <si>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</si>
  <si>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</si>
  <si>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</si>
  <si>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</si>
  <si>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</si>
  <si>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</si>
  <si>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</si>
  <si>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</si>
  <si>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</si>
  <si>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</si>
  <si>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</si>
  <si>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</si>
  <si>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</si>
  <si>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</si>
  <si>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</si>
  <si>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</si>
  <si>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</si>
  <si>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</si>
  <si>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</si>
  <si>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</si>
  <si>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</si>
  <si>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</si>
  <si>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</si>
  <si>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</si>
  <si>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</si>
  <si>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</si>
  <si>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</si>
  <si>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</si>
  <si>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</si>
  <si>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</si>
  <si>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</si>
  <si>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</si>
  <si>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</si>
  <si>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</si>
  <si>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</si>
  <si>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</si>
  <si>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</si>
  <si>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</si>
  <si>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</si>
  <si>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</si>
  <si>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</si>
  <si>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</si>
  <si>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</si>
  <si>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</si>
  <si>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</si>
  <si>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</si>
  <si>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</si>
  <si>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</si>
  <si>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</si>
  <si>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</si>
  <si>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</si>
  <si>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</si>
  <si>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</si>
  <si>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</si>
  <si>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</si>
  <si>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</si>
  <si>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</si>
  <si>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</si>
  <si>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</si>
  <si>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</si>
  <si>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</si>
  <si>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</si>
  <si>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</si>
  <si>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</si>
  <si>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</si>
  <si>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</si>
  <si>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</si>
  <si>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</si>
  <si>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</si>
  <si>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</si>
  <si>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</si>
  <si>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</si>
  <si>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</si>
  <si>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</si>
  <si>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</si>
  <si>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</si>
  <si>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</si>
  <si>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</si>
  <si>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</si>
  <si>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</si>
  <si>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</si>
  <si>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</si>
  <si>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</si>
  <si>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</si>
  <si>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</si>
  <si>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</si>
  <si>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</si>
  <si>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</si>
  <si>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</si>
  <si>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</si>
  <si>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</si>
  <si>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</si>
  <si>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</si>
  <si>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</si>
  <si>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</si>
  <si>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</si>
  <si>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</si>
  <si>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</si>
  <si>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</si>
  <si>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</si>
  <si>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</si>
  <si>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</si>
  <si>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</si>
  <si>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</si>
  <si>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</si>
  <si>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</si>
  <si>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</si>
  <si>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</si>
  <si>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</si>
  <si>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</si>
  <si>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</si>
  <si>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</si>
  <si>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</si>
  <si>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</si>
  <si>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</si>
  <si>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</si>
  <si>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</si>
  <si>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</si>
  <si>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</si>
  <si>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</si>
  <si>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</si>
  <si>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</si>
  <si>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</si>
  <si>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</si>
  <si>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</si>
  <si>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</si>
  <si>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</si>
  <si>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</si>
  <si>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</si>
  <si>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</si>
  <si>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</si>
  <si>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</si>
  <si>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</si>
  <si>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</si>
  <si>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</si>
  <si>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</si>
  <si>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</si>
  <si>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</si>
  <si>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</si>
  <si>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</si>
  <si>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</si>
  <si>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</si>
  <si>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</si>
  <si>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</si>
  <si>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</si>
  <si>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</si>
  <si>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</si>
  <si>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</si>
  <si>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</si>
  <si>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</si>
  <si>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</si>
  <si>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</si>
  <si>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</si>
  <si>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</si>
  <si>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</si>
  <si>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</si>
  <si>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</si>
  <si>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</si>
  <si>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</si>
  <si>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</si>
  <si>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</si>
  <si>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</si>
  <si>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</si>
  <si>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</si>
  <si>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</si>
  <si>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</si>
  <si>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</si>
  <si>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</si>
  <si>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</si>
  <si>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</si>
  <si>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</si>
  <si>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</si>
  <si>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</si>
  <si>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</si>
  <si>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</si>
  <si>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</si>
  <si>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</si>
  <si>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</si>
  <si>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</si>
  <si>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</si>
  <si>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</si>
  <si>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</si>
  <si>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</si>
  <si>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</si>
  <si>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</si>
  <si>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</si>
  <si>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</si>
  <si>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</si>
  <si>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</si>
  <si>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</si>
  <si>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</si>
  <si>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</si>
  <si>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</si>
  <si>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</si>
  <si>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</si>
  <si>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</si>
  <si>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</si>
  <si>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</si>
  <si>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</si>
  <si>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</si>
  <si>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</si>
  <si>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</si>
  <si>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</si>
  <si>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</si>
  <si>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</si>
  <si>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</si>
  <si>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</si>
  <si>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</si>
  <si>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</si>
  <si>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</si>
  <si>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</si>
  <si>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</si>
  <si>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</si>
  <si>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</si>
  <si>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</si>
  <si>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</si>
  <si>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</si>
  <si>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</si>
  <si>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</si>
  <si>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</si>
  <si>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</si>
  <si>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</si>
  <si>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</si>
  <si>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</si>
  <si>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</si>
  <si>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</si>
  <si>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</si>
  <si>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</si>
  <si>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</si>
  <si>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</si>
  <si>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</si>
  <si>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</si>
  <si>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</si>
  <si>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</si>
  <si>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</si>
  <si>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</si>
  <si>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</si>
  <si>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</si>
  <si>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</si>
  <si>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</si>
  <si>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</si>
  <si>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</si>
  <si>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</si>
  <si>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</si>
  <si>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</si>
  <si>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</si>
  <si>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</si>
  <si>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</si>
  <si>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</si>
  <si>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</si>
  <si>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</si>
  <si>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</si>
  <si>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</si>
  <si>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</si>
  <si>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</si>
  <si>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</si>
  <si>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</si>
  <si>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</si>
  <si>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</si>
  <si>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</si>
  <si>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</si>
  <si>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</si>
  <si>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</si>
  <si>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</si>
  <si>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</si>
  <si>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</si>
  <si>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</si>
  <si>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</si>
  <si>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</si>
  <si>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</si>
  <si>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</si>
  <si>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</si>
  <si>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</si>
  <si>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</si>
  <si>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</si>
  <si>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</si>
  <si>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</si>
  <si>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</si>
  <si>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</si>
  <si>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</si>
  <si>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</si>
  <si>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</si>
  <si>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</si>
  <si>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</si>
  <si>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</si>
  <si>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</si>
  <si>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</si>
  <si>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</si>
  <si>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</si>
  <si>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</si>
  <si>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</si>
  <si>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</si>
  <si>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</si>
  <si>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</si>
  <si>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</si>
  <si>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</si>
  <si>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</si>
  <si>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</si>
  <si>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</si>
  <si>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</si>
  <si>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</si>
  <si>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</si>
  <si>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</si>
  <si>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</si>
  <si>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</si>
  <si>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</si>
  <si>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</si>
  <si>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</si>
  <si>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</si>
  <si>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</si>
  <si>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</si>
  <si>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</si>
  <si>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</si>
  <si>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</si>
  <si>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</si>
  <si>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</si>
  <si>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</si>
  <si>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</si>
  <si>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</si>
  <si>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</si>
  <si>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</si>
  <si>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</si>
  <si>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</si>
  <si>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</si>
  <si>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</si>
  <si>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</si>
  <si>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</si>
  <si>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</si>
  <si>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</si>
  <si>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</si>
  <si>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</si>
  <si>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</si>
  <si>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</si>
  <si>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</si>
  <si>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</si>
  <si>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</si>
  <si>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</si>
  <si>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</si>
  <si>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</si>
  <si>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</si>
  <si>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</si>
  <si>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</si>
  <si>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</si>
  <si>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</si>
  <si>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</si>
  <si>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</si>
  <si>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</si>
  <si>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</si>
  <si>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</si>
  <si>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</si>
  <si>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</si>
  <si>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</si>
  <si>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</si>
  <si>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</si>
  <si>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</si>
  <si>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</si>
  <si>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</si>
  <si>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</si>
  <si>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</si>
  <si>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</si>
  <si>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</si>
  <si>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</si>
  <si>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</si>
  <si>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</si>
  <si>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</si>
  <si>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</si>
  <si>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</si>
  <si>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</si>
  <si>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</si>
  <si>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</si>
  <si>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</si>
  <si>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</si>
  <si>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</si>
  <si>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</si>
  <si>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</si>
  <si>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</si>
  <si>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</si>
  <si>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</si>
  <si>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</si>
  <si>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</si>
  <si>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</si>
  <si>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</si>
  <si>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</si>
  <si>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</si>
  <si>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</si>
  <si>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</si>
  <si>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</si>
  <si>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</si>
  <si>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</si>
  <si>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</si>
  <si>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</si>
  <si>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</si>
  <si>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</si>
  <si>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</si>
  <si>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</si>
  <si>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</si>
  <si>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</si>
  <si>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</si>
  <si>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</si>
  <si>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</si>
  <si>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</si>
  <si>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</si>
  <si>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</si>
  <si>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</si>
  <si>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</si>
  <si>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</si>
  <si>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</si>
  <si>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</si>
  <si>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</si>
  <si>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</si>
  <si>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</si>
  <si>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</si>
  <si>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</si>
  <si>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</si>
  <si>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</si>
  <si>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</si>
  <si>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</si>
  <si>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</si>
  <si>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</si>
  <si>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</si>
  <si>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</si>
  <si>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</si>
  <si>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</si>
  <si>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</si>
  <si>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</si>
  <si>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</si>
  <si>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</si>
  <si>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</si>
  <si>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</si>
  <si>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</si>
  <si>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</si>
  <si>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</si>
  <si>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</si>
  <si>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</si>
  <si>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</si>
  <si>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</si>
  <si>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</si>
  <si>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</si>
  <si>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</si>
  <si>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</si>
  <si>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</si>
  <si>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</si>
  <si>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</si>
  <si>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</si>
  <si>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</si>
  <si>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</si>
  <si>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</si>
  <si>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</si>
  <si>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</si>
  <si>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</si>
  <si>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</si>
  <si>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</si>
  <si>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</si>
  <si>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</si>
  <si>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</si>
  <si>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</si>
  <si>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</si>
  <si>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</si>
  <si>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</si>
  <si>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</si>
  <si>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</si>
  <si>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</si>
  <si>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</si>
  <si>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</si>
  <si>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</si>
  <si>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</si>
  <si>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</si>
  <si>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</si>
  <si>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</si>
  <si>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</si>
  <si>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</si>
  <si>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</si>
  <si>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</si>
  <si>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</si>
  <si>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</si>
  <si>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</si>
  <si>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</si>
  <si>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</si>
  <si>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</si>
  <si>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</si>
  <si>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</si>
  <si>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</si>
  <si>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</si>
  <si>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</si>
  <si>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</si>
  <si>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</si>
  <si>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</si>
  <si>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</si>
  <si>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</si>
  <si>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</si>
  <si>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</si>
  <si>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</si>
  <si>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</si>
  <si>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</si>
  <si>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</si>
  <si>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</si>
  <si>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</si>
  <si>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</si>
  <si>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</si>
  <si>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</si>
  <si>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</si>
  <si>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</si>
  <si>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</si>
  <si>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</si>
  <si>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</si>
  <si>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</si>
  <si>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</si>
  <si>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</si>
  <si>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</si>
  <si>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</si>
  <si>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</si>
  <si>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</si>
  <si>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</si>
  <si>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</si>
  <si>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</si>
  <si>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</si>
  <si>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</si>
  <si>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</si>
  <si>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</si>
  <si>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</si>
  <si>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</si>
  <si>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</si>
  <si>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</si>
  <si>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</si>
  <si>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</si>
  <si>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</si>
  <si>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</si>
  <si>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</si>
  <si>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</si>
  <si>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</si>
  <si>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</si>
  <si>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</si>
  <si>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</si>
  <si>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</si>
  <si>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</si>
  <si>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</si>
  <si>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</si>
  <si>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</si>
  <si>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</si>
  <si>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</si>
  <si>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</si>
  <si>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</si>
  <si>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</si>
  <si>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</si>
  <si>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</si>
  <si>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</si>
  <si>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</si>
  <si>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</si>
  <si>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</si>
  <si>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</si>
  <si>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</si>
  <si>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</si>
  <si>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</si>
  <si>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</si>
  <si>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</si>
  <si>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</si>
  <si>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</si>
  <si>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</si>
  <si>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</si>
  <si>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</si>
  <si>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</si>
  <si>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</si>
  <si>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</si>
  <si>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</si>
  <si>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</si>
  <si>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</si>
  <si>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</si>
  <si>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</si>
  <si>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</si>
  <si>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</si>
  <si>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</si>
  <si>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</si>
  <si>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</si>
  <si>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</si>
  <si>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</si>
  <si>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</si>
  <si>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</si>
  <si>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</si>
  <si>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</si>
  <si>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</si>
  <si>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</si>
  <si>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</si>
  <si>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</si>
  <si>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</si>
  <si>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</si>
  <si>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</si>
  <si>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</si>
  <si>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</si>
  <si>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</si>
  <si>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</si>
  <si>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</si>
  <si>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</si>
  <si>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</si>
  <si>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</si>
  <si>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</si>
  <si>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</si>
  <si>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</si>
  <si>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</si>
  <si>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</si>
  <si>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</si>
  <si>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</si>
  <si>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</si>
  <si>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</si>
  <si>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</si>
  <si>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</si>
  <si>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</si>
  <si>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</si>
  <si>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</si>
  <si>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</si>
  <si>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</si>
  <si>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</si>
  <si>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</si>
  <si>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</si>
  <si>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</si>
  <si>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</si>
  <si>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</si>
  <si>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</si>
  <si>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</si>
  <si>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</si>
  <si>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</si>
  <si>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</si>
  <si>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</si>
  <si>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</si>
  <si>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</si>
  <si>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</si>
  <si>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</si>
  <si>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</si>
  <si>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</si>
  <si>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</si>
  <si>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</si>
  <si>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</si>
  <si>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</si>
  <si>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</si>
  <si>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</si>
  <si>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</si>
  <si>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</si>
  <si>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</si>
  <si>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</si>
  <si>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</si>
  <si>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</si>
  <si>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</si>
  <si>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</si>
  <si>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</si>
  <si>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</si>
  <si>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</si>
  <si>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</si>
  <si>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</si>
  <si>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</si>
  <si>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</si>
  <si>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</si>
  <si>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</si>
  <si>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</si>
  <si>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</si>
  <si>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</si>
  <si>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</si>
  <si>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</si>
  <si>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</si>
  <si>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</si>
  <si>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</si>
  <si>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</si>
  <si>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</si>
  <si>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</si>
  <si>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</si>
  <si>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</si>
  <si>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</si>
  <si>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</si>
  <si>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</si>
  <si>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</si>
  <si>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</si>
  <si>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</si>
  <si>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</si>
  <si>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</si>
  <si>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</si>
  <si>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</si>
  <si>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</si>
  <si>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</si>
  <si>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</si>
  <si>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</si>
  <si>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</si>
  <si>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</si>
  <si>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</si>
  <si>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</si>
  <si>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</si>
  <si>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</si>
  <si>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</si>
  <si>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</si>
  <si>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</si>
  <si>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</si>
  <si>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</si>
  <si>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</si>
  <si>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</si>
  <si>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</si>
  <si>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</si>
  <si>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</si>
  <si>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</si>
  <si>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</si>
  <si>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</si>
  <si>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</si>
  <si>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</si>
  <si>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</si>
  <si>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</si>
  <si>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DESIGN CAPTURED / NOT RUN</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</si>
  <si>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</si>
  <si>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</si>
  <si>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</si>
  <si>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</si>
  <si>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</si>
  <si>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</si>
  <si>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</si>
  <si>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</si>
  <si>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</si>
  <si>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</si>
  <si>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</si>
  <si>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</si>
  <si>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</si>
  <si>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</si>
  <si>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</si>
  <si>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</si>
  <si>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</si>
  <si>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</si>
  <si>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</si>
  <si>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</si>
  <si>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</si>
  <si>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</si>
  <si>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</si>
  <si>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</si>
  <si>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</si>
  <si>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</si>
  <si>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</si>
  <si>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</si>
  <si>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</si>
  <si>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</si>
  <si>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</si>
  <si>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</si>
  <si>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</si>
  <si>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</si>
  <si>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</si>
  <si>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</si>
  <si>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</si>
  <si>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</si>
  <si>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</si>
  <si>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</si>
  <si>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</si>
  <si>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</si>
  <si>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</si>
  <si>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</si>
  <si>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</si>
  <si>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</si>
  <si>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</si>
  <si>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</si>
  <si>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</si>
  <si>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</si>
  <si>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</si>
  <si>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</si>
  <si>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</si>
  <si>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</si>
  <si>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</si>
  <si>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</si>
  <si>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</si>
  <si>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</si>
  <si>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</si>
  <si>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</si>
  <si>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</si>
  <si>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</si>
  <si>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</si>
  <si>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</si>
  <si>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</si>
  <si>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</si>
  <si>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</si>
  <si>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</si>
  <si>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</si>
  <si>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</si>
  <si>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</si>
  <si>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</si>
  <si>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</si>
  <si>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</si>
  <si>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</si>
  <si>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</si>
  <si>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</si>
  <si>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</si>
  <si>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</si>
  <si>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</si>
  <si>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</si>
  <si>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</si>
  <si>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</si>
  <si>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</si>
  <si>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</si>
  <si>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</si>
  <si>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</si>
  <si>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</si>
  <si>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</si>
  <si>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</si>
  <si>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</si>
  <si>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</si>
  <si>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</si>
  <si>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</si>
  <si>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</si>
  <si>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</si>
  <si>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</si>
  <si>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</si>
  <si>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</si>
  <si>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</si>
  <si>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</si>
  <si>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</si>
  <si>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</si>
  <si>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</si>
  <si>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</si>
  <si>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</si>
  <si>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</si>
  <si>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</si>
  <si>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</si>
  <si>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</si>
  <si>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</si>
  <si>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</si>
  <si>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</si>
  <si>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</si>
  <si>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</si>
  <si>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</si>
  <si>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</si>
  <si>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</si>
  <si>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</si>
  <si>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</si>
  <si>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</si>
  <si>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</si>
  <si>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</si>
  <si>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</si>
  <si>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</si>
  <si>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</si>
  <si>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</si>
  <si>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</si>
  <si>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</si>
  <si>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</si>
  <si>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</si>
  <si>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</si>
  <si>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</si>
  <si>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</si>
  <si>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</si>
  <si>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</si>
  <si>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</si>
  <si>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</si>
  <si>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</si>
  <si>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</si>
  <si>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</si>
  <si>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</si>
  <si>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</si>
  <si>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</si>
  <si>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</si>
  <si>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</si>
  <si>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</si>
  <si>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</si>
  <si>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</si>
  <si>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</si>
  <si>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</si>
  <si>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</si>
  <si>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</si>
  <si>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</si>
  <si>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</si>
  <si>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</si>
  <si>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</si>
  <si>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</si>
  <si>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</si>
  <si>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</si>
  <si>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</si>
  <si>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</si>
  <si>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</si>
  <si>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</si>
  <si>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</si>
  <si>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</si>
  <si>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</si>
  <si>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</si>
  <si>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</si>
  <si>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</si>
  <si>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</si>
  <si>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</si>
  <si>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</si>
  <si>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</si>
  <si>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</si>
  <si>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</si>
  <si>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</si>
  <si>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</si>
  <si>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</si>
  <si>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</si>
  <si>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</si>
  <si>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</si>
  <si>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</si>
  <si>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</si>
  <si>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</si>
  <si>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</si>
  <si>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</si>
  <si>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</si>
  <si>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</si>
  <si>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</si>
  <si>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</si>
  <si>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</si>
  <si>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</si>
  <si>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</si>
  <si>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</si>
  <si>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</si>
  <si>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</si>
  <si>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</si>
  <si>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</si>
  <si>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</si>
  <si>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</si>
  <si>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</si>
  <si>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</si>
  <si>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</si>
  <si>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</si>
  <si>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</si>
  <si>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</si>
  <si>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</si>
  <si>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</si>
  <si>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</si>
  <si>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</si>
  <si>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</si>
  <si>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</si>
  <si>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</si>
  <si>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</si>
  <si>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</si>
  <si>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</si>
  <si>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</si>
  <si>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</si>
  <si>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</si>
  <si>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</si>
  <si>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</si>
  <si>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</si>
  <si>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</si>
  <si>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</si>
  <si>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</si>
  <si>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</si>
  <si>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</si>
  <si>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</si>
  <si>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</si>
  <si>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</si>
  <si>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</si>
  <si>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</si>
  <si>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</si>
  <si>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</si>
  <si>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</si>
  <si>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</si>
  <si>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</si>
  <si>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</si>
  <si>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</si>
  <si>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</si>
  <si>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</si>
  <si>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</si>
  <si>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</si>
  <si>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</si>
  <si>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</si>
  <si>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</si>
  <si>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</si>
  <si>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</si>
  <si>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</si>
  <si>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</si>
  <si>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</si>
  <si>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</si>
  <si>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</si>
  <si>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</si>
  <si>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</si>
  <si>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</si>
  <si>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</si>
  <si>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</si>
  <si>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</si>
  <si>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</si>
  <si>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</si>
  <si>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</si>
  <si>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</si>
  <si>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</si>
  <si>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</si>
  <si>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</si>
  <si>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</si>
  <si>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</si>
  <si>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</si>
  <si>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</si>
  <si>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</si>
  <si>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</si>
  <si>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</si>
  <si>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</si>
  <si>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</si>
  <si>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</si>
  <si>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</si>
  <si>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</si>
  <si>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</si>
  <si>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</si>
  <si>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</si>
  <si>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</si>
  <si>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</si>
  <si>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</si>
  <si>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</si>
  <si>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</si>
  <si>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</si>
  <si>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</si>
  <si>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</si>
  <si>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</si>
  <si>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</si>
  <si>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</si>
  <si>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</si>
  <si>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</si>
  <si>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</si>
  <si>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</si>
  <si>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</si>
  <si>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</si>
  <si>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</si>
  <si>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</si>
  <si>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</si>
  <si>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</si>
  <si>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</si>
  <si>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</si>
  <si>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</si>
  <si>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</si>
  <si>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</si>
  <si>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</si>
  <si>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</si>
  <si>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</si>
  <si>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</si>
  <si>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</si>
  <si>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</si>
  <si>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</si>
  <si>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</si>
  <si>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</si>
  <si>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</si>
  <si>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</si>
  <si>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</si>
  <si>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</si>
  <si>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</si>
  <si>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</si>
  <si>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</si>
  <si>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</si>
  <si>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</si>
  <si>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</si>
  <si>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</si>
  <si>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</si>
  <si>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</si>
  <si>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</si>
  <si>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</si>
  <si>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</si>
  <si>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</si>
  <si>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</si>
  <si>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</si>
  <si>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</si>
  <si>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</si>
  <si>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</si>
  <si>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</si>
  <si>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</si>
  <si>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</si>
  <si>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</si>
  <si>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</si>
  <si>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</si>
  <si>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</si>
  <si>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</si>
  <si>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</si>
  <si>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</si>
  <si>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</si>
  <si>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</si>
  <si>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</si>
  <si>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</si>
  <si>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</si>
  <si>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</si>
  <si>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</si>
  <si>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</si>
  <si>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</si>
  <si>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</si>
  <si>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</si>
  <si>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</si>
  <si>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</si>
  <si>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</si>
  <si>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</si>
  <si>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</si>
  <si>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</si>
  <si>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</si>
  <si>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</si>
  <si>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</si>
  <si>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</si>
  <si>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</si>
  <si>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</si>
  <si>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</si>
  <si>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</si>
  <si>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</si>
  <si>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</si>
  <si>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</si>
  <si>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</si>
  <si>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</si>
  <si>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</si>
  <si>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</si>
  <si>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</si>
  <si>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</si>
  <si>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</si>
  <si>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</si>
  <si>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</si>
  <si>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</si>
  <si>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</si>
  <si>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</si>
  <si>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</si>
  <si>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</si>
  <si>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</si>
  <si>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</si>
  <si>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</si>
  <si>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</si>
  <si>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</si>
  <si>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</si>
  <si>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</si>
  <si>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</si>
  <si>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</si>
  <si>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</si>
  <si>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</si>
  <si>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</si>
  <si>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</si>
  <si>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</si>
  <si>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</si>
  <si>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</si>
  <si>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</si>
  <si>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</si>
  <si>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</si>
  <si>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</si>
  <si>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</si>
  <si>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</si>
  <si>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</si>
  <si>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</si>
  <si>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</si>
  <si>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</si>
  <si>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</si>
  <si>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</si>
  <si>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</si>
  <si>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</si>
  <si>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</si>
  <si>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</si>
  <si>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</si>
  <si>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</si>
  <si>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</si>
  <si>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</si>
  <si>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</si>
  <si>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</si>
  <si>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</si>
  <si>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</si>
  <si>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</si>
  <si>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</si>
  <si>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</si>
  <si>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</si>
  <si>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</si>
  <si>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</si>
  <si>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</si>
  <si>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</si>
  <si>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</si>
  <si>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</si>
  <si>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</si>
  <si>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</si>
  <si>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</si>
  <si>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</si>
  <si>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</si>
  <si>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</si>
  <si>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</si>
  <si>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</si>
  <si>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</si>
  <si>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</si>
  <si>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</si>
  <si>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</si>
  <si>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</si>
  <si>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</si>
  <si>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</si>
  <si>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</si>
  <si>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</si>
  <si>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</si>
  <si>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</si>
  <si>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</si>
  <si>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</si>
  <si>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</si>
  <si>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</si>
  <si>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</si>
  <si>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</si>
  <si>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</si>
  <si>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</si>
  <si>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</si>
  <si>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</si>
  <si>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</si>
  <si>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</si>
  <si>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</si>
  <si>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</si>
  <si>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</si>
  <si>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</si>
  <si>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</si>
  <si>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</si>
  <si>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</si>
  <si>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</si>
  <si>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</si>
  <si>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</si>
  <si>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</si>
  <si>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</si>
  <si>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</si>
  <si>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</si>
  <si>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</si>
  <si>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</si>
  <si>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</si>
  <si>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</si>
  <si>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</si>
  <si>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</si>
  <si>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</si>
  <si>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</si>
  <si>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</si>
  <si>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</si>
  <si>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</si>
  <si>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</si>
  <si>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</si>
  <si>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</si>
  <si>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</si>
  <si>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</si>
  <si>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</si>
  <si>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</si>
  <si>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</si>
  <si>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</si>
  <si>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</si>
  <si>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</si>
  <si>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</si>
  <si>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</si>
  <si>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</si>
  <si>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</si>
  <si>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</si>
  <si>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</si>
  <si>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</si>
  <si>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</si>
  <si>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</si>
  <si>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</si>
  <si>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</si>
  <si>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</si>
  <si>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</si>
  <si>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</si>
  <si>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</si>
  <si>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</si>
  <si>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</si>
  <si>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</si>
  <si>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</si>
  <si>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</si>
  <si>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</si>
  <si>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</si>
  <si>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</si>
  <si>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</si>
  <si>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</si>
  <si>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</si>
  <si>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</si>
  <si>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</si>
  <si>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</si>
  <si>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</si>
  <si>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</si>
  <si>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</si>
  <si>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</si>
  <si>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</si>
  <si>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</si>
  <si>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</si>
  <si>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</si>
  <si>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</si>
  <si>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</si>
  <si>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</si>
  <si>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</si>
  <si>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</si>
  <si>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</si>
  <si>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</si>
  <si>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</si>
  <si>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</si>
  <si>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</si>
  <si>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</si>
  <si>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</si>
  <si>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</si>
  <si>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</si>
  <si>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</si>
  <si>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</si>
  <si>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</si>
  <si>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</si>
  <si>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</si>
  <si>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</si>
  <si>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</si>
  <si>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</si>
  <si>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</si>
  <si>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</si>
  <si>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</si>
  <si>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</si>
  <si>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</si>
  <si>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</si>
  <si>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</si>
  <si>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</si>
  <si>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</si>
  <si>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</si>
  <si>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</si>
  <si>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</si>
  <si>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</si>
  <si>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</si>
  <si>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</si>
  <si>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</si>
  <si>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</si>
  <si>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</si>
  <si>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</si>
  <si>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</si>
  <si>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</si>
  <si>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</si>
  <si>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</si>
  <si>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</si>
  <si>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</si>
  <si>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</si>
  <si>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</si>
  <si>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</si>
  <si>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</si>
  <si>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</si>
  <si>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</si>
  <si>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</si>
  <si>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</si>
  <si>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</si>
  <si>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</si>
  <si>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</si>
  <si>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</si>
  <si>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</si>
  <si>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</si>
  <si>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</si>
  <si>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</si>
  <si>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</si>
  <si>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</si>
  <si>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</si>
  <si>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</si>
  <si>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</si>
  <si>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</si>
  <si>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</si>
  <si>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</si>
  <si>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</si>
  <si>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</si>
  <si>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</si>
  <si>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TOURNAMENT-ROOM-LIFE-001</t>
  </si>
  <si>
    <t>Expansion checkpoint CP12</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</si>
  <si>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</si>
  <si>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</si>
  <si>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</si>
  <si>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</si>
  <si>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</si>
  <si>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2026-08-16</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</si>
  <si>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</si>
  <si>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</si>
  <si>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</si>
  <si>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</si>
  <si>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</si>
  <si>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</si>
  <si>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</si>
  <si>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</si>
  <si>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</si>
  <si>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IN PROGRESS</t>
  </si>
  <si>
    <t>Backend/frontend-local write materializer and shared card converter; dev watcher builds PASS; guarded isolated fixture plus Mongo/HTTP list oracle proves persisted Qualifiers 1/2 and no subEvents list projection</t>
  </si>
  <si>
    <t>Verify Casey card shows Qualifiers 1/2; Finalize once with My Events underneath; require immediate Final 2/2 and reload persistence</t>
  </si>
  <si>
    <t>Fixture staged at 2026-08-16T14:52:56.420Z with one root parent, three accepted members and zero generated root rooms; closed tournament notification producers remain out of scope</t>
  </si>
  <si>
    <t>TOURNAMENT-ADMISSION-001</t>
  </si>
  <si>
    <t>Tournament first-stage admission boundary</t>
  </si>
  <si>
    <t>Attempt late join, invite and Admin approval at and after the first stage Start boundary</t>
  </si>
  <si>
    <t>X or one explicit registration-closed outcome according to the chosen policy</t>
  </si>
  <si>
    <t>DELTA enforce exactly one chosen policy: strict first-Start lock, or bounded first-stage grace with atomic room assignment; no pending room membership</t>
  </si>
  <si>
    <t>Parent admission never feeds the nested Groups counter; event-owner room member-pending stays zero; any permitted late acceptance is atomic and deterministic</t>
  </si>
  <si>
    <t>The later product discussion reopened strict first-Start lock versus bounded first-stage grace; no implementation should guess this choice</t>
  </si>
  <si>
    <t>Choose one admission policy first, then implement/replay without changing already-passed Start notification producers</t>
  </si>
  <si>
    <t>Ordinary-event grace is not inherited implicitly; parent pending may have its own indicator, while Groups remains group-scoped</t>
  </si>
  <si>
    <t>TOURNAMENT-004</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</si>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</sst>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20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COUNTIFS(Q10:Q202,"Done",R10:R202,"Core")&amp;" ("&amp;IF(COUNTIF(R10:R202,"Core")=0,"0%",TEXT(COUNTIFS(Q10:Q202,"Done",R10:R202,"Core")/COUNTIF(R10:R202,"Core"),"0%"))&amp;")"</f>
        <v>58 (42%)</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COUNTIFS(Q10:Q202,"Pending",R10:R202,"Core")</f>
        <v>19</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COUNTIFS(Q10:Q202,"Not started",R10:R202,"Core")</f>
        <v>60</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COUNTIFS(Q10:Q202,"Failed",R10:R202,"Core")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COUNTIF(R10:R202,"Core")</f>
        <v>137</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COUNTIF(R10:R202,"External")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COUNTA(A10:A202)</f>
        <v>193</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75" hidden="false" customHeight="true" outlineLevel="0" collapsed="false">
      <c r="A98" s="136" t="s">
        <v>894</v>
      </c>
      <c r="B98" s="136" t="s">
        <v>885</v>
      </c>
      <c r="C98" s="136" t="s">
        <v>895</v>
      </c>
      <c r="D98" s="136" t="s">
        <v>896</v>
      </c>
      <c r="E98" s="136" t="s">
        <v>4</v>
      </c>
      <c r="F98" s="136" t="s">
        <v>897</v>
      </c>
      <c r="G98" s="136" t="s">
        <v>4</v>
      </c>
      <c r="H98" s="136" t="s">
        <v>4</v>
      </c>
      <c r="I98" s="136" t="s">
        <v>898</v>
      </c>
      <c r="J98" s="136" t="s">
        <v>899</v>
      </c>
      <c r="K98" s="136" t="s">
        <v>900</v>
      </c>
      <c r="L98" s="136" t="s">
        <v>901</v>
      </c>
      <c r="M98" s="136" t="s">
        <v>902</v>
      </c>
      <c r="N98" s="136" t="s">
        <v>1</v>
      </c>
      <c r="O98" s="136" t="s">
        <v>903</v>
      </c>
      <c r="P98" s="136"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Pending</v>
      </c>
      <c r="R98" s="146" t="str">
        <f>IF(OR(LEFT(A98,9)="OPERATOR-",LEFT(A98,8)="PAYMENT-",LEFT(A98,7)="DEPLOY-"),"External","Core")</f>
        <v>Core</v>
      </c>
    </row>
    <row r="99" customFormat="false" ht="15" hidden="false" customHeight="false" outlineLevel="0" collapsed="false">
      <c r="A99" s="135" t="s">
        <v>904</v>
      </c>
      <c r="B99" s="135" t="s">
        <v>447</v>
      </c>
      <c r="C99" s="135" t="s">
        <v>905</v>
      </c>
      <c r="D99" s="135" t="s">
        <v>906</v>
      </c>
      <c r="E99" s="135" t="s">
        <v>907</v>
      </c>
      <c r="F99" s="135" t="s">
        <v>908</v>
      </c>
      <c r="G99" s="135" t="s">
        <v>777</v>
      </c>
      <c r="H99" s="135" t="s">
        <v>909</v>
      </c>
      <c r="I99" s="135" t="s">
        <v>910</v>
      </c>
      <c r="J99" s="135" t="s">
        <v>47</v>
      </c>
      <c r="K99" s="135" t="s">
        <v>900</v>
      </c>
      <c r="L99" s="135" t="s">
        <v>911</v>
      </c>
      <c r="M99" s="135" t="s">
        <v>912</v>
      </c>
      <c r="N99" s="135" t="s">
        <v>51</v>
      </c>
      <c r="O99" s="135" t="s">
        <v>913</v>
      </c>
      <c r="P99" s="135"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Done</v>
      </c>
      <c r="R99" s="146" t="str">
        <f>IF(OR(LEFT(A99,9)="OPERATOR-",LEFT(A99,8)="PAYMENT-",LEFT(A99,7)="DEPLOY-"),"External","Core")</f>
        <v>Core</v>
      </c>
    </row>
    <row r="100" customFormat="false" ht="15" hidden="false" customHeight="false" outlineLevel="0" collapsed="false">
      <c r="A100" s="135" t="s">
        <v>914</v>
      </c>
      <c r="B100" s="135" t="s">
        <v>447</v>
      </c>
      <c r="C100" s="135" t="s">
        <v>905</v>
      </c>
      <c r="D100" s="135" t="s">
        <v>915</v>
      </c>
      <c r="E100" s="135" t="s">
        <v>506</v>
      </c>
      <c r="F100" s="135" t="s">
        <v>916</v>
      </c>
      <c r="G100" s="135" t="s">
        <v>917</v>
      </c>
      <c r="H100" s="135" t="s">
        <v>918</v>
      </c>
      <c r="I100" s="135" t="s">
        <v>919</v>
      </c>
      <c r="J100" s="135" t="s">
        <v>486</v>
      </c>
      <c r="K100" s="135" t="s">
        <v>900</v>
      </c>
      <c r="L100" s="135" t="s">
        <v>920</v>
      </c>
      <c r="M100" s="135" t="s">
        <v>921</v>
      </c>
      <c r="N100" s="135" t="s">
        <v>51</v>
      </c>
      <c r="O100" s="135" t="s">
        <v>922</v>
      </c>
      <c r="P100" s="135"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Done</v>
      </c>
      <c r="R100" s="146" t="str">
        <f>IF(OR(LEFT(A100,9)="OPERATOR-",LEFT(A100,8)="PAYMENT-",LEFT(A100,7)="DEPLOY-"),"External","Core")</f>
        <v>Core</v>
      </c>
    </row>
    <row r="101" customFormat="false" ht="15" hidden="false" customHeight="false" outlineLevel="0" collapsed="false">
      <c r="A101" s="135" t="s">
        <v>923</v>
      </c>
      <c r="B101" s="135" t="s">
        <v>447</v>
      </c>
      <c r="C101" s="135" t="s">
        <v>905</v>
      </c>
      <c r="D101" s="135" t="s">
        <v>924</v>
      </c>
      <c r="E101" s="135" t="s">
        <v>925</v>
      </c>
      <c r="F101" s="135" t="s">
        <v>926</v>
      </c>
      <c r="G101" s="135" t="s">
        <v>927</v>
      </c>
      <c r="H101" s="135" t="s">
        <v>928</v>
      </c>
      <c r="I101" s="135" t="s">
        <v>929</v>
      </c>
      <c r="J101" s="135" t="s">
        <v>486</v>
      </c>
      <c r="K101" s="135" t="s">
        <v>900</v>
      </c>
      <c r="L101" s="135" t="s">
        <v>930</v>
      </c>
      <c r="M101" s="135" t="s">
        <v>931</v>
      </c>
      <c r="N101" s="135" t="s">
        <v>51</v>
      </c>
      <c r="O101" s="135" t="s">
        <v>932</v>
      </c>
      <c r="P101" s="135"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Done</v>
      </c>
      <c r="R101" s="146" t="str">
        <f>IF(OR(LEFT(A101,9)="OPERATOR-",LEFT(A101,8)="PAYMENT-",LEFT(A101,7)="DEPLOY-"),"External","Core")</f>
        <v>Core</v>
      </c>
    </row>
    <row r="102" customFormat="false" ht="15" hidden="false" customHeight="false" outlineLevel="0" collapsed="false">
      <c r="A102" s="138" t="s">
        <v>933</v>
      </c>
      <c r="B102" s="138" t="s">
        <v>447</v>
      </c>
      <c r="C102" s="138" t="s">
        <v>934</v>
      </c>
      <c r="D102" s="138" t="s">
        <v>935</v>
      </c>
      <c r="E102" s="138" t="s">
        <v>936</v>
      </c>
      <c r="F102" s="138" t="s">
        <v>937</v>
      </c>
      <c r="G102" s="138" t="s">
        <v>4</v>
      </c>
      <c r="H102" s="138" t="s">
        <v>619</v>
      </c>
      <c r="I102" s="138" t="s">
        <v>938</v>
      </c>
      <c r="J102" s="138" t="s">
        <v>58</v>
      </c>
      <c r="K102" s="138" t="s">
        <v>1</v>
      </c>
      <c r="L102" s="138" t="s">
        <v>939</v>
      </c>
      <c r="M102" s="138" t="s">
        <v>940</v>
      </c>
      <c r="N102" s="138" t="s">
        <v>1</v>
      </c>
      <c r="O102" s="138" t="s">
        <v>941</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942</v>
      </c>
      <c r="B103" s="138" t="s">
        <v>447</v>
      </c>
      <c r="C103" s="138" t="s">
        <v>934</v>
      </c>
      <c r="D103" s="138" t="s">
        <v>943</v>
      </c>
      <c r="E103" s="138" t="s">
        <v>936</v>
      </c>
      <c r="F103" s="138" t="s">
        <v>944</v>
      </c>
      <c r="G103" s="138" t="s">
        <v>4</v>
      </c>
      <c r="H103" s="138" t="s">
        <v>945</v>
      </c>
      <c r="I103" s="138" t="s">
        <v>946</v>
      </c>
      <c r="J103" s="138" t="s">
        <v>58</v>
      </c>
      <c r="K103" s="138" t="s">
        <v>1</v>
      </c>
      <c r="L103" s="138" t="s">
        <v>947</v>
      </c>
      <c r="M103" s="138" t="s">
        <v>948</v>
      </c>
      <c r="N103" s="138" t="s">
        <v>1</v>
      </c>
      <c r="O103" s="138" t="s">
        <v>949</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950</v>
      </c>
      <c r="B104" s="138" t="s">
        <v>447</v>
      </c>
      <c r="C104" s="138" t="s">
        <v>951</v>
      </c>
      <c r="D104" s="138" t="s">
        <v>952</v>
      </c>
      <c r="E104" s="138" t="s">
        <v>953</v>
      </c>
      <c r="F104" s="138" t="s">
        <v>954</v>
      </c>
      <c r="G104" s="138" t="s">
        <v>4</v>
      </c>
      <c r="H104" s="138" t="s">
        <v>955</v>
      </c>
      <c r="I104" s="138" t="s">
        <v>956</v>
      </c>
      <c r="J104" s="138" t="s">
        <v>58</v>
      </c>
      <c r="K104" s="138" t="s">
        <v>1</v>
      </c>
      <c r="L104" s="138" t="s">
        <v>957</v>
      </c>
      <c r="M104" s="138" t="s">
        <v>958</v>
      </c>
      <c r="N104" s="138" t="s">
        <v>1</v>
      </c>
      <c r="O104" s="138" t="s">
        <v>959</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960</v>
      </c>
      <c r="B105" s="243" t="s">
        <v>447</v>
      </c>
      <c r="C105" s="243" t="s">
        <v>961</v>
      </c>
      <c r="D105" s="243" t="s">
        <v>962</v>
      </c>
      <c r="E105" s="243" t="s">
        <v>4</v>
      </c>
      <c r="F105" s="243" t="s">
        <v>963</v>
      </c>
      <c r="G105" s="243" t="s">
        <v>4</v>
      </c>
      <c r="H105" s="243" t="s">
        <v>964</v>
      </c>
      <c r="I105" s="243" t="s">
        <v>965</v>
      </c>
      <c r="J105" s="243" t="s">
        <v>58</v>
      </c>
      <c r="K105" s="243" t="s">
        <v>1</v>
      </c>
      <c r="L105" s="243" t="s">
        <v>966</v>
      </c>
      <c r="M105" s="243" t="s">
        <v>967</v>
      </c>
      <c r="N105" s="243" t="s">
        <v>1</v>
      </c>
      <c r="O105" s="243" t="s">
        <v>968</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969</v>
      </c>
      <c r="B106" s="243" t="s">
        <v>885</v>
      </c>
      <c r="C106" s="243" t="s">
        <v>970</v>
      </c>
      <c r="D106" s="243" t="s">
        <v>971</v>
      </c>
      <c r="E106" s="243" t="s">
        <v>4</v>
      </c>
      <c r="F106" s="243" t="s">
        <v>972</v>
      </c>
      <c r="G106" s="243" t="s">
        <v>4</v>
      </c>
      <c r="H106" s="243" t="s">
        <v>973</v>
      </c>
      <c r="I106" s="243" t="s">
        <v>974</v>
      </c>
      <c r="J106" s="243" t="s">
        <v>975</v>
      </c>
      <c r="K106" s="243" t="s">
        <v>1</v>
      </c>
      <c r="L106" s="243" t="s">
        <v>976</v>
      </c>
      <c r="M106" s="243" t="s">
        <v>977</v>
      </c>
      <c r="N106" s="243" t="s">
        <v>1</v>
      </c>
      <c r="O106" s="243" t="s">
        <v>978</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979</v>
      </c>
      <c r="B107" s="243" t="s">
        <v>885</v>
      </c>
      <c r="C107" s="243" t="s">
        <v>980</v>
      </c>
      <c r="D107" s="243" t="s">
        <v>981</v>
      </c>
      <c r="E107" s="243" t="s">
        <v>4</v>
      </c>
      <c r="F107" s="243" t="s">
        <v>982</v>
      </c>
      <c r="G107" s="243" t="s">
        <v>4</v>
      </c>
      <c r="H107" s="243" t="s">
        <v>4</v>
      </c>
      <c r="I107" s="243" t="s">
        <v>983</v>
      </c>
      <c r="J107" s="243" t="s">
        <v>975</v>
      </c>
      <c r="K107" s="243" t="s">
        <v>1</v>
      </c>
      <c r="L107" s="243" t="s">
        <v>984</v>
      </c>
      <c r="M107" s="243" t="s">
        <v>985</v>
      </c>
      <c r="N107" s="243" t="s">
        <v>1</v>
      </c>
      <c r="O107" s="243" t="s">
        <v>986</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987</v>
      </c>
      <c r="B108" s="138" t="s">
        <v>447</v>
      </c>
      <c r="C108" s="138" t="s">
        <v>988</v>
      </c>
      <c r="D108" s="138" t="s">
        <v>989</v>
      </c>
      <c r="E108" s="138" t="s">
        <v>990</v>
      </c>
      <c r="F108" s="138" t="s">
        <v>991</v>
      </c>
      <c r="G108" s="138" t="s">
        <v>777</v>
      </c>
      <c r="H108" s="138" t="s">
        <v>992</v>
      </c>
      <c r="I108" s="138" t="s">
        <v>993</v>
      </c>
      <c r="J108" s="138" t="s">
        <v>58</v>
      </c>
      <c r="K108" s="138" t="s">
        <v>1</v>
      </c>
      <c r="L108" s="138" t="s">
        <v>994</v>
      </c>
      <c r="M108" s="138" t="s">
        <v>995</v>
      </c>
      <c r="N108" s="138" t="s">
        <v>1</v>
      </c>
      <c r="O108" s="138" t="s">
        <v>996</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997</v>
      </c>
      <c r="B109" s="138" t="s">
        <v>447</v>
      </c>
      <c r="C109" s="138" t="s">
        <v>998</v>
      </c>
      <c r="D109" s="138" t="s">
        <v>999</v>
      </c>
      <c r="E109" s="138" t="s">
        <v>4</v>
      </c>
      <c r="F109" s="138" t="s">
        <v>4</v>
      </c>
      <c r="G109" s="138" t="s">
        <v>4</v>
      </c>
      <c r="H109" s="138" t="s">
        <v>4</v>
      </c>
      <c r="I109" s="138" t="s">
        <v>1000</v>
      </c>
      <c r="J109" s="138" t="s">
        <v>58</v>
      </c>
      <c r="K109" s="138" t="s">
        <v>1</v>
      </c>
      <c r="L109" s="138" t="s">
        <v>1001</v>
      </c>
      <c r="M109" s="138" t="s">
        <v>1002</v>
      </c>
      <c r="N109" s="138" t="s">
        <v>1</v>
      </c>
      <c r="O109" s="138" t="s">
        <v>1003</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1004</v>
      </c>
      <c r="B110" s="138" t="s">
        <v>447</v>
      </c>
      <c r="C110" s="138" t="s">
        <v>1005</v>
      </c>
      <c r="D110" s="138" t="s">
        <v>1006</v>
      </c>
      <c r="E110" s="138" t="s">
        <v>1007</v>
      </c>
      <c r="F110" s="138" t="s">
        <v>1008</v>
      </c>
      <c r="G110" s="138" t="s">
        <v>452</v>
      </c>
      <c r="H110" s="138" t="s">
        <v>1009</v>
      </c>
      <c r="I110" s="138" t="s">
        <v>1010</v>
      </c>
      <c r="J110" s="138" t="s">
        <v>58</v>
      </c>
      <c r="K110" s="138" t="s">
        <v>1</v>
      </c>
      <c r="L110" s="138" t="s">
        <v>1011</v>
      </c>
      <c r="M110" s="138" t="s">
        <v>1012</v>
      </c>
      <c r="N110" s="138" t="s">
        <v>1</v>
      </c>
      <c r="O110" s="138" t="s">
        <v>1013</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1014</v>
      </c>
      <c r="B111" s="138" t="s">
        <v>447</v>
      </c>
      <c r="C111" s="138" t="s">
        <v>1015</v>
      </c>
      <c r="D111" s="138" t="s">
        <v>1016</v>
      </c>
      <c r="E111" s="138" t="s">
        <v>1017</v>
      </c>
      <c r="F111" s="138" t="s">
        <v>1018</v>
      </c>
      <c r="G111" s="138" t="s">
        <v>452</v>
      </c>
      <c r="H111" s="138" t="s">
        <v>1019</v>
      </c>
      <c r="I111" s="138" t="s">
        <v>1020</v>
      </c>
      <c r="J111" s="138" t="s">
        <v>58</v>
      </c>
      <c r="K111" s="138" t="s">
        <v>1</v>
      </c>
      <c r="L111" s="138" t="s">
        <v>1021</v>
      </c>
      <c r="M111" s="138" t="s">
        <v>1022</v>
      </c>
      <c r="N111" s="138" t="s">
        <v>1</v>
      </c>
      <c r="O111" s="138" t="s">
        <v>1023</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1024</v>
      </c>
      <c r="B112" s="135" t="s">
        <v>1025</v>
      </c>
      <c r="C112" s="135" t="s">
        <v>448</v>
      </c>
      <c r="D112" s="135" t="s">
        <v>1026</v>
      </c>
      <c r="E112" s="135" t="s">
        <v>4</v>
      </c>
      <c r="F112" s="135" t="s">
        <v>4</v>
      </c>
      <c r="G112" s="135" t="s">
        <v>4</v>
      </c>
      <c r="H112" s="135" t="s">
        <v>4</v>
      </c>
      <c r="I112" s="135" t="s">
        <v>1027</v>
      </c>
      <c r="J112" s="135" t="s">
        <v>1028</v>
      </c>
      <c r="K112" s="135" t="s">
        <v>92</v>
      </c>
      <c r="L112" s="135" t="s">
        <v>1029</v>
      </c>
      <c r="M112" s="135" t="s">
        <v>1030</v>
      </c>
      <c r="N112" s="135" t="s">
        <v>51</v>
      </c>
      <c r="O112" s="135" t="s">
        <v>1031</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1032</v>
      </c>
      <c r="B113" s="135" t="s">
        <v>447</v>
      </c>
      <c r="C113" s="135" t="s">
        <v>1033</v>
      </c>
      <c r="D113" s="135" t="s">
        <v>1034</v>
      </c>
      <c r="E113" s="135" t="s">
        <v>4</v>
      </c>
      <c r="F113" s="135" t="s">
        <v>4</v>
      </c>
      <c r="G113" s="135" t="s">
        <v>4</v>
      </c>
      <c r="H113" s="135" t="s">
        <v>4</v>
      </c>
      <c r="I113" s="135" t="s">
        <v>1035</v>
      </c>
      <c r="J113" s="135" t="s">
        <v>47</v>
      </c>
      <c r="K113" s="135" t="s">
        <v>92</v>
      </c>
      <c r="L113" s="135" t="s">
        <v>1036</v>
      </c>
      <c r="M113" s="135" t="s">
        <v>1037</v>
      </c>
      <c r="N113" s="135" t="s">
        <v>51</v>
      </c>
      <c r="O113" s="135" t="s">
        <v>1038</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1039</v>
      </c>
      <c r="B114" s="135" t="s">
        <v>447</v>
      </c>
      <c r="C114" s="135" t="s">
        <v>1040</v>
      </c>
      <c r="D114" s="135" t="s">
        <v>1041</v>
      </c>
      <c r="E114" s="135" t="s">
        <v>4</v>
      </c>
      <c r="F114" s="135" t="s">
        <v>4</v>
      </c>
      <c r="G114" s="135" t="s">
        <v>4</v>
      </c>
      <c r="H114" s="135" t="s">
        <v>4</v>
      </c>
      <c r="I114" s="135" t="s">
        <v>1042</v>
      </c>
      <c r="J114" s="135" t="s">
        <v>47</v>
      </c>
      <c r="K114" s="135" t="s">
        <v>92</v>
      </c>
      <c r="L114" s="135" t="s">
        <v>1043</v>
      </c>
      <c r="M114" s="135" t="s">
        <v>1044</v>
      </c>
      <c r="N114" s="135" t="s">
        <v>51</v>
      </c>
      <c r="O114" s="135" t="s">
        <v>1045</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1046</v>
      </c>
      <c r="B115" s="136" t="s">
        <v>1047</v>
      </c>
      <c r="C115" s="136" t="s">
        <v>1048</v>
      </c>
      <c r="D115" s="136" t="s">
        <v>1049</v>
      </c>
      <c r="E115" s="136" t="s">
        <v>4</v>
      </c>
      <c r="F115" s="136" t="s">
        <v>4</v>
      </c>
      <c r="G115" s="136" t="s">
        <v>4</v>
      </c>
      <c r="H115" s="136" t="s">
        <v>4</v>
      </c>
      <c r="I115" s="136" t="s">
        <v>1050</v>
      </c>
      <c r="J115" s="136" t="s">
        <v>1051</v>
      </c>
      <c r="K115" s="136" t="s">
        <v>48</v>
      </c>
      <c r="L115" s="136" t="s">
        <v>1052</v>
      </c>
      <c r="M115" s="136" t="s">
        <v>1053</v>
      </c>
      <c r="N115" s="136" t="s">
        <v>1054</v>
      </c>
      <c r="O115" s="136" t="s">
        <v>1055</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1056</v>
      </c>
      <c r="B116" s="243" t="s">
        <v>1057</v>
      </c>
      <c r="C116" s="243" t="s">
        <v>1058</v>
      </c>
      <c r="D116" s="243" t="s">
        <v>1059</v>
      </c>
      <c r="E116" s="243" t="s">
        <v>4</v>
      </c>
      <c r="F116" s="243" t="s">
        <v>1060</v>
      </c>
      <c r="G116" s="243" t="s">
        <v>4</v>
      </c>
      <c r="H116" s="243" t="s">
        <v>4</v>
      </c>
      <c r="I116" s="243" t="s">
        <v>1061</v>
      </c>
      <c r="J116" s="243" t="s">
        <v>1062</v>
      </c>
      <c r="K116" s="243" t="s">
        <v>1</v>
      </c>
      <c r="L116" s="243" t="s">
        <v>1063</v>
      </c>
      <c r="M116" s="243" t="s">
        <v>1064</v>
      </c>
      <c r="N116" s="243" t="s">
        <v>1</v>
      </c>
      <c r="O116" s="243" t="s">
        <v>1065</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1066</v>
      </c>
      <c r="B117" s="243" t="s">
        <v>1057</v>
      </c>
      <c r="C117" s="243" t="s">
        <v>1058</v>
      </c>
      <c r="D117" s="243" t="s">
        <v>1067</v>
      </c>
      <c r="E117" s="243" t="s">
        <v>1068</v>
      </c>
      <c r="F117" s="243" t="s">
        <v>1069</v>
      </c>
      <c r="G117" s="243" t="s">
        <v>4</v>
      </c>
      <c r="H117" s="243" t="s">
        <v>1070</v>
      </c>
      <c r="I117" s="243" t="s">
        <v>1071</v>
      </c>
      <c r="J117" s="243" t="s">
        <v>1062</v>
      </c>
      <c r="K117" s="243" t="s">
        <v>1</v>
      </c>
      <c r="L117" s="243" t="s">
        <v>1072</v>
      </c>
      <c r="M117" s="243" t="s">
        <v>1073</v>
      </c>
      <c r="N117" s="243" t="s">
        <v>1</v>
      </c>
      <c r="O117" s="243" t="s">
        <v>1074</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1075</v>
      </c>
      <c r="B118" s="243" t="s">
        <v>1057</v>
      </c>
      <c r="C118" s="243" t="s">
        <v>1076</v>
      </c>
      <c r="D118" s="243" t="s">
        <v>1077</v>
      </c>
      <c r="E118" s="243" t="s">
        <v>4</v>
      </c>
      <c r="F118" s="243" t="s">
        <v>1078</v>
      </c>
      <c r="G118" s="243" t="s">
        <v>4</v>
      </c>
      <c r="H118" s="243" t="s">
        <v>4</v>
      </c>
      <c r="I118" s="243" t="s">
        <v>1079</v>
      </c>
      <c r="J118" s="243" t="s">
        <v>1062</v>
      </c>
      <c r="K118" s="243" t="s">
        <v>1</v>
      </c>
      <c r="L118" s="243" t="s">
        <v>1080</v>
      </c>
      <c r="M118" s="243" t="s">
        <v>1081</v>
      </c>
      <c r="N118" s="243" t="s">
        <v>1</v>
      </c>
      <c r="O118" s="243" t="s">
        <v>1082</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1083</v>
      </c>
      <c r="B119" s="243" t="s">
        <v>1057</v>
      </c>
      <c r="C119" s="243" t="s">
        <v>1084</v>
      </c>
      <c r="D119" s="243" t="s">
        <v>1085</v>
      </c>
      <c r="E119" s="243" t="s">
        <v>4</v>
      </c>
      <c r="F119" s="243" t="s">
        <v>1086</v>
      </c>
      <c r="G119" s="243" t="s">
        <v>4</v>
      </c>
      <c r="H119" s="243" t="s">
        <v>1087</v>
      </c>
      <c r="I119" s="243" t="s">
        <v>1088</v>
      </c>
      <c r="J119" s="243" t="s">
        <v>1062</v>
      </c>
      <c r="K119" s="243" t="s">
        <v>1</v>
      </c>
      <c r="L119" s="243" t="s">
        <v>1089</v>
      </c>
      <c r="M119" s="243" t="s">
        <v>1090</v>
      </c>
      <c r="N119" s="243" t="s">
        <v>1</v>
      </c>
      <c r="O119" s="243" t="s">
        <v>1091</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1092</v>
      </c>
      <c r="B120" s="243" t="s">
        <v>1057</v>
      </c>
      <c r="C120" s="243" t="s">
        <v>1093</v>
      </c>
      <c r="D120" s="243" t="s">
        <v>1094</v>
      </c>
      <c r="E120" s="243" t="s">
        <v>4</v>
      </c>
      <c r="F120" s="243" t="s">
        <v>1095</v>
      </c>
      <c r="G120" s="243" t="s">
        <v>4</v>
      </c>
      <c r="H120" s="243" t="s">
        <v>1096</v>
      </c>
      <c r="I120" s="243" t="s">
        <v>1097</v>
      </c>
      <c r="J120" s="243" t="s">
        <v>1062</v>
      </c>
      <c r="K120" s="243" t="s">
        <v>1</v>
      </c>
      <c r="L120" s="243" t="s">
        <v>1098</v>
      </c>
      <c r="M120" s="243" t="s">
        <v>1099</v>
      </c>
      <c r="N120" s="243" t="s">
        <v>1</v>
      </c>
      <c r="O120" s="243" t="s">
        <v>1100</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1101</v>
      </c>
      <c r="B121" s="243" t="s">
        <v>1057</v>
      </c>
      <c r="C121" s="243" t="s">
        <v>1058</v>
      </c>
      <c r="D121" s="243" t="s">
        <v>1102</v>
      </c>
      <c r="E121" s="243" t="s">
        <v>1068</v>
      </c>
      <c r="F121" s="243" t="s">
        <v>1103</v>
      </c>
      <c r="G121" s="243" t="s">
        <v>4</v>
      </c>
      <c r="H121" s="243" t="s">
        <v>1070</v>
      </c>
      <c r="I121" s="243" t="s">
        <v>1104</v>
      </c>
      <c r="J121" s="243" t="s">
        <v>1062</v>
      </c>
      <c r="K121" s="243" t="s">
        <v>1</v>
      </c>
      <c r="L121" s="243" t="s">
        <v>1105</v>
      </c>
      <c r="M121" s="243" t="s">
        <v>1106</v>
      </c>
      <c r="N121" s="243" t="s">
        <v>1</v>
      </c>
      <c r="O121" s="243" t="s">
        <v>1107</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1108</v>
      </c>
      <c r="B122" s="243" t="s">
        <v>1057</v>
      </c>
      <c r="C122" s="243" t="s">
        <v>1109</v>
      </c>
      <c r="D122" s="243" t="s">
        <v>1110</v>
      </c>
      <c r="E122" s="243" t="s">
        <v>4</v>
      </c>
      <c r="F122" s="243" t="s">
        <v>1111</v>
      </c>
      <c r="G122" s="243" t="s">
        <v>4</v>
      </c>
      <c r="H122" s="243" t="s">
        <v>1112</v>
      </c>
      <c r="I122" s="243" t="s">
        <v>1113</v>
      </c>
      <c r="J122" s="243" t="s">
        <v>1062</v>
      </c>
      <c r="K122" s="243" t="s">
        <v>1</v>
      </c>
      <c r="L122" s="243" t="s">
        <v>1114</v>
      </c>
      <c r="M122" s="243" t="s">
        <v>1115</v>
      </c>
      <c r="N122" s="243" t="s">
        <v>1</v>
      </c>
      <c r="O122" s="243" t="s">
        <v>1116</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1117</v>
      </c>
      <c r="B123" s="243" t="s">
        <v>1118</v>
      </c>
      <c r="C123" s="243" t="s">
        <v>1119</v>
      </c>
      <c r="D123" s="243" t="s">
        <v>1120</v>
      </c>
      <c r="E123" s="243" t="s">
        <v>1121</v>
      </c>
      <c r="F123" s="243" t="s">
        <v>1122</v>
      </c>
      <c r="G123" s="243" t="s">
        <v>4</v>
      </c>
      <c r="H123" s="243" t="s">
        <v>1123</v>
      </c>
      <c r="I123" s="243" t="s">
        <v>1124</v>
      </c>
      <c r="J123" s="243" t="s">
        <v>1062</v>
      </c>
      <c r="K123" s="243" t="s">
        <v>1</v>
      </c>
      <c r="L123" s="243" t="s">
        <v>1125</v>
      </c>
      <c r="M123" s="243" t="s">
        <v>1126</v>
      </c>
      <c r="N123" s="243" t="s">
        <v>1</v>
      </c>
      <c r="O123" s="243" t="s">
        <v>1127</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1128</v>
      </c>
      <c r="B124" s="243" t="s">
        <v>1118</v>
      </c>
      <c r="C124" s="243" t="s">
        <v>1129</v>
      </c>
      <c r="D124" s="243" t="s">
        <v>1130</v>
      </c>
      <c r="E124" s="243" t="s">
        <v>4</v>
      </c>
      <c r="F124" s="243" t="s">
        <v>1131</v>
      </c>
      <c r="G124" s="243" t="s">
        <v>4</v>
      </c>
      <c r="H124" s="243" t="s">
        <v>1132</v>
      </c>
      <c r="I124" s="243" t="s">
        <v>1133</v>
      </c>
      <c r="J124" s="243" t="s">
        <v>1062</v>
      </c>
      <c r="K124" s="243" t="s">
        <v>1</v>
      </c>
      <c r="L124" s="243" t="s">
        <v>1134</v>
      </c>
      <c r="M124" s="243" t="s">
        <v>1135</v>
      </c>
      <c r="N124" s="243" t="s">
        <v>1</v>
      </c>
      <c r="O124" s="243" t="s">
        <v>1136</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1137</v>
      </c>
      <c r="B125" s="243" t="s">
        <v>1118</v>
      </c>
      <c r="C125" s="243" t="s">
        <v>1129</v>
      </c>
      <c r="D125" s="243" t="s">
        <v>1138</v>
      </c>
      <c r="E125" s="243" t="s">
        <v>4</v>
      </c>
      <c r="F125" s="243" t="s">
        <v>1139</v>
      </c>
      <c r="G125" s="243" t="s">
        <v>4</v>
      </c>
      <c r="H125" s="243" t="s">
        <v>1140</v>
      </c>
      <c r="I125" s="243" t="s">
        <v>1141</v>
      </c>
      <c r="J125" s="243" t="s">
        <v>1062</v>
      </c>
      <c r="K125" s="243" t="s">
        <v>1</v>
      </c>
      <c r="L125" s="243" t="s">
        <v>1142</v>
      </c>
      <c r="M125" s="243" t="s">
        <v>1143</v>
      </c>
      <c r="N125" s="243" t="s">
        <v>1</v>
      </c>
      <c r="O125" s="243" t="s">
        <v>1144</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1145</v>
      </c>
      <c r="B126" s="243" t="s">
        <v>1118</v>
      </c>
      <c r="C126" s="243" t="s">
        <v>1146</v>
      </c>
      <c r="D126" s="243" t="s">
        <v>1147</v>
      </c>
      <c r="E126" s="243" t="s">
        <v>1148</v>
      </c>
      <c r="F126" s="243" t="s">
        <v>1149</v>
      </c>
      <c r="G126" s="243" t="s">
        <v>4</v>
      </c>
      <c r="H126" s="243" t="s">
        <v>1150</v>
      </c>
      <c r="I126" s="243" t="s">
        <v>1151</v>
      </c>
      <c r="J126" s="243" t="s">
        <v>1152</v>
      </c>
      <c r="K126" s="243" t="s">
        <v>1</v>
      </c>
      <c r="L126" s="243" t="s">
        <v>1153</v>
      </c>
      <c r="M126" s="243" t="s">
        <v>1154</v>
      </c>
      <c r="N126" s="243" t="s">
        <v>1</v>
      </c>
      <c r="O126" s="243" t="s">
        <v>1155</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1156</v>
      </c>
      <c r="B127" s="243" t="s">
        <v>1118</v>
      </c>
      <c r="C127" s="243" t="s">
        <v>1157</v>
      </c>
      <c r="D127" s="243" t="s">
        <v>1158</v>
      </c>
      <c r="E127" s="243" t="s">
        <v>4</v>
      </c>
      <c r="F127" s="243" t="s">
        <v>1159</v>
      </c>
      <c r="G127" s="243" t="s">
        <v>4</v>
      </c>
      <c r="H127" s="243" t="s">
        <v>1160</v>
      </c>
      <c r="I127" s="243" t="s">
        <v>1161</v>
      </c>
      <c r="J127" s="243" t="s">
        <v>1152</v>
      </c>
      <c r="K127" s="243" t="s">
        <v>1</v>
      </c>
      <c r="L127" s="243" t="s">
        <v>1162</v>
      </c>
      <c r="M127" s="243" t="s">
        <v>1163</v>
      </c>
      <c r="N127" s="243" t="s">
        <v>1</v>
      </c>
      <c r="O127" s="243" t="s">
        <v>1164</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1165</v>
      </c>
      <c r="B128" s="243" t="s">
        <v>1118</v>
      </c>
      <c r="C128" s="243" t="s">
        <v>1119</v>
      </c>
      <c r="D128" s="243" t="s">
        <v>1166</v>
      </c>
      <c r="E128" s="243" t="s">
        <v>1167</v>
      </c>
      <c r="F128" s="243" t="s">
        <v>1168</v>
      </c>
      <c r="G128" s="243" t="s">
        <v>4</v>
      </c>
      <c r="H128" s="243" t="s">
        <v>1169</v>
      </c>
      <c r="I128" s="243" t="s">
        <v>1170</v>
      </c>
      <c r="J128" s="243" t="s">
        <v>1171</v>
      </c>
      <c r="K128" s="243" t="s">
        <v>1</v>
      </c>
      <c r="L128" s="243" t="s">
        <v>1172</v>
      </c>
      <c r="M128" s="243" t="s">
        <v>1173</v>
      </c>
      <c r="N128" s="243" t="s">
        <v>1</v>
      </c>
      <c r="O128" s="243" t="s">
        <v>1174</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1175</v>
      </c>
      <c r="B129" s="243" t="s">
        <v>1118</v>
      </c>
      <c r="C129" s="243" t="s">
        <v>1176</v>
      </c>
      <c r="D129" s="243" t="s">
        <v>1177</v>
      </c>
      <c r="E129" s="243" t="s">
        <v>4</v>
      </c>
      <c r="F129" s="243" t="s">
        <v>1178</v>
      </c>
      <c r="G129" s="243" t="s">
        <v>4</v>
      </c>
      <c r="H129" s="243" t="s">
        <v>4</v>
      </c>
      <c r="I129" s="243" t="s">
        <v>1179</v>
      </c>
      <c r="J129" s="243" t="s">
        <v>1062</v>
      </c>
      <c r="K129" s="243" t="s">
        <v>1</v>
      </c>
      <c r="L129" s="243" t="s">
        <v>1180</v>
      </c>
      <c r="M129" s="243" t="s">
        <v>1181</v>
      </c>
      <c r="N129" s="243" t="s">
        <v>1</v>
      </c>
      <c r="O129" s="243" t="s">
        <v>1182</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1183</v>
      </c>
      <c r="B130" s="243" t="s">
        <v>1118</v>
      </c>
      <c r="C130" s="243" t="s">
        <v>1184</v>
      </c>
      <c r="D130" s="243" t="s">
        <v>1185</v>
      </c>
      <c r="E130" s="243" t="s">
        <v>4</v>
      </c>
      <c r="F130" s="243" t="s">
        <v>1186</v>
      </c>
      <c r="G130" s="243" t="s">
        <v>4</v>
      </c>
      <c r="H130" s="243" t="s">
        <v>4</v>
      </c>
      <c r="I130" s="243" t="s">
        <v>1187</v>
      </c>
      <c r="J130" s="243" t="s">
        <v>1062</v>
      </c>
      <c r="K130" s="243" t="s">
        <v>1</v>
      </c>
      <c r="L130" s="243" t="s">
        <v>1188</v>
      </c>
      <c r="M130" s="243" t="s">
        <v>1189</v>
      </c>
      <c r="N130" s="243" t="s">
        <v>1</v>
      </c>
      <c r="O130" s="243" t="s">
        <v>1190</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1191</v>
      </c>
      <c r="B131" s="243" t="s">
        <v>1118</v>
      </c>
      <c r="C131" s="243" t="s">
        <v>1192</v>
      </c>
      <c r="D131" s="243" t="s">
        <v>1193</v>
      </c>
      <c r="E131" s="243" t="s">
        <v>4</v>
      </c>
      <c r="F131" s="243" t="s">
        <v>1194</v>
      </c>
      <c r="G131" s="243" t="s">
        <v>4</v>
      </c>
      <c r="H131" s="243" t="s">
        <v>1195</v>
      </c>
      <c r="I131" s="243" t="s">
        <v>1196</v>
      </c>
      <c r="J131" s="243" t="s">
        <v>1062</v>
      </c>
      <c r="K131" s="243" t="s">
        <v>1</v>
      </c>
      <c r="L131" s="243" t="s">
        <v>1197</v>
      </c>
      <c r="M131" s="243" t="s">
        <v>1198</v>
      </c>
      <c r="N131" s="243" t="s">
        <v>1</v>
      </c>
      <c r="O131" s="243" t="s">
        <v>1199</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1200</v>
      </c>
      <c r="B132" s="135" t="s">
        <v>1201</v>
      </c>
      <c r="C132" s="135" t="s">
        <v>1202</v>
      </c>
      <c r="D132" s="135" t="s">
        <v>1203</v>
      </c>
      <c r="E132" s="135" t="s">
        <v>1204</v>
      </c>
      <c r="F132" s="135" t="s">
        <v>1205</v>
      </c>
      <c r="G132" s="135" t="s">
        <v>1206</v>
      </c>
      <c r="H132" s="135" t="s">
        <v>4</v>
      </c>
      <c r="I132" s="135" t="s">
        <v>1207</v>
      </c>
      <c r="J132" s="135" t="s">
        <v>1208</v>
      </c>
      <c r="K132" s="135" t="s">
        <v>487</v>
      </c>
      <c r="L132" s="135" t="s">
        <v>1209</v>
      </c>
      <c r="M132" s="135" t="s">
        <v>1210</v>
      </c>
      <c r="N132" s="135" t="s">
        <v>51</v>
      </c>
      <c r="O132" s="135" t="s">
        <v>1211</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1212</v>
      </c>
      <c r="B133" s="138" t="s">
        <v>1201</v>
      </c>
      <c r="C133" s="138" t="s">
        <v>1202</v>
      </c>
      <c r="D133" s="138" t="s">
        <v>1213</v>
      </c>
      <c r="E133" s="138" t="s">
        <v>1204</v>
      </c>
      <c r="F133" s="138" t="s">
        <v>1214</v>
      </c>
      <c r="G133" s="138" t="s">
        <v>1206</v>
      </c>
      <c r="H133" s="138" t="s">
        <v>4</v>
      </c>
      <c r="I133" s="138" t="s">
        <v>1215</v>
      </c>
      <c r="J133" s="138" t="s">
        <v>1171</v>
      </c>
      <c r="K133" s="138" t="s">
        <v>1</v>
      </c>
      <c r="L133" s="138" t="s">
        <v>1216</v>
      </c>
      <c r="M133" s="138" t="s">
        <v>1217</v>
      </c>
      <c r="N133" s="138" t="s">
        <v>1</v>
      </c>
      <c r="O133" s="138" t="s">
        <v>1218</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1219</v>
      </c>
      <c r="B134" s="135" t="s">
        <v>1201</v>
      </c>
      <c r="C134" s="135" t="s">
        <v>1220</v>
      </c>
      <c r="D134" s="135" t="s">
        <v>1221</v>
      </c>
      <c r="E134" s="135" t="s">
        <v>4</v>
      </c>
      <c r="F134" s="135" t="s">
        <v>1222</v>
      </c>
      <c r="G134" s="135" t="s">
        <v>4</v>
      </c>
      <c r="H134" s="135" t="s">
        <v>4</v>
      </c>
      <c r="I134" s="135" t="s">
        <v>1223</v>
      </c>
      <c r="J134" s="135" t="s">
        <v>1208</v>
      </c>
      <c r="K134" s="135" t="s">
        <v>487</v>
      </c>
      <c r="L134" s="135" t="s">
        <v>1224</v>
      </c>
      <c r="M134" s="135" t="s">
        <v>1225</v>
      </c>
      <c r="N134" s="135" t="s">
        <v>51</v>
      </c>
      <c r="O134" s="135" t="s">
        <v>1226</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1227</v>
      </c>
      <c r="B135" s="135" t="s">
        <v>1201</v>
      </c>
      <c r="C135" s="135" t="s">
        <v>1220</v>
      </c>
      <c r="D135" s="135" t="s">
        <v>1228</v>
      </c>
      <c r="E135" s="135" t="s">
        <v>4</v>
      </c>
      <c r="F135" s="135" t="s">
        <v>1229</v>
      </c>
      <c r="G135" s="135" t="s">
        <v>4</v>
      </c>
      <c r="H135" s="135" t="s">
        <v>4</v>
      </c>
      <c r="I135" s="135" t="s">
        <v>1230</v>
      </c>
      <c r="J135" s="135" t="s">
        <v>1208</v>
      </c>
      <c r="K135" s="135" t="s">
        <v>487</v>
      </c>
      <c r="L135" s="135" t="s">
        <v>1231</v>
      </c>
      <c r="M135" s="135" t="s">
        <v>1232</v>
      </c>
      <c r="N135" s="135" t="s">
        <v>51</v>
      </c>
      <c r="O135" s="135" t="s">
        <v>1233</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1234</v>
      </c>
      <c r="B136" s="243" t="s">
        <v>1201</v>
      </c>
      <c r="C136" s="243" t="s">
        <v>1235</v>
      </c>
      <c r="D136" s="243" t="s">
        <v>1236</v>
      </c>
      <c r="E136" s="243" t="s">
        <v>4</v>
      </c>
      <c r="F136" s="243" t="s">
        <v>1237</v>
      </c>
      <c r="G136" s="243" t="s">
        <v>4</v>
      </c>
      <c r="H136" s="243" t="s">
        <v>4</v>
      </c>
      <c r="I136" s="243" t="s">
        <v>1238</v>
      </c>
      <c r="J136" s="243" t="s">
        <v>1171</v>
      </c>
      <c r="K136" s="243" t="s">
        <v>1</v>
      </c>
      <c r="L136" s="243" t="s">
        <v>1239</v>
      </c>
      <c r="M136" s="243" t="s">
        <v>1240</v>
      </c>
      <c r="N136" s="243" t="s">
        <v>1</v>
      </c>
      <c r="O136" s="243" t="s">
        <v>1241</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1242</v>
      </c>
      <c r="B137" s="243" t="s">
        <v>1201</v>
      </c>
      <c r="C137" s="243" t="s">
        <v>1243</v>
      </c>
      <c r="D137" s="243" t="s">
        <v>1244</v>
      </c>
      <c r="E137" s="243" t="s">
        <v>4</v>
      </c>
      <c r="F137" s="243" t="s">
        <v>1245</v>
      </c>
      <c r="G137" s="243" t="s">
        <v>4</v>
      </c>
      <c r="H137" s="243" t="s">
        <v>4</v>
      </c>
      <c r="I137" s="243" t="s">
        <v>1246</v>
      </c>
      <c r="J137" s="243" t="s">
        <v>1171</v>
      </c>
      <c r="K137" s="243" t="s">
        <v>1</v>
      </c>
      <c r="L137" s="243" t="s">
        <v>1247</v>
      </c>
      <c r="M137" s="243" t="s">
        <v>1248</v>
      </c>
      <c r="N137" s="243" t="s">
        <v>1</v>
      </c>
      <c r="O137" s="243" t="s">
        <v>1249</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1250</v>
      </c>
      <c r="B138" s="243" t="s">
        <v>1201</v>
      </c>
      <c r="C138" s="243" t="s">
        <v>1251</v>
      </c>
      <c r="D138" s="243" t="s">
        <v>1252</v>
      </c>
      <c r="E138" s="243" t="s">
        <v>4</v>
      </c>
      <c r="F138" s="243" t="s">
        <v>1253</v>
      </c>
      <c r="G138" s="243" t="s">
        <v>4</v>
      </c>
      <c r="H138" s="243" t="s">
        <v>4</v>
      </c>
      <c r="I138" s="243" t="s">
        <v>1254</v>
      </c>
      <c r="J138" s="243" t="s">
        <v>1171</v>
      </c>
      <c r="K138" s="243" t="s">
        <v>1</v>
      </c>
      <c r="L138" s="243" t="s">
        <v>1255</v>
      </c>
      <c r="M138" s="243" t="s">
        <v>1256</v>
      </c>
      <c r="N138" s="243" t="s">
        <v>1</v>
      </c>
      <c r="O138" s="243" t="s">
        <v>1257</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1258</v>
      </c>
      <c r="B139" s="243" t="s">
        <v>1201</v>
      </c>
      <c r="C139" s="243" t="s">
        <v>1259</v>
      </c>
      <c r="D139" s="243" t="s">
        <v>1260</v>
      </c>
      <c r="E139" s="243" t="s">
        <v>4</v>
      </c>
      <c r="F139" s="243" t="s">
        <v>1261</v>
      </c>
      <c r="G139" s="243" t="s">
        <v>4</v>
      </c>
      <c r="H139" s="243" t="s">
        <v>4</v>
      </c>
      <c r="I139" s="243" t="s">
        <v>1262</v>
      </c>
      <c r="J139" s="243" t="s">
        <v>1171</v>
      </c>
      <c r="K139" s="243" t="s">
        <v>1</v>
      </c>
      <c r="L139" s="243" t="s">
        <v>1263</v>
      </c>
      <c r="M139" s="243" t="s">
        <v>1264</v>
      </c>
      <c r="N139" s="243" t="s">
        <v>1</v>
      </c>
      <c r="O139" s="243" t="s">
        <v>1265</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1266</v>
      </c>
      <c r="B140" s="243" t="s">
        <v>1201</v>
      </c>
      <c r="C140" s="243" t="s">
        <v>1259</v>
      </c>
      <c r="D140" s="243" t="s">
        <v>1267</v>
      </c>
      <c r="E140" s="243" t="s">
        <v>4</v>
      </c>
      <c r="F140" s="243" t="s">
        <v>1268</v>
      </c>
      <c r="G140" s="243" t="s">
        <v>4</v>
      </c>
      <c r="H140" s="243" t="s">
        <v>4</v>
      </c>
      <c r="I140" s="243" t="s">
        <v>1269</v>
      </c>
      <c r="J140" s="243" t="s">
        <v>1171</v>
      </c>
      <c r="K140" s="243" t="s">
        <v>1</v>
      </c>
      <c r="L140" s="243" t="s">
        <v>1270</v>
      </c>
      <c r="M140" s="243" t="s">
        <v>1271</v>
      </c>
      <c r="N140" s="243" t="s">
        <v>1</v>
      </c>
      <c r="O140" s="243" t="s">
        <v>1272</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1273</v>
      </c>
      <c r="B141" s="243" t="s">
        <v>1274</v>
      </c>
      <c r="C141" s="243" t="s">
        <v>1275</v>
      </c>
      <c r="D141" s="243" t="s">
        <v>1276</v>
      </c>
      <c r="E141" s="243" t="s">
        <v>4</v>
      </c>
      <c r="F141" s="243" t="s">
        <v>1277</v>
      </c>
      <c r="G141" s="243" t="s">
        <v>4</v>
      </c>
      <c r="H141" s="243" t="s">
        <v>1278</v>
      </c>
      <c r="I141" s="243" t="s">
        <v>1279</v>
      </c>
      <c r="J141" s="243" t="s">
        <v>1171</v>
      </c>
      <c r="K141" s="243" t="s">
        <v>1</v>
      </c>
      <c r="L141" s="243" t="s">
        <v>1280</v>
      </c>
      <c r="M141" s="243" t="s">
        <v>1281</v>
      </c>
      <c r="N141" s="243" t="s">
        <v>1</v>
      </c>
      <c r="O141" s="243" t="s">
        <v>1282</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1283</v>
      </c>
      <c r="B142" s="243" t="s">
        <v>1274</v>
      </c>
      <c r="C142" s="243" t="s">
        <v>1275</v>
      </c>
      <c r="D142" s="243" t="s">
        <v>1284</v>
      </c>
      <c r="E142" s="243" t="s">
        <v>4</v>
      </c>
      <c r="F142" s="243" t="s">
        <v>1285</v>
      </c>
      <c r="G142" s="243" t="s">
        <v>4</v>
      </c>
      <c r="H142" s="243" t="s">
        <v>1286</v>
      </c>
      <c r="I142" s="243" t="s">
        <v>1287</v>
      </c>
      <c r="J142" s="243" t="s">
        <v>1288</v>
      </c>
      <c r="K142" s="243" t="s">
        <v>1</v>
      </c>
      <c r="L142" s="243" t="s">
        <v>1289</v>
      </c>
      <c r="M142" s="243" t="s">
        <v>1290</v>
      </c>
      <c r="N142" s="243" t="s">
        <v>1</v>
      </c>
      <c r="O142" s="243" t="s">
        <v>1291</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1292</v>
      </c>
      <c r="B143" s="138" t="s">
        <v>1274</v>
      </c>
      <c r="C143" s="138" t="s">
        <v>1293</v>
      </c>
      <c r="D143" s="138" t="s">
        <v>1294</v>
      </c>
      <c r="E143" s="138" t="s">
        <v>1295</v>
      </c>
      <c r="F143" s="138" t="s">
        <v>1296</v>
      </c>
      <c r="G143" s="138" t="s">
        <v>4</v>
      </c>
      <c r="H143" s="138" t="s">
        <v>1297</v>
      </c>
      <c r="I143" s="138" t="s">
        <v>1298</v>
      </c>
      <c r="J143" s="138" t="s">
        <v>1288</v>
      </c>
      <c r="K143" s="138" t="s">
        <v>1</v>
      </c>
      <c r="L143" s="138" t="s">
        <v>1299</v>
      </c>
      <c r="M143" s="138" t="s">
        <v>1300</v>
      </c>
      <c r="N143" s="138" t="s">
        <v>1</v>
      </c>
      <c r="O143" s="138" t="s">
        <v>1301</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1302</v>
      </c>
      <c r="B144" s="138" t="s">
        <v>1274</v>
      </c>
      <c r="C144" s="138" t="s">
        <v>1293</v>
      </c>
      <c r="D144" s="138" t="s">
        <v>1303</v>
      </c>
      <c r="E144" s="138" t="s">
        <v>1295</v>
      </c>
      <c r="F144" s="138" t="s">
        <v>1304</v>
      </c>
      <c r="G144" s="138" t="s">
        <v>4</v>
      </c>
      <c r="H144" s="138" t="s">
        <v>1297</v>
      </c>
      <c r="I144" s="138" t="s">
        <v>1305</v>
      </c>
      <c r="J144" s="138" t="s">
        <v>1288</v>
      </c>
      <c r="K144" s="138" t="s">
        <v>1</v>
      </c>
      <c r="L144" s="138" t="s">
        <v>1306</v>
      </c>
      <c r="M144" s="138" t="s">
        <v>1307</v>
      </c>
      <c r="N144" s="138" t="s">
        <v>1</v>
      </c>
      <c r="O144" s="138" t="s">
        <v>1308</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1309</v>
      </c>
      <c r="B145" s="138" t="s">
        <v>1274</v>
      </c>
      <c r="C145" s="138" t="s">
        <v>1310</v>
      </c>
      <c r="D145" s="138" t="s">
        <v>1311</v>
      </c>
      <c r="E145" s="138" t="s">
        <v>1312</v>
      </c>
      <c r="F145" s="138" t="s">
        <v>1313</v>
      </c>
      <c r="G145" s="138" t="s">
        <v>4</v>
      </c>
      <c r="H145" s="138" t="s">
        <v>4</v>
      </c>
      <c r="I145" s="138" t="s">
        <v>1314</v>
      </c>
      <c r="J145" s="138" t="s">
        <v>1288</v>
      </c>
      <c r="K145" s="138" t="s">
        <v>1</v>
      </c>
      <c r="L145" s="138" t="s">
        <v>1315</v>
      </c>
      <c r="M145" s="138" t="s">
        <v>1316</v>
      </c>
      <c r="N145" s="138" t="s">
        <v>1</v>
      </c>
      <c r="O145" s="138" t="s">
        <v>1317</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1318</v>
      </c>
      <c r="B146" s="138" t="s">
        <v>1274</v>
      </c>
      <c r="C146" s="138" t="s">
        <v>1319</v>
      </c>
      <c r="D146" s="138" t="s">
        <v>1320</v>
      </c>
      <c r="E146" s="138" t="s">
        <v>4</v>
      </c>
      <c r="F146" s="138" t="s">
        <v>1321</v>
      </c>
      <c r="G146" s="138" t="s">
        <v>4</v>
      </c>
      <c r="H146" s="138" t="s">
        <v>1322</v>
      </c>
      <c r="I146" s="138" t="s">
        <v>1323</v>
      </c>
      <c r="J146" s="138" t="s">
        <v>1288</v>
      </c>
      <c r="K146" s="138" t="s">
        <v>1</v>
      </c>
      <c r="L146" s="138" t="s">
        <v>1324</v>
      </c>
      <c r="M146" s="138" t="s">
        <v>1325</v>
      </c>
      <c r="N146" s="138" t="s">
        <v>1</v>
      </c>
      <c r="O146" s="138" t="s">
        <v>1326</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1327</v>
      </c>
      <c r="B147" s="243" t="s">
        <v>1328</v>
      </c>
      <c r="C147" s="243" t="s">
        <v>1329</v>
      </c>
      <c r="D147" s="243" t="s">
        <v>1330</v>
      </c>
      <c r="E147" s="243" t="s">
        <v>4</v>
      </c>
      <c r="F147" s="243" t="s">
        <v>1331</v>
      </c>
      <c r="G147" s="243" t="s">
        <v>4</v>
      </c>
      <c r="H147" s="243" t="s">
        <v>4</v>
      </c>
      <c r="I147" s="243" t="s">
        <v>1332</v>
      </c>
      <c r="J147" s="243" t="s">
        <v>1171</v>
      </c>
      <c r="K147" s="243" t="s">
        <v>1</v>
      </c>
      <c r="L147" s="243" t="s">
        <v>1333</v>
      </c>
      <c r="M147" s="243" t="s">
        <v>1334</v>
      </c>
      <c r="N147" s="243" t="s">
        <v>1</v>
      </c>
      <c r="O147" s="243" t="s">
        <v>1335</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1336</v>
      </c>
      <c r="B148" s="243" t="s">
        <v>1328</v>
      </c>
      <c r="C148" s="243" t="s">
        <v>1329</v>
      </c>
      <c r="D148" s="243" t="s">
        <v>1337</v>
      </c>
      <c r="E148" s="243" t="s">
        <v>4</v>
      </c>
      <c r="F148" s="243" t="s">
        <v>1338</v>
      </c>
      <c r="G148" s="243" t="s">
        <v>4</v>
      </c>
      <c r="H148" s="243" t="s">
        <v>1339</v>
      </c>
      <c r="I148" s="243" t="s">
        <v>1340</v>
      </c>
      <c r="J148" s="243" t="s">
        <v>1171</v>
      </c>
      <c r="K148" s="243" t="s">
        <v>1</v>
      </c>
      <c r="L148" s="243" t="s">
        <v>1341</v>
      </c>
      <c r="M148" s="243" t="s">
        <v>1342</v>
      </c>
      <c r="N148" s="243" t="s">
        <v>1</v>
      </c>
      <c r="O148" s="243" t="s">
        <v>1343</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1344</v>
      </c>
      <c r="B149" s="243" t="s">
        <v>1328</v>
      </c>
      <c r="C149" s="243" t="s">
        <v>1345</v>
      </c>
      <c r="D149" s="243" t="s">
        <v>1346</v>
      </c>
      <c r="E149" s="243" t="s">
        <v>4</v>
      </c>
      <c r="F149" s="243" t="s">
        <v>1347</v>
      </c>
      <c r="G149" s="243" t="s">
        <v>4</v>
      </c>
      <c r="H149" s="243" t="s">
        <v>1348</v>
      </c>
      <c r="I149" s="243" t="s">
        <v>1349</v>
      </c>
      <c r="J149" s="243" t="s">
        <v>1171</v>
      </c>
      <c r="K149" s="243" t="s">
        <v>1</v>
      </c>
      <c r="L149" s="243" t="s">
        <v>1350</v>
      </c>
      <c r="M149" s="243" t="s">
        <v>1351</v>
      </c>
      <c r="N149" s="243" t="s">
        <v>1</v>
      </c>
      <c r="O149" s="243" t="s">
        <v>1352</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1353</v>
      </c>
      <c r="B150" s="243" t="s">
        <v>1328</v>
      </c>
      <c r="C150" s="243" t="s">
        <v>1354</v>
      </c>
      <c r="D150" s="243" t="s">
        <v>1355</v>
      </c>
      <c r="E150" s="243" t="s">
        <v>4</v>
      </c>
      <c r="F150" s="243" t="s">
        <v>1356</v>
      </c>
      <c r="G150" s="243" t="s">
        <v>4</v>
      </c>
      <c r="H150" s="243" t="s">
        <v>1357</v>
      </c>
      <c r="I150" s="243" t="s">
        <v>1358</v>
      </c>
      <c r="J150" s="243" t="s">
        <v>1171</v>
      </c>
      <c r="K150" s="243" t="s">
        <v>1</v>
      </c>
      <c r="L150" s="243" t="s">
        <v>1359</v>
      </c>
      <c r="M150" s="243" t="s">
        <v>1360</v>
      </c>
      <c r="N150" s="243" t="s">
        <v>1</v>
      </c>
      <c r="O150" s="243" t="s">
        <v>1361</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1362</v>
      </c>
      <c r="B151" s="243" t="s">
        <v>1328</v>
      </c>
      <c r="C151" s="243" t="s">
        <v>1363</v>
      </c>
      <c r="D151" s="243" t="s">
        <v>1364</v>
      </c>
      <c r="E151" s="243" t="s">
        <v>4</v>
      </c>
      <c r="F151" s="243" t="s">
        <v>1365</v>
      </c>
      <c r="G151" s="243" t="s">
        <v>4</v>
      </c>
      <c r="H151" s="243" t="s">
        <v>4</v>
      </c>
      <c r="I151" s="243" t="s">
        <v>1366</v>
      </c>
      <c r="J151" s="243" t="s">
        <v>1171</v>
      </c>
      <c r="K151" s="243" t="s">
        <v>1</v>
      </c>
      <c r="L151" s="243" t="s">
        <v>1367</v>
      </c>
      <c r="M151" s="243" t="s">
        <v>1368</v>
      </c>
      <c r="N151" s="243" t="s">
        <v>1</v>
      </c>
      <c r="O151" s="243" t="s">
        <v>1369</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1370</v>
      </c>
      <c r="B152" s="243" t="s">
        <v>1328</v>
      </c>
      <c r="C152" s="243" t="s">
        <v>1371</v>
      </c>
      <c r="D152" s="243" t="s">
        <v>1372</v>
      </c>
      <c r="E152" s="243" t="s">
        <v>4</v>
      </c>
      <c r="F152" s="243" t="s">
        <v>1373</v>
      </c>
      <c r="G152" s="243" t="s">
        <v>4</v>
      </c>
      <c r="H152" s="243" t="s">
        <v>4</v>
      </c>
      <c r="I152" s="243" t="s">
        <v>1374</v>
      </c>
      <c r="J152" s="243" t="s">
        <v>1171</v>
      </c>
      <c r="K152" s="243" t="s">
        <v>1</v>
      </c>
      <c r="L152" s="243" t="s">
        <v>1375</v>
      </c>
      <c r="M152" s="243" t="s">
        <v>1376</v>
      </c>
      <c r="N152" s="243" t="s">
        <v>1</v>
      </c>
      <c r="O152" s="243" t="s">
        <v>1377</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1378</v>
      </c>
      <c r="B153" s="243" t="s">
        <v>1328</v>
      </c>
      <c r="C153" s="243" t="s">
        <v>1379</v>
      </c>
      <c r="D153" s="243" t="s">
        <v>1380</v>
      </c>
      <c r="E153" s="243" t="s">
        <v>4</v>
      </c>
      <c r="F153" s="243" t="s">
        <v>1381</v>
      </c>
      <c r="G153" s="243" t="s">
        <v>4</v>
      </c>
      <c r="H153" s="243" t="s">
        <v>1382</v>
      </c>
      <c r="I153" s="243" t="s">
        <v>1383</v>
      </c>
      <c r="J153" s="243" t="s">
        <v>1171</v>
      </c>
      <c r="K153" s="243" t="s">
        <v>1</v>
      </c>
      <c r="L153" s="243" t="s">
        <v>1384</v>
      </c>
      <c r="M153" s="243" t="s">
        <v>1385</v>
      </c>
      <c r="N153" s="243" t="s">
        <v>1</v>
      </c>
      <c r="O153" s="243" t="s">
        <v>1386</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1387</v>
      </c>
      <c r="B154" s="243" t="s">
        <v>1328</v>
      </c>
      <c r="C154" s="243" t="s">
        <v>1388</v>
      </c>
      <c r="D154" s="243" t="s">
        <v>1389</v>
      </c>
      <c r="E154" s="243" t="s">
        <v>1390</v>
      </c>
      <c r="F154" s="243" t="s">
        <v>1391</v>
      </c>
      <c r="G154" s="243" t="s">
        <v>4</v>
      </c>
      <c r="H154" s="243" t="s">
        <v>1392</v>
      </c>
      <c r="I154" s="243" t="s">
        <v>1393</v>
      </c>
      <c r="J154" s="243" t="s">
        <v>1171</v>
      </c>
      <c r="K154" s="243" t="s">
        <v>1</v>
      </c>
      <c r="L154" s="243" t="s">
        <v>1394</v>
      </c>
      <c r="M154" s="243" t="s">
        <v>1395</v>
      </c>
      <c r="N154" s="243" t="s">
        <v>1</v>
      </c>
      <c r="O154" s="243" t="s">
        <v>1396</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1397</v>
      </c>
      <c r="B155" s="243" t="s">
        <v>1328</v>
      </c>
      <c r="C155" s="243" t="s">
        <v>1398</v>
      </c>
      <c r="D155" s="243" t="s">
        <v>1399</v>
      </c>
      <c r="E155" s="243" t="s">
        <v>1400</v>
      </c>
      <c r="F155" s="243" t="s">
        <v>4</v>
      </c>
      <c r="G155" s="243" t="s">
        <v>1401</v>
      </c>
      <c r="H155" s="243" t="s">
        <v>4</v>
      </c>
      <c r="I155" s="243" t="s">
        <v>1402</v>
      </c>
      <c r="J155" s="243" t="s">
        <v>1171</v>
      </c>
      <c r="K155" s="243" t="s">
        <v>1</v>
      </c>
      <c r="L155" s="243" t="s">
        <v>1403</v>
      </c>
      <c r="M155" s="243" t="s">
        <v>1404</v>
      </c>
      <c r="N155" s="243" t="s">
        <v>1</v>
      </c>
      <c r="O155" s="243" t="s">
        <v>1405</v>
      </c>
      <c r="P155" s="243" t="s">
        <v>1406</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1407</v>
      </c>
      <c r="B156" s="243" t="s">
        <v>1328</v>
      </c>
      <c r="C156" s="243" t="s">
        <v>1408</v>
      </c>
      <c r="D156" s="243" t="s">
        <v>1409</v>
      </c>
      <c r="E156" s="243" t="s">
        <v>1410</v>
      </c>
      <c r="F156" s="243" t="s">
        <v>1411</v>
      </c>
      <c r="G156" s="243" t="s">
        <v>4</v>
      </c>
      <c r="H156" s="243" t="s">
        <v>1412</v>
      </c>
      <c r="I156" s="243" t="s">
        <v>1413</v>
      </c>
      <c r="J156" s="243" t="s">
        <v>1171</v>
      </c>
      <c r="K156" s="243" t="s">
        <v>1</v>
      </c>
      <c r="L156" s="243" t="s">
        <v>1414</v>
      </c>
      <c r="M156" s="243" t="s">
        <v>1415</v>
      </c>
      <c r="N156" s="243" t="s">
        <v>1</v>
      </c>
      <c r="O156" s="243" t="s">
        <v>1416</v>
      </c>
      <c r="P156" s="243" t="s">
        <v>1406</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1417</v>
      </c>
      <c r="B157" s="243" t="s">
        <v>1328</v>
      </c>
      <c r="C157" s="243" t="s">
        <v>1418</v>
      </c>
      <c r="D157" s="243" t="s">
        <v>1419</v>
      </c>
      <c r="E157" s="243" t="s">
        <v>4</v>
      </c>
      <c r="F157" s="243" t="s">
        <v>1420</v>
      </c>
      <c r="G157" s="243" t="s">
        <v>4</v>
      </c>
      <c r="H157" s="243" t="s">
        <v>4</v>
      </c>
      <c r="I157" s="243" t="s">
        <v>1421</v>
      </c>
      <c r="J157" s="243" t="s">
        <v>1171</v>
      </c>
      <c r="K157" s="243" t="s">
        <v>1</v>
      </c>
      <c r="L157" s="243" t="s">
        <v>1422</v>
      </c>
      <c r="M157" s="243" t="s">
        <v>1423</v>
      </c>
      <c r="N157" s="243" t="s">
        <v>1</v>
      </c>
      <c r="O157" s="243" t="s">
        <v>1424</v>
      </c>
      <c r="P157" s="243" t="s">
        <v>1425</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1426</v>
      </c>
      <c r="B158" s="243" t="s">
        <v>1427</v>
      </c>
      <c r="C158" s="243" t="s">
        <v>1428</v>
      </c>
      <c r="D158" s="243" t="s">
        <v>1429</v>
      </c>
      <c r="E158" s="243" t="s">
        <v>4</v>
      </c>
      <c r="F158" s="243" t="s">
        <v>1430</v>
      </c>
      <c r="G158" s="243" t="s">
        <v>4</v>
      </c>
      <c r="H158" s="243" t="s">
        <v>1431</v>
      </c>
      <c r="I158" s="243" t="s">
        <v>1432</v>
      </c>
      <c r="J158" s="243" t="s">
        <v>1171</v>
      </c>
      <c r="K158" s="243" t="s">
        <v>1</v>
      </c>
      <c r="L158" s="243" t="s">
        <v>1433</v>
      </c>
      <c r="M158" s="243" t="s">
        <v>1434</v>
      </c>
      <c r="N158" s="243" t="s">
        <v>1</v>
      </c>
      <c r="O158" s="243" t="s">
        <v>1435</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1436</v>
      </c>
      <c r="B159" s="243" t="s">
        <v>1427</v>
      </c>
      <c r="C159" s="243" t="s">
        <v>1428</v>
      </c>
      <c r="D159" s="243" t="s">
        <v>1437</v>
      </c>
      <c r="E159" s="243" t="s">
        <v>4</v>
      </c>
      <c r="F159" s="243" t="s">
        <v>1438</v>
      </c>
      <c r="G159" s="243" t="s">
        <v>4</v>
      </c>
      <c r="H159" s="243" t="s">
        <v>1439</v>
      </c>
      <c r="I159" s="243" t="s">
        <v>1440</v>
      </c>
      <c r="J159" s="243" t="s">
        <v>1171</v>
      </c>
      <c r="K159" s="243" t="s">
        <v>1</v>
      </c>
      <c r="L159" s="243" t="s">
        <v>1441</v>
      </c>
      <c r="M159" s="243" t="s">
        <v>1442</v>
      </c>
      <c r="N159" s="243" t="s">
        <v>1</v>
      </c>
      <c r="O159" s="243" t="s">
        <v>1443</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1444</v>
      </c>
      <c r="B160" s="243" t="s">
        <v>1427</v>
      </c>
      <c r="C160" s="243" t="s">
        <v>1445</v>
      </c>
      <c r="D160" s="243" t="s">
        <v>1446</v>
      </c>
      <c r="E160" s="243" t="s">
        <v>4</v>
      </c>
      <c r="F160" s="243" t="s">
        <v>1447</v>
      </c>
      <c r="G160" s="243" t="s">
        <v>4</v>
      </c>
      <c r="H160" s="243" t="s">
        <v>1448</v>
      </c>
      <c r="I160" s="243" t="s">
        <v>1449</v>
      </c>
      <c r="J160" s="243" t="s">
        <v>1171</v>
      </c>
      <c r="K160" s="243" t="s">
        <v>1</v>
      </c>
      <c r="L160" s="243" t="s">
        <v>1450</v>
      </c>
      <c r="M160" s="243" t="s">
        <v>1451</v>
      </c>
      <c r="N160" s="243" t="s">
        <v>1</v>
      </c>
      <c r="O160" s="243" t="s">
        <v>1452</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1453</v>
      </c>
      <c r="B161" s="243" t="s">
        <v>1427</v>
      </c>
      <c r="C161" s="243" t="s">
        <v>1454</v>
      </c>
      <c r="D161" s="243" t="s">
        <v>1455</v>
      </c>
      <c r="E161" s="243" t="s">
        <v>4</v>
      </c>
      <c r="F161" s="243" t="s">
        <v>1456</v>
      </c>
      <c r="G161" s="243" t="s">
        <v>4</v>
      </c>
      <c r="H161" s="243" t="s">
        <v>1457</v>
      </c>
      <c r="I161" s="243" t="s">
        <v>1458</v>
      </c>
      <c r="J161" s="243" t="s">
        <v>1171</v>
      </c>
      <c r="K161" s="243" t="s">
        <v>1</v>
      </c>
      <c r="L161" s="243" t="s">
        <v>1459</v>
      </c>
      <c r="M161" s="243" t="s">
        <v>1460</v>
      </c>
      <c r="N161" s="243" t="s">
        <v>1</v>
      </c>
      <c r="O161" s="243" t="s">
        <v>1461</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1462</v>
      </c>
      <c r="B162" s="243" t="s">
        <v>1427</v>
      </c>
      <c r="C162" s="243" t="s">
        <v>1463</v>
      </c>
      <c r="D162" s="243" t="s">
        <v>1464</v>
      </c>
      <c r="E162" s="243" t="s">
        <v>4</v>
      </c>
      <c r="F162" s="243" t="s">
        <v>1465</v>
      </c>
      <c r="G162" s="243" t="s">
        <v>4</v>
      </c>
      <c r="H162" s="243" t="s">
        <v>1466</v>
      </c>
      <c r="I162" s="243" t="s">
        <v>1467</v>
      </c>
      <c r="J162" s="243" t="s">
        <v>1171</v>
      </c>
      <c r="K162" s="243" t="s">
        <v>1</v>
      </c>
      <c r="L162" s="243" t="s">
        <v>1468</v>
      </c>
      <c r="M162" s="243" t="s">
        <v>1469</v>
      </c>
      <c r="N162" s="243" t="s">
        <v>1</v>
      </c>
      <c r="O162" s="243" t="s">
        <v>1470</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1471</v>
      </c>
      <c r="B163" s="243" t="s">
        <v>1427</v>
      </c>
      <c r="C163" s="243" t="s">
        <v>1472</v>
      </c>
      <c r="D163" s="243" t="s">
        <v>1473</v>
      </c>
      <c r="E163" s="243" t="s">
        <v>4</v>
      </c>
      <c r="F163" s="243" t="s">
        <v>1474</v>
      </c>
      <c r="G163" s="243" t="s">
        <v>4</v>
      </c>
      <c r="H163" s="243" t="s">
        <v>1475</v>
      </c>
      <c r="I163" s="243" t="s">
        <v>1476</v>
      </c>
      <c r="J163" s="243" t="s">
        <v>1171</v>
      </c>
      <c r="K163" s="243" t="s">
        <v>1</v>
      </c>
      <c r="L163" s="243" t="s">
        <v>1477</v>
      </c>
      <c r="M163" s="243" t="s">
        <v>1478</v>
      </c>
      <c r="N163" s="243" t="s">
        <v>1</v>
      </c>
      <c r="O163" s="243" t="s">
        <v>1479</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1480</v>
      </c>
      <c r="B164" s="243" t="s">
        <v>1427</v>
      </c>
      <c r="C164" s="243" t="s">
        <v>1481</v>
      </c>
      <c r="D164" s="243" t="s">
        <v>1482</v>
      </c>
      <c r="E164" s="243" t="s">
        <v>4</v>
      </c>
      <c r="F164" s="243" t="s">
        <v>4</v>
      </c>
      <c r="G164" s="243" t="s">
        <v>4</v>
      </c>
      <c r="H164" s="243" t="s">
        <v>4</v>
      </c>
      <c r="I164" s="243" t="s">
        <v>1483</v>
      </c>
      <c r="J164" s="243" t="s">
        <v>1171</v>
      </c>
      <c r="K164" s="243" t="s">
        <v>1</v>
      </c>
      <c r="L164" s="243" t="s">
        <v>1484</v>
      </c>
      <c r="M164" s="243" t="s">
        <v>1485</v>
      </c>
      <c r="N164" s="243" t="s">
        <v>1</v>
      </c>
      <c r="O164" s="243" t="s">
        <v>1486</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1487</v>
      </c>
      <c r="B165" s="243" t="s">
        <v>1427</v>
      </c>
      <c r="C165" s="243" t="s">
        <v>1488</v>
      </c>
      <c r="D165" s="243" t="s">
        <v>1489</v>
      </c>
      <c r="E165" s="243" t="s">
        <v>4</v>
      </c>
      <c r="F165" s="243" t="s">
        <v>1490</v>
      </c>
      <c r="G165" s="243" t="s">
        <v>4</v>
      </c>
      <c r="H165" s="243" t="s">
        <v>1491</v>
      </c>
      <c r="I165" s="243" t="s">
        <v>1492</v>
      </c>
      <c r="J165" s="243" t="s">
        <v>1171</v>
      </c>
      <c r="K165" s="243" t="s">
        <v>1</v>
      </c>
      <c r="L165" s="243" t="s">
        <v>1493</v>
      </c>
      <c r="M165" s="243" t="s">
        <v>1494</v>
      </c>
      <c r="N165" s="243" t="s">
        <v>1</v>
      </c>
      <c r="O165" s="243" t="s">
        <v>1495</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1496</v>
      </c>
      <c r="B166" s="243" t="s">
        <v>1427</v>
      </c>
      <c r="C166" s="243" t="s">
        <v>1497</v>
      </c>
      <c r="D166" s="243" t="s">
        <v>1498</v>
      </c>
      <c r="E166" s="243" t="s">
        <v>4</v>
      </c>
      <c r="F166" s="243" t="s">
        <v>1499</v>
      </c>
      <c r="G166" s="243" t="s">
        <v>4</v>
      </c>
      <c r="H166" s="243" t="s">
        <v>1500</v>
      </c>
      <c r="I166" s="243" t="s">
        <v>1501</v>
      </c>
      <c r="J166" s="243" t="s">
        <v>1171</v>
      </c>
      <c r="K166" s="243" t="s">
        <v>1</v>
      </c>
      <c r="L166" s="243" t="s">
        <v>1502</v>
      </c>
      <c r="M166" s="243" t="s">
        <v>1503</v>
      </c>
      <c r="N166" s="243" t="s">
        <v>1</v>
      </c>
      <c r="O166" s="243" t="s">
        <v>1504</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1505</v>
      </c>
      <c r="B167" s="243" t="s">
        <v>1427</v>
      </c>
      <c r="C167" s="243" t="s">
        <v>1506</v>
      </c>
      <c r="D167" s="243" t="s">
        <v>1507</v>
      </c>
      <c r="E167" s="243" t="s">
        <v>1508</v>
      </c>
      <c r="F167" s="243" t="s">
        <v>1509</v>
      </c>
      <c r="G167" s="243" t="s">
        <v>4</v>
      </c>
      <c r="H167" s="243" t="s">
        <v>1510</v>
      </c>
      <c r="I167" s="243" t="s">
        <v>1511</v>
      </c>
      <c r="J167" s="243" t="s">
        <v>1171</v>
      </c>
      <c r="K167" s="243" t="s">
        <v>1</v>
      </c>
      <c r="L167" s="243" t="s">
        <v>1512</v>
      </c>
      <c r="M167" s="243" t="s">
        <v>1513</v>
      </c>
      <c r="N167" s="243" t="s">
        <v>1</v>
      </c>
      <c r="O167" s="243" t="s">
        <v>1514</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1515</v>
      </c>
      <c r="B168" s="243" t="s">
        <v>1427</v>
      </c>
      <c r="C168" s="243" t="s">
        <v>1516</v>
      </c>
      <c r="D168" s="243" t="s">
        <v>1517</v>
      </c>
      <c r="E168" s="243" t="s">
        <v>4</v>
      </c>
      <c r="F168" s="243" t="s">
        <v>1518</v>
      </c>
      <c r="G168" s="243" t="s">
        <v>4</v>
      </c>
      <c r="H168" s="243" t="s">
        <v>4</v>
      </c>
      <c r="I168" s="243" t="s">
        <v>1519</v>
      </c>
      <c r="J168" s="243" t="s">
        <v>1171</v>
      </c>
      <c r="K168" s="243" t="s">
        <v>1</v>
      </c>
      <c r="L168" s="243" t="s">
        <v>1520</v>
      </c>
      <c r="M168" s="243" t="s">
        <v>1521</v>
      </c>
      <c r="N168" s="243" t="s">
        <v>1</v>
      </c>
      <c r="O168" s="243" t="s">
        <v>1522</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1523</v>
      </c>
      <c r="B169" s="243" t="s">
        <v>1427</v>
      </c>
      <c r="C169" s="243" t="s">
        <v>1524</v>
      </c>
      <c r="D169" s="243" t="s">
        <v>1525</v>
      </c>
      <c r="E169" s="243" t="s">
        <v>4</v>
      </c>
      <c r="F169" s="243" t="s">
        <v>1526</v>
      </c>
      <c r="G169" s="243" t="s">
        <v>4</v>
      </c>
      <c r="H169" s="243" t="s">
        <v>1527</v>
      </c>
      <c r="I169" s="243" t="s">
        <v>1528</v>
      </c>
      <c r="J169" s="243" t="s">
        <v>1171</v>
      </c>
      <c r="K169" s="243" t="s">
        <v>1</v>
      </c>
      <c r="L169" s="243" t="s">
        <v>1529</v>
      </c>
      <c r="M169" s="243" t="s">
        <v>1530</v>
      </c>
      <c r="N169" s="243" t="s">
        <v>1</v>
      </c>
      <c r="O169" s="243" t="s">
        <v>1531</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1532</v>
      </c>
      <c r="B170" s="243" t="s">
        <v>1427</v>
      </c>
      <c r="C170" s="243" t="s">
        <v>1533</v>
      </c>
      <c r="D170" s="243" t="s">
        <v>1534</v>
      </c>
      <c r="E170" s="243" t="s">
        <v>4</v>
      </c>
      <c r="F170" s="243" t="s">
        <v>1535</v>
      </c>
      <c r="G170" s="243" t="s">
        <v>4</v>
      </c>
      <c r="H170" s="243" t="s">
        <v>1536</v>
      </c>
      <c r="I170" s="243" t="s">
        <v>1537</v>
      </c>
      <c r="J170" s="243" t="s">
        <v>1171</v>
      </c>
      <c r="K170" s="243" t="s">
        <v>1</v>
      </c>
      <c r="L170" s="243" t="s">
        <v>1538</v>
      </c>
      <c r="M170" s="243" t="s">
        <v>1539</v>
      </c>
      <c r="N170" s="243" t="s">
        <v>1</v>
      </c>
      <c r="O170" s="243" t="s">
        <v>1540</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1541</v>
      </c>
      <c r="B171" s="243" t="s">
        <v>1427</v>
      </c>
      <c r="C171" s="243" t="s">
        <v>1542</v>
      </c>
      <c r="D171" s="243" t="s">
        <v>1543</v>
      </c>
      <c r="E171" s="243" t="s">
        <v>4</v>
      </c>
      <c r="F171" s="243" t="s">
        <v>1544</v>
      </c>
      <c r="G171" s="243" t="s">
        <v>4</v>
      </c>
      <c r="H171" s="243" t="s">
        <v>4</v>
      </c>
      <c r="I171" s="243" t="s">
        <v>1545</v>
      </c>
      <c r="J171" s="243" t="s">
        <v>1171</v>
      </c>
      <c r="K171" s="243" t="s">
        <v>1</v>
      </c>
      <c r="L171" s="243" t="s">
        <v>1546</v>
      </c>
      <c r="M171" s="243" t="s">
        <v>1547</v>
      </c>
      <c r="N171" s="243" t="s">
        <v>1</v>
      </c>
      <c r="O171" s="243" t="s">
        <v>1548</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1549</v>
      </c>
      <c r="B172" s="243" t="s">
        <v>1550</v>
      </c>
      <c r="C172" s="243" t="s">
        <v>1551</v>
      </c>
      <c r="D172" s="243" t="s">
        <v>1552</v>
      </c>
      <c r="E172" s="243" t="s">
        <v>1553</v>
      </c>
      <c r="F172" s="243" t="s">
        <v>1554</v>
      </c>
      <c r="G172" s="243" t="s">
        <v>4</v>
      </c>
      <c r="H172" s="243" t="s">
        <v>1555</v>
      </c>
      <c r="I172" s="243" t="s">
        <v>1556</v>
      </c>
      <c r="J172" s="243" t="s">
        <v>1171</v>
      </c>
      <c r="K172" s="243" t="s">
        <v>1</v>
      </c>
      <c r="L172" s="243" t="s">
        <v>1557</v>
      </c>
      <c r="M172" s="243" t="s">
        <v>1558</v>
      </c>
      <c r="N172" s="243" t="s">
        <v>1</v>
      </c>
      <c r="O172" s="243" t="s">
        <v>1559</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1560</v>
      </c>
      <c r="B173" s="243" t="s">
        <v>1550</v>
      </c>
      <c r="C173" s="243" t="s">
        <v>1561</v>
      </c>
      <c r="D173" s="243" t="s">
        <v>1562</v>
      </c>
      <c r="E173" s="243" t="s">
        <v>4</v>
      </c>
      <c r="F173" s="243" t="s">
        <v>1563</v>
      </c>
      <c r="G173" s="243" t="s">
        <v>4</v>
      </c>
      <c r="H173" s="243" t="s">
        <v>1564</v>
      </c>
      <c r="I173" s="243" t="s">
        <v>1565</v>
      </c>
      <c r="J173" s="243" t="s">
        <v>1171</v>
      </c>
      <c r="K173" s="243" t="s">
        <v>1</v>
      </c>
      <c r="L173" s="243" t="s">
        <v>1566</v>
      </c>
      <c r="M173" s="243" t="s">
        <v>1567</v>
      </c>
      <c r="N173" s="243" t="s">
        <v>1</v>
      </c>
      <c r="O173" s="243" t="s">
        <v>1568</v>
      </c>
      <c r="P173" s="243" t="s">
        <v>1569</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1570</v>
      </c>
      <c r="B174" s="243" t="s">
        <v>1550</v>
      </c>
      <c r="C174" s="243" t="s">
        <v>1571</v>
      </c>
      <c r="D174" s="243" t="s">
        <v>1572</v>
      </c>
      <c r="E174" s="243" t="s">
        <v>1573</v>
      </c>
      <c r="F174" s="243" t="s">
        <v>1574</v>
      </c>
      <c r="G174" s="243" t="s">
        <v>4</v>
      </c>
      <c r="H174" s="243" t="s">
        <v>4</v>
      </c>
      <c r="I174" s="243" t="s">
        <v>1575</v>
      </c>
      <c r="J174" s="243" t="s">
        <v>1171</v>
      </c>
      <c r="K174" s="243" t="s">
        <v>1</v>
      </c>
      <c r="L174" s="243" t="s">
        <v>1576</v>
      </c>
      <c r="M174" s="243" t="s">
        <v>1577</v>
      </c>
      <c r="N174" s="243" t="s">
        <v>1</v>
      </c>
      <c r="O174" s="243" t="s">
        <v>1578</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1579</v>
      </c>
      <c r="B175" s="243" t="s">
        <v>1550</v>
      </c>
      <c r="C175" s="243" t="s">
        <v>1580</v>
      </c>
      <c r="D175" s="243" t="s">
        <v>1581</v>
      </c>
      <c r="E175" s="243" t="s">
        <v>1582</v>
      </c>
      <c r="F175" s="243" t="s">
        <v>1583</v>
      </c>
      <c r="G175" s="243" t="s">
        <v>1584</v>
      </c>
      <c r="H175" s="243" t="s">
        <v>1585</v>
      </c>
      <c r="I175" s="243" t="s">
        <v>1586</v>
      </c>
      <c r="J175" s="243" t="s">
        <v>1171</v>
      </c>
      <c r="K175" s="243" t="s">
        <v>1</v>
      </c>
      <c r="L175" s="243" t="s">
        <v>1587</v>
      </c>
      <c r="M175" s="243" t="s">
        <v>1588</v>
      </c>
      <c r="N175" s="243" t="s">
        <v>1</v>
      </c>
      <c r="O175" s="243" t="s">
        <v>1589</v>
      </c>
      <c r="P175" s="243" t="s">
        <v>1406</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1590</v>
      </c>
      <c r="B176" s="243" t="s">
        <v>1550</v>
      </c>
      <c r="C176" s="243" t="s">
        <v>1591</v>
      </c>
      <c r="D176" s="243" t="s">
        <v>1592</v>
      </c>
      <c r="E176" s="243" t="s">
        <v>4</v>
      </c>
      <c r="F176" s="243" t="s">
        <v>1593</v>
      </c>
      <c r="G176" s="243" t="s">
        <v>4</v>
      </c>
      <c r="H176" s="243" t="s">
        <v>1564</v>
      </c>
      <c r="I176" s="243" t="s">
        <v>1594</v>
      </c>
      <c r="J176" s="243" t="s">
        <v>1171</v>
      </c>
      <c r="K176" s="243" t="s">
        <v>1</v>
      </c>
      <c r="L176" s="243" t="s">
        <v>1595</v>
      </c>
      <c r="M176" s="243" t="s">
        <v>1596</v>
      </c>
      <c r="N176" s="243" t="s">
        <v>1</v>
      </c>
      <c r="O176" s="243" t="s">
        <v>1597</v>
      </c>
      <c r="P176" s="243" t="s">
        <v>1406</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1598</v>
      </c>
      <c r="B177" s="138" t="s">
        <v>1599</v>
      </c>
      <c r="C177" s="138" t="s">
        <v>1600</v>
      </c>
      <c r="D177" s="138" t="s">
        <v>1601</v>
      </c>
      <c r="E177" s="138" t="s">
        <v>4</v>
      </c>
      <c r="F177" s="138" t="s">
        <v>1602</v>
      </c>
      <c r="G177" s="138" t="s">
        <v>4</v>
      </c>
      <c r="H177" s="138" t="s">
        <v>4</v>
      </c>
      <c r="I177" s="138" t="s">
        <v>1603</v>
      </c>
      <c r="J177" s="138" t="s">
        <v>1171</v>
      </c>
      <c r="K177" s="138" t="s">
        <v>1</v>
      </c>
      <c r="L177" s="138" t="s">
        <v>1604</v>
      </c>
      <c r="M177" s="138" t="s">
        <v>1605</v>
      </c>
      <c r="N177" s="138" t="s">
        <v>1</v>
      </c>
      <c r="O177" s="138" t="s">
        <v>1606</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1607</v>
      </c>
      <c r="B178" s="138" t="s">
        <v>1599</v>
      </c>
      <c r="C178" s="138" t="s">
        <v>1608</v>
      </c>
      <c r="D178" s="138" t="s">
        <v>1609</v>
      </c>
      <c r="E178" s="138" t="s">
        <v>1610</v>
      </c>
      <c r="F178" s="138" t="s">
        <v>1611</v>
      </c>
      <c r="G178" s="138" t="s">
        <v>4</v>
      </c>
      <c r="H178" s="138" t="s">
        <v>1612</v>
      </c>
      <c r="I178" s="138" t="s">
        <v>1613</v>
      </c>
      <c r="J178" s="138" t="s">
        <v>1171</v>
      </c>
      <c r="K178" s="138" t="s">
        <v>1</v>
      </c>
      <c r="L178" s="138" t="s">
        <v>1614</v>
      </c>
      <c r="M178" s="138" t="s">
        <v>1615</v>
      </c>
      <c r="N178" s="138" t="s">
        <v>1</v>
      </c>
      <c r="O178" s="138" t="s">
        <v>1616</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1617</v>
      </c>
      <c r="B179" s="138" t="s">
        <v>1599</v>
      </c>
      <c r="C179" s="138" t="s">
        <v>1608</v>
      </c>
      <c r="D179" s="138" t="s">
        <v>1618</v>
      </c>
      <c r="E179" s="138" t="s">
        <v>1619</v>
      </c>
      <c r="F179" s="138" t="s">
        <v>1620</v>
      </c>
      <c r="G179" s="138" t="s">
        <v>4</v>
      </c>
      <c r="H179" s="138" t="s">
        <v>1621</v>
      </c>
      <c r="I179" s="138" t="s">
        <v>1622</v>
      </c>
      <c r="J179" s="138" t="s">
        <v>1171</v>
      </c>
      <c r="K179" s="138" t="s">
        <v>1</v>
      </c>
      <c r="L179" s="138" t="s">
        <v>1623</v>
      </c>
      <c r="M179" s="138" t="s">
        <v>1624</v>
      </c>
      <c r="N179" s="138" t="s">
        <v>1</v>
      </c>
      <c r="O179" s="138" t="s">
        <v>1625</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1626</v>
      </c>
      <c r="B180" s="138" t="s">
        <v>1599</v>
      </c>
      <c r="C180" s="138" t="s">
        <v>1627</v>
      </c>
      <c r="D180" s="138" t="s">
        <v>1628</v>
      </c>
      <c r="E180" s="138" t="s">
        <v>1629</v>
      </c>
      <c r="F180" s="138" t="s">
        <v>1630</v>
      </c>
      <c r="G180" s="138" t="s">
        <v>4</v>
      </c>
      <c r="H180" s="138" t="s">
        <v>1631</v>
      </c>
      <c r="I180" s="138" t="s">
        <v>1632</v>
      </c>
      <c r="J180" s="138" t="s">
        <v>1171</v>
      </c>
      <c r="K180" s="138" t="s">
        <v>1</v>
      </c>
      <c r="L180" s="138" t="s">
        <v>1633</v>
      </c>
      <c r="M180" s="138" t="s">
        <v>1634</v>
      </c>
      <c r="N180" s="138" t="s">
        <v>1</v>
      </c>
      <c r="O180" s="138" t="s">
        <v>1635</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1636</v>
      </c>
      <c r="B181" s="138" t="s">
        <v>1599</v>
      </c>
      <c r="C181" s="138" t="s">
        <v>1627</v>
      </c>
      <c r="D181" s="138" t="s">
        <v>1637</v>
      </c>
      <c r="E181" s="138" t="s">
        <v>1638</v>
      </c>
      <c r="F181" s="138" t="s">
        <v>1639</v>
      </c>
      <c r="G181" s="138" t="s">
        <v>4</v>
      </c>
      <c r="H181" s="138" t="s">
        <v>4</v>
      </c>
      <c r="I181" s="138" t="s">
        <v>1640</v>
      </c>
      <c r="J181" s="138" t="s">
        <v>1171</v>
      </c>
      <c r="K181" s="138" t="s">
        <v>1</v>
      </c>
      <c r="L181" s="138" t="s">
        <v>1641</v>
      </c>
      <c r="M181" s="138" t="s">
        <v>1642</v>
      </c>
      <c r="N181" s="138" t="s">
        <v>1</v>
      </c>
      <c r="O181" s="138" t="s">
        <v>1643</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1644</v>
      </c>
      <c r="B182" s="138" t="s">
        <v>1645</v>
      </c>
      <c r="C182" s="138" t="s">
        <v>1646</v>
      </c>
      <c r="D182" s="138" t="s">
        <v>1647</v>
      </c>
      <c r="E182" s="138" t="s">
        <v>4</v>
      </c>
      <c r="F182" s="138" t="s">
        <v>1648</v>
      </c>
      <c r="G182" s="138" t="s">
        <v>4</v>
      </c>
      <c r="H182" s="138" t="s">
        <v>4</v>
      </c>
      <c r="I182" s="138" t="s">
        <v>1649</v>
      </c>
      <c r="J182" s="138" t="s">
        <v>1171</v>
      </c>
      <c r="K182" s="138" t="s">
        <v>1</v>
      </c>
      <c r="L182" s="138" t="s">
        <v>1650</v>
      </c>
      <c r="M182" s="138" t="s">
        <v>1651</v>
      </c>
      <c r="N182" s="138" t="s">
        <v>1</v>
      </c>
      <c r="O182" s="138" t="s">
        <v>1652</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1653</v>
      </c>
      <c r="B183" s="138" t="s">
        <v>1645</v>
      </c>
      <c r="C183" s="138" t="s">
        <v>1654</v>
      </c>
      <c r="D183" s="138" t="s">
        <v>1655</v>
      </c>
      <c r="E183" s="138" t="s">
        <v>1295</v>
      </c>
      <c r="F183" s="138" t="s">
        <v>1656</v>
      </c>
      <c r="G183" s="138" t="s">
        <v>4</v>
      </c>
      <c r="H183" s="138" t="s">
        <v>1657</v>
      </c>
      <c r="I183" s="138" t="s">
        <v>1658</v>
      </c>
      <c r="J183" s="138" t="s">
        <v>1171</v>
      </c>
      <c r="K183" s="138" t="s">
        <v>1</v>
      </c>
      <c r="L183" s="138" t="s">
        <v>1659</v>
      </c>
      <c r="M183" s="138" t="s">
        <v>1660</v>
      </c>
      <c r="N183" s="138" t="s">
        <v>1</v>
      </c>
      <c r="O183" s="138" t="s">
        <v>1661</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1662</v>
      </c>
      <c r="B184" s="138" t="s">
        <v>1645</v>
      </c>
      <c r="C184" s="138" t="s">
        <v>1663</v>
      </c>
      <c r="D184" s="138" t="s">
        <v>1664</v>
      </c>
      <c r="E184" s="138" t="s">
        <v>4</v>
      </c>
      <c r="F184" s="138" t="s">
        <v>1665</v>
      </c>
      <c r="G184" s="138" t="s">
        <v>4</v>
      </c>
      <c r="H184" s="138" t="s">
        <v>4</v>
      </c>
      <c r="I184" s="138" t="s">
        <v>1666</v>
      </c>
      <c r="J184" s="138" t="s">
        <v>1171</v>
      </c>
      <c r="K184" s="138" t="s">
        <v>1</v>
      </c>
      <c r="L184" s="138" t="s">
        <v>1667</v>
      </c>
      <c r="M184" s="138" t="s">
        <v>1668</v>
      </c>
      <c r="N184" s="138" t="s">
        <v>1</v>
      </c>
      <c r="O184" s="138" t="s">
        <v>1669</v>
      </c>
      <c r="P184" s="138" t="s">
        <v>1569</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1670</v>
      </c>
      <c r="B185" s="138" t="s">
        <v>1645</v>
      </c>
      <c r="C185" s="138" t="s">
        <v>1671</v>
      </c>
      <c r="D185" s="138" t="s">
        <v>1672</v>
      </c>
      <c r="E185" s="138" t="s">
        <v>4</v>
      </c>
      <c r="F185" s="138" t="s">
        <v>1673</v>
      </c>
      <c r="G185" s="138" t="s">
        <v>4</v>
      </c>
      <c r="H185" s="138" t="s">
        <v>4</v>
      </c>
      <c r="I185" s="138" t="s">
        <v>1674</v>
      </c>
      <c r="J185" s="138" t="s">
        <v>1171</v>
      </c>
      <c r="K185" s="138" t="s">
        <v>1</v>
      </c>
      <c r="L185" s="138" t="s">
        <v>1675</v>
      </c>
      <c r="M185" s="138" t="s">
        <v>1676</v>
      </c>
      <c r="N185" s="138" t="s">
        <v>1</v>
      </c>
      <c r="O185" s="138" t="s">
        <v>1677</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1678</v>
      </c>
      <c r="B186" s="138" t="s">
        <v>1645</v>
      </c>
      <c r="C186" s="138" t="s">
        <v>1679</v>
      </c>
      <c r="D186" s="138" t="s">
        <v>1680</v>
      </c>
      <c r="E186" s="138" t="s">
        <v>4</v>
      </c>
      <c r="F186" s="138" t="s">
        <v>1681</v>
      </c>
      <c r="G186" s="138" t="s">
        <v>4</v>
      </c>
      <c r="H186" s="138" t="s">
        <v>4</v>
      </c>
      <c r="I186" s="138" t="s">
        <v>1682</v>
      </c>
      <c r="J186" s="138" t="s">
        <v>1171</v>
      </c>
      <c r="K186" s="138" t="s">
        <v>1</v>
      </c>
      <c r="L186" s="138" t="s">
        <v>1683</v>
      </c>
      <c r="M186" s="138" t="s">
        <v>1684</v>
      </c>
      <c r="N186" s="138" t="s">
        <v>1</v>
      </c>
      <c r="O186" s="138" t="s">
        <v>1685</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1686</v>
      </c>
      <c r="B187" s="138" t="s">
        <v>1645</v>
      </c>
      <c r="C187" s="138" t="s">
        <v>1687</v>
      </c>
      <c r="D187" s="138" t="s">
        <v>1688</v>
      </c>
      <c r="E187" s="138" t="s">
        <v>1689</v>
      </c>
      <c r="F187" s="138" t="s">
        <v>1690</v>
      </c>
      <c r="G187" s="138" t="s">
        <v>4</v>
      </c>
      <c r="H187" s="138" t="s">
        <v>4</v>
      </c>
      <c r="I187" s="138" t="s">
        <v>1691</v>
      </c>
      <c r="J187" s="138" t="s">
        <v>1171</v>
      </c>
      <c r="K187" s="138" t="s">
        <v>1</v>
      </c>
      <c r="L187" s="138" t="s">
        <v>1692</v>
      </c>
      <c r="M187" s="138" t="s">
        <v>1693</v>
      </c>
      <c r="N187" s="138" t="s">
        <v>1</v>
      </c>
      <c r="O187" s="138" t="s">
        <v>1694</v>
      </c>
      <c r="P187" s="138" t="s">
        <v>1406</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1695</v>
      </c>
      <c r="B188" s="138" t="s">
        <v>1645</v>
      </c>
      <c r="C188" s="138" t="s">
        <v>1696</v>
      </c>
      <c r="D188" s="138" t="s">
        <v>1697</v>
      </c>
      <c r="E188" s="138" t="s">
        <v>4</v>
      </c>
      <c r="F188" s="138" t="s">
        <v>1698</v>
      </c>
      <c r="G188" s="138" t="s">
        <v>4</v>
      </c>
      <c r="H188" s="138" t="s">
        <v>4</v>
      </c>
      <c r="I188" s="138" t="s">
        <v>1699</v>
      </c>
      <c r="J188" s="138" t="s">
        <v>1171</v>
      </c>
      <c r="K188" s="138" t="s">
        <v>1</v>
      </c>
      <c r="L188" s="138" t="s">
        <v>1700</v>
      </c>
      <c r="M188" s="138" t="s">
        <v>1701</v>
      </c>
      <c r="N188" s="138" t="s">
        <v>1</v>
      </c>
      <c r="O188" s="138" t="s">
        <v>1702</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1703</v>
      </c>
      <c r="B189" s="138" t="s">
        <v>1704</v>
      </c>
      <c r="C189" s="138" t="s">
        <v>1705</v>
      </c>
      <c r="D189" s="138" t="s">
        <v>1706</v>
      </c>
      <c r="E189" s="138" t="s">
        <v>4</v>
      </c>
      <c r="F189" s="138" t="s">
        <v>1707</v>
      </c>
      <c r="G189" s="138" t="s">
        <v>4</v>
      </c>
      <c r="H189" s="138" t="s">
        <v>4</v>
      </c>
      <c r="I189" s="138" t="s">
        <v>1708</v>
      </c>
      <c r="J189" s="138" t="s">
        <v>1288</v>
      </c>
      <c r="K189" s="138" t="s">
        <v>1</v>
      </c>
      <c r="L189" s="138" t="s">
        <v>1709</v>
      </c>
      <c r="M189" s="138" t="s">
        <v>1710</v>
      </c>
      <c r="N189" s="138" t="s">
        <v>1</v>
      </c>
      <c r="O189" s="138" t="s">
        <v>1711</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1712</v>
      </c>
      <c r="B190" s="138" t="s">
        <v>1704</v>
      </c>
      <c r="C190" s="138" t="s">
        <v>1713</v>
      </c>
      <c r="D190" s="138" t="s">
        <v>1714</v>
      </c>
      <c r="E190" s="138" t="s">
        <v>1715</v>
      </c>
      <c r="F190" s="138" t="s">
        <v>1716</v>
      </c>
      <c r="G190" s="138" t="s">
        <v>4</v>
      </c>
      <c r="H190" s="138" t="s">
        <v>1717</v>
      </c>
      <c r="I190" s="138" t="s">
        <v>1718</v>
      </c>
      <c r="J190" s="138" t="s">
        <v>1288</v>
      </c>
      <c r="K190" s="138" t="s">
        <v>1</v>
      </c>
      <c r="L190" s="138" t="s">
        <v>1719</v>
      </c>
      <c r="M190" s="138" t="s">
        <v>1720</v>
      </c>
      <c r="N190" s="138" t="s">
        <v>1</v>
      </c>
      <c r="O190" s="138" t="s">
        <v>1721</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1722</v>
      </c>
      <c r="B191" s="138" t="s">
        <v>1704</v>
      </c>
      <c r="C191" s="138" t="s">
        <v>1723</v>
      </c>
      <c r="D191" s="138" t="s">
        <v>1724</v>
      </c>
      <c r="E191" s="138" t="s">
        <v>4</v>
      </c>
      <c r="F191" s="138" t="s">
        <v>1725</v>
      </c>
      <c r="G191" s="138" t="s">
        <v>4</v>
      </c>
      <c r="H191" s="138" t="s">
        <v>4</v>
      </c>
      <c r="I191" s="138" t="s">
        <v>1726</v>
      </c>
      <c r="J191" s="138" t="s">
        <v>1288</v>
      </c>
      <c r="K191" s="138" t="s">
        <v>1</v>
      </c>
      <c r="L191" s="138" t="s">
        <v>1727</v>
      </c>
      <c r="M191" s="138" t="s">
        <v>1728</v>
      </c>
      <c r="N191" s="138" t="s">
        <v>1</v>
      </c>
      <c r="O191" s="138" t="s">
        <v>1729</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1730</v>
      </c>
      <c r="B192" s="138" t="s">
        <v>1704</v>
      </c>
      <c r="C192" s="138" t="s">
        <v>1731</v>
      </c>
      <c r="D192" s="138" t="s">
        <v>1732</v>
      </c>
      <c r="E192" s="138" t="s">
        <v>4</v>
      </c>
      <c r="F192" s="138" t="s">
        <v>1733</v>
      </c>
      <c r="G192" s="138" t="s">
        <v>4</v>
      </c>
      <c r="H192" s="138" t="s">
        <v>4</v>
      </c>
      <c r="I192" s="138" t="s">
        <v>1734</v>
      </c>
      <c r="J192" s="138" t="s">
        <v>1288</v>
      </c>
      <c r="K192" s="138" t="s">
        <v>1</v>
      </c>
      <c r="L192" s="138" t="s">
        <v>1735</v>
      </c>
      <c r="M192" s="138" t="s">
        <v>1736</v>
      </c>
      <c r="N192" s="138" t="s">
        <v>1</v>
      </c>
      <c r="O192" s="138" t="s">
        <v>1737</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1738</v>
      </c>
      <c r="B193" s="138" t="s">
        <v>1739</v>
      </c>
      <c r="C193" s="138" t="s">
        <v>1740</v>
      </c>
      <c r="D193" s="138" t="s">
        <v>1741</v>
      </c>
      <c r="E193" s="138" t="s">
        <v>1742</v>
      </c>
      <c r="F193" s="138" t="s">
        <v>1743</v>
      </c>
      <c r="G193" s="138" t="s">
        <v>4</v>
      </c>
      <c r="H193" s="138" t="s">
        <v>4</v>
      </c>
      <c r="I193" s="138" t="s">
        <v>1744</v>
      </c>
      <c r="J193" s="138" t="s">
        <v>1171</v>
      </c>
      <c r="K193" s="138" t="s">
        <v>1</v>
      </c>
      <c r="L193" s="138" t="s">
        <v>1745</v>
      </c>
      <c r="M193" s="138" t="s">
        <v>1746</v>
      </c>
      <c r="N193" s="138" t="s">
        <v>1</v>
      </c>
      <c r="O193" s="138" t="s">
        <v>1747</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1748</v>
      </c>
      <c r="B194" s="138" t="s">
        <v>1739</v>
      </c>
      <c r="C194" s="138" t="s">
        <v>1749</v>
      </c>
      <c r="D194" s="138" t="s">
        <v>1750</v>
      </c>
      <c r="E194" s="138" t="s">
        <v>4</v>
      </c>
      <c r="F194" s="138" t="s">
        <v>1751</v>
      </c>
      <c r="G194" s="138" t="s">
        <v>4</v>
      </c>
      <c r="H194" s="138" t="s">
        <v>4</v>
      </c>
      <c r="I194" s="138" t="s">
        <v>1752</v>
      </c>
      <c r="J194" s="138" t="s">
        <v>1171</v>
      </c>
      <c r="K194" s="138" t="s">
        <v>1</v>
      </c>
      <c r="L194" s="138" t="s">
        <v>1753</v>
      </c>
      <c r="M194" s="138" t="s">
        <v>1754</v>
      </c>
      <c r="N194" s="138" t="s">
        <v>1</v>
      </c>
      <c r="O194" s="138" t="s">
        <v>1755</v>
      </c>
      <c r="P194" s="138" t="s">
        <v>1756</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1757</v>
      </c>
      <c r="B195" s="138" t="s">
        <v>1739</v>
      </c>
      <c r="C195" s="138" t="s">
        <v>1758</v>
      </c>
      <c r="D195" s="138" t="s">
        <v>1759</v>
      </c>
      <c r="E195" s="138" t="s">
        <v>4</v>
      </c>
      <c r="F195" s="138" t="s">
        <v>1760</v>
      </c>
      <c r="G195" s="138" t="s">
        <v>4</v>
      </c>
      <c r="H195" s="138" t="s">
        <v>1761</v>
      </c>
      <c r="I195" s="138" t="s">
        <v>1762</v>
      </c>
      <c r="J195" s="138" t="s">
        <v>1171</v>
      </c>
      <c r="K195" s="138" t="s">
        <v>1</v>
      </c>
      <c r="L195" s="138" t="s">
        <v>1763</v>
      </c>
      <c r="M195" s="138" t="s">
        <v>1764</v>
      </c>
      <c r="N195" s="138" t="s">
        <v>1</v>
      </c>
      <c r="O195" s="138" t="s">
        <v>1765</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1766</v>
      </c>
      <c r="B196" s="138" t="s">
        <v>1739</v>
      </c>
      <c r="C196" s="138" t="s">
        <v>1767</v>
      </c>
      <c r="D196" s="138" t="s">
        <v>1768</v>
      </c>
      <c r="E196" s="138" t="s">
        <v>1769</v>
      </c>
      <c r="F196" s="138" t="s">
        <v>1770</v>
      </c>
      <c r="G196" s="138" t="s">
        <v>4</v>
      </c>
      <c r="H196" s="138" t="s">
        <v>4</v>
      </c>
      <c r="I196" s="138" t="s">
        <v>1771</v>
      </c>
      <c r="J196" s="138" t="s">
        <v>1171</v>
      </c>
      <c r="K196" s="138" t="s">
        <v>1</v>
      </c>
      <c r="L196" s="138" t="s">
        <v>1772</v>
      </c>
      <c r="M196" s="138" t="s">
        <v>1773</v>
      </c>
      <c r="N196" s="138" t="s">
        <v>1</v>
      </c>
      <c r="O196" s="138" t="s">
        <v>1774</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1775</v>
      </c>
      <c r="B197" s="138" t="s">
        <v>1739</v>
      </c>
      <c r="C197" s="138" t="s">
        <v>1776</v>
      </c>
      <c r="D197" s="138" t="s">
        <v>1777</v>
      </c>
      <c r="E197" s="138" t="s">
        <v>1390</v>
      </c>
      <c r="F197" s="138" t="s">
        <v>1778</v>
      </c>
      <c r="G197" s="138" t="s">
        <v>4</v>
      </c>
      <c r="H197" s="138" t="s">
        <v>1779</v>
      </c>
      <c r="I197" s="138" t="s">
        <v>1780</v>
      </c>
      <c r="J197" s="138" t="s">
        <v>1171</v>
      </c>
      <c r="K197" s="138" t="s">
        <v>1</v>
      </c>
      <c r="L197" s="138" t="s">
        <v>1781</v>
      </c>
      <c r="M197" s="138" t="s">
        <v>1782</v>
      </c>
      <c r="N197" s="138" t="s">
        <v>1</v>
      </c>
      <c r="O197" s="138" t="s">
        <v>1783</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1784</v>
      </c>
      <c r="B198" s="135" t="s">
        <v>1201</v>
      </c>
      <c r="C198" s="135" t="s">
        <v>1220</v>
      </c>
      <c r="D198" s="135" t="s">
        <v>1785</v>
      </c>
      <c r="E198" s="135" t="s">
        <v>4</v>
      </c>
      <c r="F198" s="135" t="s">
        <v>1786</v>
      </c>
      <c r="G198" s="135" t="s">
        <v>4</v>
      </c>
      <c r="H198" s="135" t="s">
        <v>4</v>
      </c>
      <c r="I198" s="135" t="s">
        <v>1787</v>
      </c>
      <c r="J198" s="135" t="s">
        <v>486</v>
      </c>
      <c r="K198" s="135" t="s">
        <v>487</v>
      </c>
      <c r="L198" s="135" t="s">
        <v>1788</v>
      </c>
      <c r="M198" s="135" t="s">
        <v>1789</v>
      </c>
      <c r="N198" s="135" t="s">
        <v>51</v>
      </c>
      <c r="O198" s="135" t="s">
        <v>1790</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row r="199" customFormat="false" ht="15" hidden="false" customHeight="false" outlineLevel="0" collapsed="false">
      <c r="A199" s="135" t="s">
        <v>1791</v>
      </c>
      <c r="B199" s="135" t="s">
        <v>1792</v>
      </c>
      <c r="C199" s="135" t="s">
        <v>1793</v>
      </c>
      <c r="D199" s="135" t="s">
        <v>1794</v>
      </c>
      <c r="E199" s="135" t="s">
        <v>1795</v>
      </c>
      <c r="F199" s="135" t="s">
        <v>1796</v>
      </c>
      <c r="G199" s="135" t="s">
        <v>4</v>
      </c>
      <c r="H199" s="135" t="s">
        <v>4</v>
      </c>
      <c r="I199" s="135" t="s">
        <v>1797</v>
      </c>
      <c r="J199" s="135" t="s">
        <v>486</v>
      </c>
      <c r="K199" s="135" t="s">
        <v>1798</v>
      </c>
      <c r="L199" s="135" t="s">
        <v>1799</v>
      </c>
      <c r="M199" s="135" t="s">
        <v>1800</v>
      </c>
      <c r="N199" s="135" t="s">
        <v>51</v>
      </c>
      <c r="O199" s="135" t="s">
        <v>1801</v>
      </c>
      <c r="P199" s="135" t="s">
        <v>392</v>
      </c>
      <c r="Q199" s="146" t="str">
        <f>IF(OR(ISNUMBER(SEARCH("FAIL",J199&amp;" "&amp;N199)),ISNUMBER(SEARCH("CLEAN RETEST REQUIRED",J199&amp;" "&amp;N199))),"Failed",IF(OR(ISNUMBER(SEARCH("NOT RUN",J199&amp;" "&amp;N199)),ISNUMBER(SEARCH("NOT IMPLEMENTED",J199&amp;" "&amp;N199))),"Not started",IF(OR(ISNUMBER(SEARCH("PARTIAL",J199&amp;" "&amp;N199)),ISNUMBER(SEARCH("PENDING",J199&amp;" "&amp;N199)),ISNUMBER(SEARCH("IN PROGRESS",J199&amp;" "&amp;N199)),ISNUMBER(SEARCH("OPEN",J199&amp;" "&amp;N199)),ISNUMBER(SEARCH("RETEST REQUIRED",J199&amp;" "&amp;N199)),ISNUMBER(SEARCH("IMPLEMENTATION UPDATED",J199&amp;" "&amp;N199)),ISNUMBER(SEARCH("REQUIRED EVERY SESSION",J199&amp;" "&amp;N199))),"Pending",IF(OR(N199="PASS",ISNUMBER(SEARCH("PASS",J199&amp;" "&amp;N199))),"Done","Pending"))))</f>
        <v>Done</v>
      </c>
      <c r="R199" s="146" t="str">
        <f>IF(OR(LEFT(A199,9)="OPERATOR-",LEFT(A199,8)="PAYMENT-",LEFT(A199,7)="DEPLOY-"),"External","Core")</f>
        <v>Core</v>
      </c>
    </row>
    <row r="200" customFormat="false" ht="15" hidden="false" customHeight="false" outlineLevel="0" collapsed="false">
      <c r="A200" s="146" t="s">
        <v>1802</v>
      </c>
      <c r="B200" s="146" t="s">
        <v>1792</v>
      </c>
      <c r="C200" s="146" t="s">
        <v>1803</v>
      </c>
      <c r="D200" s="146" t="s">
        <v>1804</v>
      </c>
      <c r="E200" s="146" t="s">
        <v>1805</v>
      </c>
      <c r="F200" s="146" t="s">
        <v>1806</v>
      </c>
      <c r="G200" s="146" t="s">
        <v>4</v>
      </c>
      <c r="H200" s="146" t="s">
        <v>4</v>
      </c>
      <c r="I200" s="146" t="s">
        <v>1807</v>
      </c>
      <c r="J200" s="146" t="s">
        <v>1808</v>
      </c>
      <c r="K200" s="146" t="s">
        <v>1798</v>
      </c>
      <c r="L200" s="146" t="s">
        <v>1809</v>
      </c>
      <c r="M200" s="146" t="s">
        <v>1810</v>
      </c>
      <c r="N200" s="146" t="s">
        <v>1</v>
      </c>
      <c r="O200" s="146" t="s">
        <v>1811</v>
      </c>
      <c r="P200" s="146" t="s">
        <v>1406</v>
      </c>
      <c r="Q200" s="146" t="str">
        <f>IF(OR(ISNUMBER(SEARCH("FAIL",J200&amp;" "&amp;N200)),ISNUMBER(SEARCH("CLEAN RETEST REQUIRED",J200&amp;" "&amp;N200))),"Failed",IF(OR(ISNUMBER(SEARCH("NOT RUN",J200&amp;" "&amp;N200)),ISNUMBER(SEARCH("NOT IMPLEMENTED",J200&amp;" "&amp;N200))),"Not started",IF(OR(ISNUMBER(SEARCH("PARTIAL",J200&amp;" "&amp;N200)),ISNUMBER(SEARCH("PENDING",J200&amp;" "&amp;N200)),ISNUMBER(SEARCH("IN PROGRESS",J200&amp;" "&amp;N200)),ISNUMBER(SEARCH("OPEN",J200&amp;" "&amp;N200)),ISNUMBER(SEARCH("RETEST REQUIRED",J200&amp;" "&amp;N200)),ISNUMBER(SEARCH("IMPLEMENTATION UPDATED",J200&amp;" "&amp;N200)),ISNUMBER(SEARCH("REQUIRED EVERY SESSION",J200&amp;" "&amp;N200))),"Pending",IF(OR(N200="PASS",ISNUMBER(SEARCH("PASS",J200&amp;" "&amp;N200))),"Done","Pending"))))</f>
        <v>Pending</v>
      </c>
      <c r="R200" s="146" t="str">
        <f>IF(OR(LEFT(A200,9)="OPERATOR-",LEFT(A200,8)="PAYMENT-",LEFT(A200,7)="DEPLOY-"),"External","Core")</f>
        <v>Core</v>
      </c>
    </row>
    <row r="201" customFormat="false" ht="15" hidden="false" customHeight="false" outlineLevel="0" collapsed="false">
      <c r="A201" s="138" t="s">
        <v>1812</v>
      </c>
      <c r="B201" s="138" t="s">
        <v>1792</v>
      </c>
      <c r="C201" s="138" t="s">
        <v>1813</v>
      </c>
      <c r="D201" s="138" t="s">
        <v>1814</v>
      </c>
      <c r="E201" s="138" t="s">
        <v>1815</v>
      </c>
      <c r="F201" s="138" t="s">
        <v>1816</v>
      </c>
      <c r="G201" s="138" t="s">
        <v>4</v>
      </c>
      <c r="H201" s="138" t="s">
        <v>4</v>
      </c>
      <c r="I201" s="138" t="s">
        <v>1817</v>
      </c>
      <c r="J201" s="138" t="s">
        <v>1171</v>
      </c>
      <c r="K201" s="138" t="s">
        <v>1</v>
      </c>
      <c r="L201" s="138" t="s">
        <v>1818</v>
      </c>
      <c r="M201" s="138" t="s">
        <v>1819</v>
      </c>
      <c r="N201" s="138" t="s">
        <v>1</v>
      </c>
      <c r="O201" s="138" t="s">
        <v>1820</v>
      </c>
      <c r="P201" s="138" t="s">
        <v>433</v>
      </c>
      <c r="Q201" s="146" t="str">
        <f>IF(OR(ISNUMBER(SEARCH("FAIL",J201&amp;" "&amp;N201)),ISNUMBER(SEARCH("CLEAN RETEST REQUIRED",J201&amp;" "&amp;N201))),"Failed",IF(OR(ISNUMBER(SEARCH("NOT RUN",J201&amp;" "&amp;N201)),ISNUMBER(SEARCH("NOT IMPLEMENTED",J201&amp;" "&amp;N201))),"Not started",IF(OR(ISNUMBER(SEARCH("PARTIAL",J201&amp;" "&amp;N201)),ISNUMBER(SEARCH("PENDING",J201&amp;" "&amp;N201)),ISNUMBER(SEARCH("IN PROGRESS",J201&amp;" "&amp;N201)),ISNUMBER(SEARCH("OPEN",J201&amp;" "&amp;N201)),ISNUMBER(SEARCH("RETEST REQUIRED",J201&amp;" "&amp;N201)),ISNUMBER(SEARCH("IMPLEMENTATION UPDATED",J201&amp;" "&amp;N201)),ISNUMBER(SEARCH("REQUIRED EVERY SESSION",J201&amp;" "&amp;N201))),"Pending",IF(OR(N201="PASS",ISNUMBER(SEARCH("PASS",J201&amp;" "&amp;N201))),"Done","Pending"))))</f>
        <v>Not started</v>
      </c>
      <c r="R201" s="146" t="str">
        <f>IF(OR(LEFT(A201,9)="OPERATOR-",LEFT(A201,8)="PAYMENT-",LEFT(A201,7)="DEPLOY-"),"External","Core")</f>
        <v>Core</v>
      </c>
    </row>
    <row r="202" customFormat="false" ht="75" hidden="false" customHeight="true" outlineLevel="0" collapsed="false">
      <c r="A202" s="135" t="s">
        <v>1821</v>
      </c>
      <c r="B202" s="135" t="s">
        <v>1792</v>
      </c>
      <c r="C202" s="135" t="s">
        <v>1822</v>
      </c>
      <c r="D202" s="135" t="s">
        <v>1823</v>
      </c>
      <c r="E202" s="135" t="s">
        <v>1824</v>
      </c>
      <c r="F202" s="135" t="s">
        <v>1825</v>
      </c>
      <c r="G202" s="135" t="s">
        <v>4</v>
      </c>
      <c r="H202" s="135" t="s">
        <v>1826</v>
      </c>
      <c r="I202" s="135" t="s">
        <v>1827</v>
      </c>
      <c r="J202" s="135" t="s">
        <v>486</v>
      </c>
      <c r="K202" s="135" t="s">
        <v>1798</v>
      </c>
      <c r="L202" s="135" t="s">
        <v>1828</v>
      </c>
      <c r="M202" s="135" t="s">
        <v>1829</v>
      </c>
      <c r="N202" s="135" t="s">
        <v>51</v>
      </c>
      <c r="O202" s="135" t="s">
        <v>1830</v>
      </c>
      <c r="P202" s="135" t="s">
        <v>537</v>
      </c>
      <c r="Q202" s="146" t="str">
        <f>IF(OR(ISNUMBER(SEARCH("FAIL",J202&amp;" "&amp;N202)),ISNUMBER(SEARCH("CLEAN RETEST REQUIRED",J202&amp;" "&amp;N202))),"Failed",IF(OR(ISNUMBER(SEARCH("NOT RUN",J202&amp;" "&amp;N202)),ISNUMBER(SEARCH("NOT IMPLEMENTED",J202&amp;" "&amp;N202))),"Not started",IF(OR(ISNUMBER(SEARCH("PARTIAL",J202&amp;" "&amp;N202)),ISNUMBER(SEARCH("PENDING",J202&amp;" "&amp;N202)),ISNUMBER(SEARCH("IN PROGRESS",J202&amp;" "&amp;N202)),ISNUMBER(SEARCH("OPEN",J202&amp;" "&amp;N202)),ISNUMBER(SEARCH("RETEST REQUIRED",J202&amp;" "&amp;N202)),ISNUMBER(SEARCH("IMPLEMENTATION UPDATED",J202&amp;" "&amp;N202)),ISNUMBER(SEARCH("REQUIRED EVERY SESSION",J202&amp;" "&amp;N202))),"Pending",IF(OR(N202="PASS",ISNUMBER(SEARCH("PASS",J202&amp;" "&amp;N202))),"Done","Pending"))))</f>
        <v>Done</v>
      </c>
      <c r="R202" s="146" t="str">
        <f>IF(OR(LEFT(A202,9)="OPERATOR-",LEFT(A202,8)="PAYMENT-",LEFT(A202,7)="DEPLOY-"),"External","Core")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