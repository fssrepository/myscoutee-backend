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<sst xmlns="http://schemas.openxmlformats.org/spreadsheetml/2006/main" count="2360" uniqueCount="1139">
  <si>
    <t>EFFECT / SCOPE MARKERS</t>
  </si>
  <si>
    <t/>
  </si>
  <si>
    <t>Done</t>
  </si>
  <si>
    <t>88 (85%)</t>
  </si>
  <si>
    <t>X</t>
  </si>
  <si>
    <t>No expected effect — An unchanged X cell is PASS</t>
  </si>
  <si>
    <t>Pending</t>
  </si>
  <si>
    <t>7</t>
  </si>
  <si>
    <t>DELTA</t>
  </si>
  <si>
    <t>Required direct effect — Record before/after count and direction</t>
  </si>
  <si>
    <t>Not started</t>
  </si>
  <si>
    <t>8</t>
  </si>
  <si>
    <t>INDIRECT</t>
  </si>
  <si>
    <t>Conditional effect — State the condition and prove it occurred</t>
  </si>
  <si>
    <t>Failed</t>
  </si>
  <si>
    <t>0</t>
  </si>
  <si>
    <t>GAP</t>
  </si>
  <si>
    <t>Known observability gap — Record FAIL/GAP separately from domain PASS</t>
  </si>
  <si>
    <t>Total</t>
  </si>
  <si>
    <t>103</t>
  </si>
  <si>
    <t>DOMAIN PRIORITY</t>
  </si>
  <si>
    <t>QA domain</t>
  </si>
  <si>
    <t>Priority</t>
  </si>
  <si>
    <t>Progress / remaining min/max</t>
  </si>
  <si>
    <t>QA infrastructure</t>
  </si>
  <si>
    <t>14</t>
  </si>
  <si>
    <t>2 passed / 2 total (100%) · 0/0</t>
  </si>
  <si>
    <t>Asset</t>
  </si>
  <si>
    <t>9</t>
  </si>
  <si>
    <t>4 passed / 6 total (67%) · 255/605</t>
  </si>
  <si>
    <t>Identity &amp; access</t>
  </si>
  <si>
    <t>13</t>
  </si>
  <si>
    <t>8 passed / 8 total (100%) · 0/0</t>
  </si>
  <si>
    <t>Content</t>
  </si>
  <si>
    <t>3 passed / 3 total (100%) · 0/0</t>
  </si>
  <si>
    <t>Event</t>
  </si>
  <si>
    <t>12</t>
  </si>
  <si>
    <t>49 passed / 49 total (100%) · 0/0</t>
  </si>
  <si>
    <t>Notifications</t>
  </si>
  <si>
    <t>0 passed / 6 total (0%) · 410/995</t>
  </si>
  <si>
    <t>Tournament</t>
  </si>
  <si>
    <t>11</t>
  </si>
  <si>
    <t>15 passed / 15 total (100%) · 0/0</t>
  </si>
  <si>
    <t>Administration</t>
  </si>
  <si>
    <t>5</t>
  </si>
  <si>
    <t>1 passed / 4 total (25%) · 265/635</t>
  </si>
  <si>
    <t>Chat</t>
  </si>
  <si>
    <t>10</t>
  </si>
  <si>
    <t>6 passed / 6 total (100%) · 0/0</t>
  </si>
  <si>
    <t>Operator</t>
  </si>
  <si>
    <t>3</t>
  </si>
  <si>
    <t>0 passed / 4 total (0%) · 195/485</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</si>
  <si>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</si>
  <si>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</si>
  <si>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</si>
  <si>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</si>
  <si>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</si>
  <si>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</si>
  <si>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</si>
  <si>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</si>
  <si>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</si>
  <si>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</si>
  <si>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</si>
  <si>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</si>
  <si>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</si>
  <si>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</si>
  <si>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</si>
  <si>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</si>
  <si>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</si>
  <si>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</si>
  <si>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</si>
  <si>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</si>
  <si>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Remaining QA complexity (min/max)</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</si>
  <si>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</si>
  <si>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</si>
  <si>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</si>
  <si>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</si>
  <si>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</si>
  <si>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</si>
  <si>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</si>
  <si>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</si>
  <si>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</si>
  <si>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PASS / CLOSED</t>
  </si>
  <si>
    <t>2026-08-30</t>
  </si>
  <si>
    <t>Versioned admin-job and manual-QA read-only status guards; deployment schema-v4 safety marker</t>
  </si>
  <si>
    <t>Closed; repeat the read-only gate at the start of a new session or after an interrupted fixture</t>
  </si>
  <si>
    <t>PASS</t>
  </si>
  <si>
    <t>Both snapshot collections were empty. event-random-groups reported prepared=false, pending=0 and no fixture event, generated room, chat, message, outbox or bell artifact. stat-012 reported phase=not-staged, prepared=false and pending=0. Two legacy schema-v3 marker guards were aligned with the current deployment schema v4 before the successful status replay; no fixture/reset mutation was performed.</t>
  </si>
  <si>
    <t>P0 100</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</si>
  <si>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</si>
  <si>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</si>
  <si>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</si>
  <si>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</si>
  <si>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</si>
  <si>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STAT-012 helper snapshots/restores both selected users' activity projections; schema-v4 deployment guard; managed Nova browser plus independent terminal Mongo oracle</t>
  </si>
  <si>
    <t>Closed; replay only after reset projection ownership or the STAT-012 helper changes</t>
  </si>
  <si>
    <t>After one explicit Nova reload, the user confirmed Invitations and Notifications both had no red badge and empty lists. The independent terminal oracle returned stat-012 phase=not-staged, prepared=false, pending=0, snapshot count 0; Nova activities.invitations, activities.event.all, activities.event.invitations and activities.notifications were all 0, with zero pending event memberships and zero live notifications.</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</si>
  <si>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</si>
  <si>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</si>
  <si>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</si>
  <si>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</si>
  <si>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</si>
  <si>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</si>
  <si>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</si>
  <si>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</si>
  <si>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</si>
  <si>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</si>
  <si>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</si>
  <si>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</si>
  <si>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</si>
  <si>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</si>
  <si>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P0 98</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</si>
  <si>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</si>
  <si>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</si>
  <si>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</si>
  <si>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</si>
  <si>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</si>
  <si>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</si>
  <si>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</si>
  <si>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</si>
  <si>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</si>
  <si>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</si>
  <si>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</si>
  <si>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</si>
  <si>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</si>
  <si>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</si>
  <si>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 Baseline: Nova consents 2, total consents 26, ownerless 0, controlled-revision consents 0.
• Fresh anonymous /entry browser shows exact v3 with no selected optional IDs, consent, audit or session; Cancel/Accept boundary visible.
• One Cancel wrote exactly one rejected v3 audit; browser consent/session stayed absent and all server consent deltas stayed 0.
• Login/Member reopened the same v3 gate without mutating the rejection audit, optional selection, session or server cardinality.
• Accepting only Previous analytics stored the exact local v3 consent and prepended one accepted audit without removing the rejection; session stayed absent and server deltas stayed 0.
• Nova login transferred one entry-source v3 consent (6a7e170d67960971c52a31b6): only qa-previous-analytics, target/total delta +1, ownerless 0, v4 consent absent.
• Guarded activation made only v4 active at 19:13:40.771Z; v3 consent remained byte-identical and v4 consent stayed absent before reload.
• Reload retained Nova/v3/audit history but forced a non-backdrop-dismissible v4 popup with empty selection; server still had no v4 consent and cardinality stayed +1/+1/0.
•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</si>
  <si>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</si>
  <si>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</si>
  <si>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</si>
  <si>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</si>
  <si>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</si>
  <si>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</si>
  <si>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 Fresh Nova browser with no local consent bootstrap forced v5 and preselected only qa-current-analytics from v4.
• Previously unselected qa-current-marketing and new qa-product-research both started unselected; v5 consent was absent before the user action.
• Nova approved exactly qa-current-analytics plus qa-product-research; the popup closed and the demo session remained active.
• Initial terminal verification found a fixture-stage defect, not an application write: stage had updated metadata on all English privacy revisions. Stage now deactivates only the active revision; versioned repair-stage restored three inactive snapshots without touching consents.
•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</si>
  <si>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</si>
  <si>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</si>
  <si>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</si>
  <si>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</si>
  <si>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</si>
  <si>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</si>
  <si>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</si>
  <si>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</si>
  <si>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</si>
  <si>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</si>
  <si>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 A accepted once with no warning; reload retained the same one slot/audit.
• B accepted as slot 2; A/B stayed usable and converged to the same warning counter.
• C remained blocked at two slots. A generic selector-message defect was fixed and replayed without deleting the first immutable audit; the exact repair-run order was ACCEPTED/ACCEPTED/BLOCKED_LIMIT/BLOCKED_LIMIT/ACCEPTED.
• Explicit A logout released only A; accepted C then joined B as the exact final two sessions.
• Final oracle: 2 active opaque sessions, 5 explicit-attempt audits, 4 normalized security notification/outbox rows, B/C counters 4, no raw UA/IP/token/session ID in UI.
•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</si>
  <si>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</si>
  <si>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</si>
  <si>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 Paris as an absent-country control
• Paris target after permission reset and Block</t>
  </si>
  <si>
    <t>X for read-only eligibility checks unless dedicated security metrics are later specified</t>
  </si>
  <si>
    <t>• Budapest 47.4979/19.0402 resolves eligible=true and country:hu
• London 51.5074/-0.1278 resolves eligible=true and country:gb from the versioned OSM partition
• Paris 48.8566/2.3522 resolves eligible=false while country:fr is absent, without implying a ban
• Denied permission keeps Allow location without assuming a country or creating a session
• Switching branches cannot reuse stale coordinates</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</si>
  <si>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</si>
  <si>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t>
  </si>
  <si>
    <t>Closed: replay only if regional eligibility, permission handling, stale-coordinate isolation or demo-entry partition behavior changes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</si>
  <si>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Verified Firebase login/profile partition retention is owned by external CP04 ENTRY-FIREBASE-REG-001.</t>
  </si>
  <si>
    <t>ROLE-TRIAD-CORE-001</t>
  </si>
  <si>
    <t>Consolidated journey</t>
  </si>
  <si>
    <t>Three-role authorization, configuration and moderation</t>
  </si>
  <si>
    <t>Keep exactly one member, admin and operator session open; prove route boundaries, persist one branding revision, then execute warn/report/feedback/support/block/unblock as one lifecycle</t>
  </si>
  <si>
    <t>INDIRECT role-scoped counters; X; INDIRECT member access state; INDIRECT warning count; INDIRECT active user/access state; INDIRECT moderation count; INDIRECT pending feedback count; Moderation timeline/item and attention change</t>
  </si>
  <si>
    <t>DELTA denied access audit where defined; DELTA one public revision; DELTA moderation audit; DELTA denial audit where defined; DELTA warning/audit/target notification; DELTA block/unblock audit and session policy; DELTA report resolution and target policy effect; DELTA feedback moderation state; DELTA time/actor/scope-bound capability audit; Users/Jobs or relevant domain delta</t>
  </si>
  <si>
    <t>X; DELTA one notification delivery when policy requires; CONDITIONAL target notification only if policy names it; CONDITIONAL creator effect only if policy names it</t>
  </si>
  <si>
    <t>Each role sees only its capabilities and direct cross-role calls are denied without state mutation; The authorized branding revision persists; already-open consumers may require explicit reload and automatic refresh is not required; neither can edit operator config; Member access closes per policy; operator network/session remains intact and admin cannot alter operator authority; Admin succeeds within policy; operator/member direct calls are denied without data leakage or mutation; One target warning/notification occurs; admin receives no self-notification and replay is deduped; Protected requests fail per policy; operator/admin remain usable and unblock restores only authorized access; Exact report records actor/time/reason once; adjacent control remains unchanged; Creator-facing effect matches policy and unrelated impression/rating/report is unchanged; Sensitive actions remain separately authorized and expiry/revoke immediately denies reuse; Bell/moderation state correct</t>
  </si>
  <si>
    <t>MANUAL UI + PERSISTED ORACLE PASS / CLOSED</t>
  </si>
  <si>
    <t>2026-08-31</t>
  </si>
  <si>
    <t>Consolidated role/security, configuration, moderation, notification and support-session sources; running backend owner compile/classes and frontend owner watcher builds passed during defect correction; versioned role-triad Mongo checkpoint oracle supplied persisted boundary evidence without launching a parallel test/build process</t>
  </si>
  <si>
    <t>Closed; retain the complete three-role journey as a release-change regression sample</t>
  </si>
  <si>
    <t>The user accepted all 22 visual/interaction checkpoints after the full run and focused correction replays. Persisted boundary oracles covered branding save/restore, one warning, the shared support thread, live support-status bucket transitions, one report resolution, notification-only feedback resolution, block/unblock and access restoration. Final broad oracle: actor roles intact; Kai unblocked as host only; branding restored to revision 0; feedback 690000000000000000000202 resolved by admin-demo-ava at 2026-08-31T11:07:11.199156350Z; canonical feedback notification/outbox 1/1; moderation and legacy feedback chat/message/notification/outbox/support-case counts all 0; Ava support buckets and affinity residue 0. Versioned resets intentionally removed earlier transaction artifacts only after their evidence was recorded.</t>
  </si>
  <si>
    <t>P1 94</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</si>
  <si>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</si>
  <si>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</si>
  <si>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</si>
  <si>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</si>
  <si>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</si>
  <si>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</si>
  <si>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</si>
  <si>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</si>
  <si>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Versioned snapshot-protected account-purge fixture; real scheduler; exact terminal Mongo oracle; running frontend watcher compilation</t>
  </si>
  <si>
    <t>Closed; repeat only after deleted-account purge eligibility, cascade cleanup, scheduler runtime, pending counter or Jobs timing editor changes</t>
  </si>
  <si>
    <t>The dynamic Jobs table/detail visibly moved from one eligible item to Completed with affected 1 and pending 0 without manual Run. The exact oracle proved the fixture user and its userRates reference absent, and the terminal purge job Completed with cleared userId, completion timestamp, retry count 0 and no error. Snapshot-safe reset restored the original 86400-second rule and proved prepared:false. The same pass corrected Timing-popup X cancellation, unchanged-checkmark dirty behavior, duplicate header Quartz text and the redundant Timing Edit dirty dot; the existing frontend watcher compiled successfully.</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</si>
  <si>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</si>
  <si>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</si>
  <si>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</si>
  <si>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</si>
  <si>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</si>
  <si>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</si>
  <si>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</si>
  <si>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</si>
  <si>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</si>
  <si>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</si>
  <si>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2026-08-04</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</si>
  <si>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</si>
  <si>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</si>
  <si>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</si>
  <si>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</si>
  <si>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</si>
  <si>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</si>
  <si>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</si>
  <si>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</si>
  <si>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</si>
  <si>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</si>
  <si>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</si>
  <si>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</si>
  <si>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</si>
  <si>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</si>
  <si>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</si>
  <si>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</si>
  <si>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</si>
  <si>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</si>
  <si>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</si>
  <si>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</si>
  <si>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</si>
  <si>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</si>
  <si>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</si>
  <si>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</si>
  <si>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</si>
  <si>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</si>
  <si>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</si>
  <si>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</si>
  <si>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</si>
  <si>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</si>
  <si>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</si>
  <si>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</si>
  <si>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</si>
  <si>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</si>
  <si>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</si>
  <si>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</si>
  <si>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</si>
  <si>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</si>
  <si>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</si>
  <si>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</si>
  <si>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</si>
  <si>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</si>
  <si>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</si>
  <si>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</si>
  <si>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</si>
  <si>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</si>
  <si>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</si>
  <si>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</si>
  <si>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</si>
  <si>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</si>
  <si>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</si>
  <si>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</si>
  <si>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</si>
  <si>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</si>
  <si>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</si>
  <si>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</si>
  <si>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</si>
  <si>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</si>
  <si>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</si>
  <si>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</si>
  <si>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</si>
  <si>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</si>
  <si>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</si>
  <si>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</si>
  <si>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</si>
  <si>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</si>
  <si>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</si>
  <si>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</si>
  <si>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</si>
  <si>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</si>
  <si>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</si>
  <si>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</si>
  <si>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</si>
  <si>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</si>
  <si>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</si>
  <si>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</si>
  <si>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</si>
  <si>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</si>
  <si>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</si>
  <si>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</si>
  <si>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</si>
  <si>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</si>
  <si>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</si>
  <si>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P0 99</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</si>
  <si>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</si>
  <si>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</si>
  <si>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</si>
  <si>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</si>
  <si>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</si>
  <si>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</si>
  <si>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</si>
  <si>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</si>
  <si>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</si>
  <si>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EVENT-SLOT-TOURNAMENT-001</t>
  </si>
  <si>
    <t>Tournament definition and recurring-slot lifecycle</t>
  </si>
  <si>
    <t>Save/reopen one tournament definition with a weekly template and two occurrences, inspect host/participant action gating, then close an ended stage and edit one past leaderboard score</t>
  </si>
  <si>
    <t>INDIRECT event activity; INDIRECT event inventory after Save; X; INDIRECT stage activity; INDIRECT score activity</t>
  </si>
  <si>
    <t>DELTA event write and recompute; DELTA parent event write and recompute; X; DELTA slot-scoped runtime mutation and recompute; DELTA score row and tournament-input recompute</t>
  </si>
  <si>
    <t>INDIRECT after recompute; INDIRECT after event recompute; X</t>
  </si>
  <si>
    <t>Tournament review/grouping X until explicitly armed; X unless a named downstream job becomes eligible; X; Tournament review X until separately armed; Review scheduler X until separately armed</t>
  </si>
  <si>
    <t>Stages, capacities and group definition survive reopen; Upcoming list shows multiple dated sections with the same two definitions once each; Only role/mode/time-valid member, resource and runtime actions are visible; Only selected slot/stage changes RS or A to SR with stage-closed reason; Group members and changed score remain scoped to one slot/stage/group</t>
  </si>
  <si>
    <t>2026-09-01</t>
  </si>
  <si>
    <t>Consolidates EVENT-EDITOR-004, EVENT-SLOT-001, EVENT-SLOT-002, EVENT-SLOT-003, EVENT-SLOT-004; focused regression sources cover slot-owner leaderboard loading and same-ID generated/manual group overlay; running frontend/backend hot-deploy owner builds PASS</t>
  </si>
  <si>
    <t>Closed; proceed to EVENT-EDIT-RUNTIME-001. Retain definition/template/occurrence identity, unique group merge, stage Close and slot score/history as regression controls</t>
  </si>
  <si>
    <t>All five sources PASS. Save/reopen retained ordered Qualifier/Final definitions; save completion reloaded the mounted Sub Events list and six weekly occurrences remained identity-stable. Future host/participant menus were read-only and role/time gated. Clean Close changed one full slot runtime RS-&gt;SR/stage-closed with groupsCount 2-&gt;2, stable 7/4 scores, one EVENT_CHANGED recompute and no tournament review/group generation. EVENT-SLOT-004 returned Group A once with Nova/Riley, saved exactly one Nova +3 note under the September 1 slot for total 10/2 updates, retained Riley 4/1 and left the September 8 occurrence empty. Frontend snapshot slot scope, same-ID group overlay/counting, raw template _id fixture shape and list-card mode/slots/avatar projection defects were repaired. User confirmed the manual UI; independent API/Mongo oracles proved exact scope and side effects. All retained fixtures reset/not-staged.</t>
  </si>
  <si>
    <t>EVENT-EDIT-RUNTIME-001</t>
  </si>
  <si>
    <t>Event creation, runtime view switching and active edit</t>
  </si>
  <si>
    <t>Create one normal childless Draft through the UI; prove its root MAIN_EVENT; assign root Transport; save exactly two Slots and prove one slot-scoped MAIN_EVENT per Slot replaces the root view; isolate first-Slot Accommodation and second-Slot Supplies; remove both Slots and prove the same root MAIN_EVENT and Transport return; publish; edit capacity; execute scoped root-Transport Invite/Delete; then remove and reassign the Transport</t>
  </si>
  <si>
    <t>INDIRECT after each owning create/edit/publish delta; every View/reload X</t>
  </si>
  <si>
    <t>DELTA Event create/edit/publish and normal recompute; DELTA root MAIN_EVENT active -&gt; D -&gt; active on childless/two-Slot switching without identity replacement; DELTA independently scoped Slot resources; DELTA root resource assignment and scoped invite/delete write; every View/reload X</t>
  </si>
  <si>
    <t>INDIRECT only after documented owning Event/resource recompute</t>
  </si>
  <si>
    <t>DELTA normal Event recompute for changed Saves; other consumers conditional; scoped Invite/Delete and Remove/Reassign enqueue deduplicated Asset recomputes; no unchanged Event participation rewrite</t>
  </si>
  <si>
    <t>First Save shows one root MAIN_EVENT card; the two-Slot Save shows exactly one MAIN_EVENT in each Slot and no third root card; removing both Slots restores the original root document/record/sync identity and Transport; Publish and capacity 2/8 -&gt; 2/9 preserve it; Event Members contains Casey Admin and Nova Member once each; root Transport occupancy 1/0-4 has no red badge; scoped Nova invite changes pending badge 0 -&gt; 1 and Delete restores it to absent; Remove/Reassign changes accepted 1 -&gt; 0 -&gt; 1 across reopen/reload; no empty list, duplicate parent, global Asset member, synthetic :default child or tournament-only action</t>
  </si>
  <si>
    <t>MANUAL UI + FUNCTIONAL PASS; FIX VERIFIED; CLOSED</t>
  </si>
  <si>
    <t>2026-09-02</t>
  </si>
  <si>
    <t>Consolidates EVENT-EDITOR-005 and EVENT-RUNTIME-001. Existing backend/frontend regression sources cover childless materialization, empty enabled-collection canonicalization and per-Slot MAIN_EVENT mapping; existing MAIN_EVENT resource-scope controls passed. The running frontend/backend hot-deploy owner builds passed; no duplicate build or test process was launched beside the watchers.</t>
  </si>
  <si>
    <t>Closed. Preserve the captured post-create boundary only for the focused Delete replay; otherwise reset through the versioned harness before selecting the next Pair-QA testcase.</t>
  </si>
  <si>
    <t>Complete English checklist PASS through step 62. Casey created Event h1788317751991 through the UI and proved the root MAIN_EVENT, two independent Slot MAIN_EVENT scopes, isolated Accommodation/Supplies, then restoration of the same root runtime document 6a9790503071603425ae103d, recordId main-event:h1788317751991 and syncKey 0e21c605-865c-4e49-bd89-b5288cf3df82. Publish, fixture-provided accepted Nova membership, capacity 2/8 -&gt; 2/9, Members and presentation checks passed. Root Transport invite/delete ended with one Casey accepted request/projection, no Nova pending request/projection or Transport member row, and accepted=1/pending=0/capacityMax=4. Remove at 05:38:05 deleted the accepted root request and saved the runtime; backend reads at 05:38:10 and 05:38:12 preceded reassign at 05:38:14, corroborating the user's step-57 reopen/reload PASS. Reassign restored exactly one root Transport; the final task completed at 2026-09-02T03:39:01.795480583Z with no error. Dev-only platform seed debounce is 15s while Java and production behavior remain unchanged.</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</si>
  <si>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</si>
  <si>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</si>
  <si>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</si>
  <si>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</si>
  <si>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</si>
  <si>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</si>
  <si>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</si>
  <si>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</si>
  <si>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</si>
  <si>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</si>
  <si>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</si>
  <si>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</si>
  <si>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</si>
  <si>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</si>
  <si>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</si>
  <si>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</si>
  <si>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</si>
  <si>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</si>
  <si>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</si>
  <si>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 No ticket/payment/chat/lifecycle/recompute artifact existed; affinity and notification workers were terminal with pending 0.
• FAIL before producer: reload showed no Casey My Events badge and /api/auth/me returned hosting/event counters 0; opening the popup alone patched the UI.
• Root cause was fixture stage omitting the existing write-side event-counter projection, not SmartList or Trash behavior.
• Guarded repair captured two reset snapshots and projected counters without changing event/SmartList. HTTP reload oracle now gives Casey hosting/event.hosting/event.all=1 and Nova events/event.active/event.all=1 with matching counterOverrides.
• Focused reload replay PASS: closed-popup main badges were Casey My Events=1 and Nova Events=1; both opened lists contained the same event once.
• Fixture occupancy defect repaired: creator/Admin is now included in the shared embedded projection; both already-open lists converged 1/8 -&gt; 2/8 by normal popup poll without reload or SmartList change.
• Backend preflight defect fixed: global organizer Trash no longer increments an accepted participant's personal Trash counter; explicit deleted memberships still do. Regression source added; owner hot deploy compiled/restarted successfully.
• Exact action baseline captured 2026-08-13T20:16:21.233Z: A/public, Casey+Nova 2/8, Casey Hosting/All=1, Nova Active/All=1, lifecycle task/outbox/notification 0. One completed earlier read/location recompute is retained and excluded from Trash attribution.
• NOT EXECUTED before producer: Codex's Java hot restart raced the continuous classes deletion wave, left /activities/events/filter unmapped and both open polls showed empty/zero. No Delete request or persisted delta occurred; this is not attributed to the user.
• Correct-scope repair: DevTools restart is gated by a marker touched after successful classes; HTTP list failures remain errors while successful empty pages remain authoritative. SmartList was unchanged.
•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 Terminal verifier PASS at 2026-08-13T20:46:09.146Z: T/statusBeforeSuppression=A/post-baseline trashedAtIso; unchanged Casey Admin + Nova Member 2/8 audit rows; Casey Hosting/All/Trash=0/0/1; Nova Events/Active/All/Trash=0/0/0/0.
•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 Casey's organizer Trash UI and later fresh-bundle read both PASS: Trash=1 and exactly one QA EVENT-LIFE-002 card.
• Nova's untouched Active foreground poll removed the card, but initially FAIL: inclusive All stayed 1 until switching to All returned no card and corrected the menu to 0. Persisted Active/All were already 0/0.
•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 Nova Notifications New UI PASS: exact unread QA EVENT-LIFE-002 / The event was deleted. row was visible and not opened. Repeated guarded verifier at 2026-08-13T21:05:00.659Z retained exactly one row with empty readAtIso, one pending dev-mode outbox and no duplicate lifecycle effect.
• Fresh-bundle Nova reconstruction PASS: after one reload, Events &gt; All was empty and both the main Events and All red counters were absent, agreeing with persisted Active/All=0/0 without a corrective bucket switch.
• Fresh-bundle Casey reconstruction PASS: Events &gt; Trash showed counter1 and exactly one event. EVENT-LIFE-002 and its Activity Events counter repair are PASS/CLOSED.</t>
  </si>
  <si>
    <t>P0 96</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</si>
  <si>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</si>
  <si>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</si>
  <si>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</si>
  <si>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</si>
  <si>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</si>
  <si>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</si>
  <si>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</si>
  <si>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</si>
  <si>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 The first direct stage exposed a harness-only Nova Trash1 error. Counter reconstruction now treats organizer Trash as host/admin-only and keeps participant membership Trash separate; corrected baseline and Casey Trash UI both passed.
• Saved pre-Restore oracle at 2026-08-14T11:13:29.545Z: exactly one event, two members, zero resources/tickets/lifecycle artifacts, Casey Trash1 and Nova Active/All/Trash0.
• In-place PASS: Casey restored exactly once; the Trash card/counter disappeared and Nova saw the event through the normal foreground poll without reload.
• Java write oracle PASS: same record/source/title became A/published, statusBeforeSuppression and trashedAtIso cleared; exact Casey Admin + Nova Member 2/8 remained; zero member/resource/basket/payment/ticket/chat/lifecycle notification/outbox duplication.
• Counter delta PASS: Casey Hosting/My Events +1 and Trash -1; Nova Events/Active/All +1 and Trash unchanged0.
• Fresh-bundle read-only PASS: Casey My Events and Nova Active/All each showed the same single event with no Trash counter. Reads created no second task.
•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</si>
  <si>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</si>
  <si>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</si>
  <si>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</si>
  <si>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</si>
  <si>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</si>
  <si>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</si>
  <si>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</si>
  <si>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</si>
  <si>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</si>
  <si>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</si>
  <si>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 Original Leave UI passed but Java persisted Nova Trash0; later poll removed the badge. Exact failed state retained and root cause fixed in the canonical write-side counter projector, not SmartList/query code.
• Corrected Leave PASS: same Casey canonical stayed A at 1/8; same Nova overlay/member became T/suppressed; Nova persisted Active/All/Trash 0/0/1; one member-left chat message; no organizer lifecycle artifacts.
• Repeated filter/realtime polls retained Trash1. Nova fresh reload still showed badge1 and exactly one Trash card.
• Final Restore PASS: same identities returned A/accepted with suppression cleared, occupancy2/8, Casey counters1/1/0 and Nova counters1/1/0; one member-joined message and correct per-user chat projections.
• Final Casey My Events and Nova Active Events fresh DOM reads each showed exactly one 2/8 card and no Trash. One coalesced EVENT_MEMBERS_CHANGED task finished done at 2026-08-14T12:03:21.935Z with no error.
•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</si>
  <si>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</si>
  <si>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</si>
  <si>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</si>
  <si>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</si>
  <si>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</si>
  <si>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</si>
  <si>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 Nova participant branch: Active Events exactly one QA EVENT-LIFE-003 at 2/8; Invitations and Trash empty before/after reload; final DOM Active1 with no Trash.
•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</si>
  <si>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</si>
  <si>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</si>
  <si>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</si>
  <si>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</si>
  <si>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</si>
  <si>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</si>
  <si>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</si>
  <si>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</si>
  <si>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</si>
  <si>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</si>
  <si>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</si>
  <si>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 Persisted terminal oracle proved pendingSource=admin, requestKind=invite, exact Casey-to-Nova unread invitation/outbox identities, Nova Invitations/All 1/1 and no unrelated domain/task artifacts.
• Nova showed one notification and exactly one QA EVENT-INV-001 Invitations card at 1/8 with pending badge 1.
•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</si>
  <si>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</si>
  <si>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Pending invitation privacy and authorization</t>
  </si>
  <si>
    <t>With owner, invited target and unrelated control isolated, inspect one pending invitation before acceptance through list and detail paths</t>
  </si>
  <si>
    <t>Accepted-only controls, chat and resources are hidden; Firebase-authenticated direct/deep-link denial is external</t>
  </si>
  <si>
    <t>MANUAL UI PASS; LOCAL EVENT GATE CLOSED</t>
  </si>
  <si>
    <t>Local demo UI/privacy branch PASS; authenticated policy denial is owned by DEPLOY-FIREBASE-LIFECYCLE-001</t>
  </si>
  <si>
    <t>Closed locally; replay only the production-authenticated direct/deep-link denial as an assertion inside DEPLOY-FIREBASE-LIFECYCLE-001</t>
  </si>
  <si>
    <t>Riley opened the invitation and read-only event view. Fields were disabled; invitation-specific View, Accept and Reject actions were present; no event chat or participant resources were visible. Members remained visible because Open Event allows preview. The demo session cannot prove the production policy denial, so that one assertion moved to the production-like Firebase deployment journey and no longer gates Event. The Members screen separately exposed EVENT-MEMBER-CREATOR-001. No acceptance action belongs to this case.</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</si>
  <si>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</si>
  <si>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</si>
  <si>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</si>
  <si>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</si>
  <si>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</si>
  <si>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</si>
  <si>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</si>
  <si>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</si>
  <si>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</si>
  <si>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</si>
  <si>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</si>
  <si>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</si>
  <si>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</si>
  <si>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</si>
  <si>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</si>
  <si>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</si>
  <si>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</si>
  <si>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</si>
  <si>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</si>
  <si>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</si>
  <si>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 No event chat or chat counters exist for any actor. Riley Invitations/All is 1/1; Nova Active/All is 1/1; Casey Hosting is 1.
• Fresh DOM baseline: Casey My Events1/Chats0, Nova Events1/Chats0, Riley Invitations1/Chats0. Riley's list contains exactly one QA EVENT-INV-004 card at 2/8 with pending1.
• Riley Accept ran once: membership stayed pending and moved invite-&gt;approval; Riley Invitations/Pending changed 1/0-&gt;0/1, chat stayed zero, and Casey received one unread Admin join-request.
• In-place controls: Casey card remains 2/8 pending1 with notification 3-&gt;4; Nova Events1/Chats0; Riley Invitations0/Chats0.
• Casey Members action baseline is 2 members + 1 pending with Riley once Waiting For Admin Approval, Casey once Admin and Nova once accepted Member; the repeated read oracle is unchanged.
• First Admin Approve persisted the exact accepted3/pending0, three-owner chat, one member-joined row, Chats1 for all and target-only approval notification/outbox; poll, reopen and refreshed Members reads passed.
• Focused FAIL: Casey Chats stayed0 in the action-owning document while Members suppressed the side poll. Java returned only members although its write-side counters were correct.
• Repair returns and atomically applies the canonical actor counter snapshot; HTTP hot-deploy compatibility and full frontend-local event/chat/counter plus later-poll parity are implemented.
• Guarded replay at 13:56:35.748Z restored only the same Admin approval boundary: accepted/pending2/1, Riley pending approval, Chats0, exact-one retained join-request, zero chat and zero approval artifacts. Riley Accept remains proven and is not replayed.
•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 Fixed replay PASS at 15:13:47Z: Casey's still-open Members document changed Chats0-&gt;1 from the approval response and reached 3 members immediately. The 17:14 screenshot shows Nova and Riley at Chats1; Riley also has the one approval notification.
• Terminal oracle: accepted/pending3/0, three identical mainEvent owner copies all unread1, one Riley Outside joined the event system row, stored Chats/All/Event1 for all three, one Riley-only approval notification/outbox and zero chat-message notification artifacts.
•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</si>
  <si>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</si>
  <si>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</si>
  <si>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</si>
  <si>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</si>
  <si>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</si>
  <si>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</si>
  <si>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</si>
  <si>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</si>
  <si>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</si>
  <si>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 Riley Reject itself removed the live invitation and in-place Invitations badge while Chats stayed0; persisted accepted/pending became2/0 with Riley suppressed and zero chat/acceptance/approval notification artifacts.
• The first normal embedded-member refresh normalized the impossible capacity1 to accepted2. This diagnosed a fixture defect, not a reject write defect.
• Fixture repaired to the coherent full boundary: Casey+Nova accepted plus Riley's reserved final seat equals capacity3.
• Repaired replay UI/write PASS at 15:40:50.696Z: the user confirmed in-place Invitations1-&gt;0 with Chats0; fresh Riley reconstruction shows Invitations0, Chats0 and the single personal Trash card.
• Oracle retained capacity3, accepted/pending2/0, Casey+Nova exact accepted identities and only Riley suppressed from pending. Live pending/invited lists, chats/messages and invitation/acceptance/approval notifications/outbox are zero.
• Normal worker PASS at 15:45:57.345Z: the one EVENT_MEMBERS_CHANGED task completed on attempt1 with empty lastError and pendingCount0; all state and zero-artifact controls remained unchanged.
• Branch A PASS/CLOSED. Never repeat Riley Reject; reset independently before branch B.
• Branch B first action at 15:51:50.195674866Z: Casey Members changed 2 members · 1 pending -&gt; 2 members in place, Riley disappeared once, Riley Invitations1-&gt;0 live, Nova unchanged; capacity3 and Casey+Nova accepted persisted with Riley deleted and all chat/notification controls zero.
• FAIL: zero EVENT_MEMBERS_CHANGED tasks were stored although cancelling the pending invite released its reserved final seat; the same path also skipped waitlist promotion.
•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 Repair replay baseline staged at 16:01:33.676Z and proved again by read-only status: capacity3, accepted/pending2/1, Riley final-seat invite, chats0 and zero tasks/artifacts. Same three managed documents reloaded and match Casey My Events1, Nova Events1, Riley Invitations1, all Chats0.
• Branch C independent baseline staged at 17:27:14.493Z; post-stage Casey/Nova/Riley hard reloads and a later oracle prove capacity3, accepted/pending2/1 with Riley reserving the final seat and zero tasks/artifacts.
• Casey read-only candidate query returned multiple selectable non-members; a repeated Mongo oracle proved the query itself performed no write. The actual picker shows Riley selected and Farkas Anna as the visible new candidate.
• Branch C first write at 19:48:43+02:00 is server/write PASS but UX FAIL: Farkas Anna was rejected with unchanged capacity3 accepted/pending2/1 and zero tasks/artifacts, yet the picker closed silently.
• Repair requires one shared HTTP/local invite outcome, frontend-local capacity parity, the existing confirmation dialog in actionless information mode, and matching versioned en/hu local plus Mongo translations.
•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 Branch C terminal PASS/CLOSED: user explicitly confirmed the visible standard top-right X closed the notice; combined screenshot proves exact message/no footer actions, and terminal oracle proves capacity3 accepted/pending2/1 with every artifact0. Never repeat Branch C.
• Branch D next: fresh reset/stage, Riley accepts once through UI, snapshot exact membership/chat/task/notification effects, then replay the identical authenticated join once and require changed=false with every count unchanged.
• Branch D READY: staged18:31:33.042Z; two statuses prove capacity3 accepted/pending2/1 and zero chats/tasks/acceptance artifacts/payments. Same documents reloaded Casey18:32:11.813Z, Nova18:32:15.329Z, Riley18:32:19.418Z; initial My Events/Events/Invitations1 and Chats0.
•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 Post-fix no-op18:47:37.568Z PASS: HTTP200 accepted changed=false counterDelta null; accepted3/pending0, Riley timestamp18:43:38.772815972Z, chat3/message1/task1 same id/availability, notifications2/outbox1, payments/basket0. Only terminal original-task read remains; no more joins.
• Terminal worker PASS/CLOSED: task6a7f61daae56910e99a48530 done18:49:15.677199764Z attempt1/error-empty, pendingCount0; final membership/chat/notification/payment fingerprint unchanged. EVENT-INV-005 all branches PASS/CLOSED.
• Java repair replay at 16:06:13.505868724Z PASS: one EVENT_MEMBERS_CHANGED task, completed 16:12:08.607775317Z attempt1/error-empty; capacity3, accepted/pending2/0 and every chat/notification control zero.
•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 The 16:13:41.562Z replay lineage is NOT EXECUTED because the reload boundary was not yet proven; no Delete occurred and the fixture was reset.
•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</si>
  <si>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</si>
  <si>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</si>
  <si>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</si>
  <si>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</si>
  <si>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</si>
  <si>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</si>
  <si>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</si>
  <si>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</si>
  <si>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</si>
  <si>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</si>
  <si>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</si>
  <si>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</si>
  <si>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</si>
  <si>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</si>
  <si>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</si>
  <si>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</si>
  <si>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</si>
  <si>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</si>
  <si>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</si>
  <si>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</si>
  <si>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</si>
  <si>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</si>
  <si>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</si>
  <si>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</si>
  <si>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</si>
  <si>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</si>
  <si>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</si>
  <si>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</si>
  <si>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</si>
  <si>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</si>
  <si>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</si>
  <si>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</si>
  <si>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</si>
  <si>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</si>
  <si>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</si>
  <si>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</si>
  <si>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</si>
  <si>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</si>
  <si>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</si>
  <si>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</si>
  <si>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</si>
  <si>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</si>
  <si>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</si>
  <si>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</si>
  <si>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</si>
  <si>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</si>
  <si>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</si>
  <si>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</si>
  <si>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</si>
  <si>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</si>
  <si>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</si>
  <si>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</si>
  <si>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</si>
  <si>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</si>
  <si>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</si>
  <si>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</si>
  <si>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</si>
  <si>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</si>
  <si>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</si>
  <si>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</si>
  <si>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</si>
  <si>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</si>
  <si>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EVENT-CHECKOUT-001</t>
  </si>
  <si>
    <t>Event Explore Stripe checkout and Cash-only control</t>
  </si>
  <si>
    <t>From Event Explore traverse paid review, resumable basket, Cancel and one successful Stripe payment, then compare free, approval-required and waitlist action states</t>
  </si>
  <si>
    <t>INDIRECT one Event participation delta after successful Stripe payment; draft/cancel/summary reads X</t>
  </si>
  <si>
    <t>DELTA one basket/payment/membership chain for success and one closed Cancel audit; every reload/summary read X</t>
  </si>
  <si>
    <t>INDIRECT only after accepted membership evidence/recompute</t>
  </si>
  <si>
    <t>CONDITIONAL normal member/chat/affinity/outbox and simulator callback work for the selected demo branch</t>
  </si>
  <si>
    <t>Fresh paid: Book Event -&gt; Join -&gt; Stripe card/Payment; saved pre-pay: Continue booking plus Back/Cancel payment/Payment; assign orders selectable cards before provider-mismatched Reconnect cards and Expired cards, which remain unselectable while their badge menus remain usable without closing checkout; provider-change response names and carries the current provider, updates the open provider badge directly with no second request, and retains the selected card under a static Update needed badge; success: one accepted Activity Events Active/All row with View Event, Payment summary and Leave Event; free/approval/waitlist controls never expose Payment in an ineligible state; no freeze, duplicate popup, payment, membership, chat or counter</t>
  </si>
  <si>
    <t>2026-09-06</t>
  </si>
  <si>
    <t>User-controlled 81-step journey, named rollback checkpoints and final persisted oracle; backend/frontend hot-deploy builds passed; Watchlist visibility and recipient-scope regression specifications added</t>
  </si>
  <si>
    <t>Closed; repeat only after further Event checkout, payment, multi-Slot participation, Watchlist availability or leave-notification behavior changes</t>
  </si>
  <si>
    <t>All UI blocks passed. Final oracle retained exactly two authorized joined Stripe payments and no active basket, left Casey as the sole root/Slot member with one free place in each Slot, removed Nova/Riley membership and Watchlist state, and proved the expected availability/member notifications, outbox rows and two voluntary-leave chat messages exactly once. The later extra Add-to-watchlist action was isolated and cleaned through the versioned fixture before the final PASS. The accepted post-close copy/privacy follow-up uses left for self-leave, neutral new-spot copy, hides no-longer-visible watched Events, rejects hidden-event Watchlist writes/availability notices and sends generic republish or public-definition-change notifications only to outside watchers who can still view the Event.</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</si>
  <si>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</si>
  <si>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</si>
  <si>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</si>
  <si>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</si>
  <si>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</si>
  <si>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</si>
  <si>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</si>
  <si>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</si>
  <si>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</si>
  <si>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</si>
  <si>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</si>
  <si>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</si>
  <si>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</si>
  <si>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</si>
  <si>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</si>
  <si>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</si>
  <si>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</si>
  <si>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</si>
  <si>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</si>
  <si>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</si>
  <si>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</si>
  <si>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</si>
  <si>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</si>
  <si>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</si>
  <si>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</si>
  <si>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</si>
  <si>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</si>
  <si>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</si>
  <si>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</si>
  <si>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</si>
  <si>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</si>
  <si>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</si>
  <si>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</si>
  <si>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</si>
  <si>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</si>
  <si>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</si>
  <si>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</si>
  <si>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</si>
  <si>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</si>
  <si>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</si>
  <si>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</si>
  <si>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</si>
  <si>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</si>
  <si>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</si>
  <si>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</si>
  <si>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</si>
  <si>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</si>
  <si>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</si>
  <si>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</si>
  <si>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</si>
  <si>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</si>
  <si>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</si>
  <si>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</si>
  <si>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</si>
  <si>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</si>
  <si>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</si>
  <si>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</si>
  <si>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</si>
  <si>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</si>
  <si>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</si>
  <si>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</si>
  <si>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</si>
  <si>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</si>
  <si>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</si>
  <si>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</si>
  <si>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</si>
  <si>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</si>
  <si>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</si>
  <si>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</si>
  <si>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</si>
  <si>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</si>
  <si>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</si>
  <si>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</si>
  <si>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</si>
  <si>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</si>
  <si>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</si>
  <si>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</si>
  <si>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</si>
  <si>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</si>
  <si>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</si>
  <si>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</si>
  <si>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</si>
  <si>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</si>
  <si>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</si>
  <si>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</si>
  <si>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</si>
  <si>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</si>
  <si>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</si>
  <si>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</si>
  <si>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</si>
  <si>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</si>
  <si>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</si>
  <si>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</si>
  <si>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</si>
  <si>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</si>
  <si>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</si>
  <si>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</si>
  <si>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</si>
  <si>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</si>
  <si>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</si>
  <si>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</si>
  <si>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</si>
  <si>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</si>
  <si>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</si>
  <si>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</si>
  <si>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</si>
  <si>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</si>
  <si>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</si>
  <si>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</si>
  <si>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</si>
  <si>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</si>
  <si>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</si>
  <si>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</si>
  <si>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</si>
  <si>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</si>
  <si>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</si>
  <si>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</si>
  <si>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</si>
  <si>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</si>
  <si>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</si>
  <si>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</si>
  <si>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</si>
  <si>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</si>
  <si>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</si>
  <si>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</si>
  <si>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</si>
  <si>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</si>
  <si>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</si>
  <si>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</si>
  <si>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</si>
  <si>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</si>
  <si>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</si>
  <si>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</si>
  <si>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</si>
  <si>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</si>
  <si>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</si>
  <si>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</si>
  <si>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</si>
  <si>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</si>
  <si>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</si>
  <si>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</si>
  <si>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</si>
  <si>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</si>
  <si>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</si>
  <si>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</si>
  <si>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</si>
  <si>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</si>
  <si>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</si>
  <si>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</si>
  <si>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</si>
  <si>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</si>
  <si>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</si>
  <si>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</si>
  <si>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</si>
  <si>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</si>
  <si>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</si>
  <si>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EVENT-SCHEDULERS-001</t>
  </si>
  <si>
    <t>Event background-worker lifecycle</t>
  </si>
  <si>
    <t>Prepare bounded random-group, counter/ticket-expiry and checkout-basket-purge inputs and let each real scheduler process its exact work once</t>
  </si>
  <si>
    <t>DELTA scheduler/audit; INDIRECT Chat/outbox; DELTA scheduler/audit for zero/success/failure; INDIRECT domain event when non-empty; DELTA scheduler/audit</t>
  </si>
  <si>
    <t>DELTA status/count/duration/history; DELTA</t>
  </si>
  <si>
    <t>DELTA rooms/members/chats/system messages/counters; DELTA expired counters/tickets/user counters; DELTA basket resultState deleted and pending count</t>
  </si>
  <si>
    <t>Consolidates JOB-RANDOM, JOB-COUNTER, JOB-BASKET. Extensive fixture/self-tests; common lifecycle tests; Fixture/service/common lifecycle tests</t>
  </si>
  <si>
    <t>Closed; repeat only after Event scheduler, Job Detail polling, generated-room runtime, counter-expiry or checkout-basket reconciliation changes</t>
  </si>
  <si>
    <t>All three reset-isolated branches passed through the already-running scheduler without UI Run or direct worker calls. Random groups produced the exact six-user rooms/runtime/chat result; counter expiry passed one-work and zero-work with an unchanged second-pass domain fingerprint; basket purge ran exactly once at 2026-09-02T08:18:21Z, moved Metrics 1186/1186 to 1187/1187, deleted only the expired basket, preserved the future control and Event, and disappeared from the still-open Explore Basket while the menu returned to Book Event. Final fixture status: not-staged/prepared=false.</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</si>
  <si>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</si>
  <si>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</si>
  <si>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</si>
  <si>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</si>
  <si>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</si>
  <si>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</si>
  <si>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</si>
  <si>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</si>
  <si>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</si>
  <si>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</si>
  <si>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</si>
  <si>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</si>
  <si>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STAT-012</t>
  </si>
  <si>
    <t>Causal</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</si>
  <si>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</si>
  <si>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</si>
  <si>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</si>
  <si>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</si>
  <si>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</si>
  <si>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</si>
  <si>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</si>
  <si>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</si>
  <si>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PAYMENT-METHODS-HISTORY-001</t>
  </si>
  <si>
    <t>Member side-menu Payment history and saved cards</t>
  </si>
  <si>
    <t>From the side menu prove Cash-only blocks card registration; verify All/Expenses/Income history, immutable summaries and totals; register Stripe with admin-approved 3DS; switch provider, verify Retokenize/Delete recovery on the now mismatched Stripe cards, and register Barion without 3DS; then remove one expired card through its badge menu</t>
  </si>
  <si>
    <t>X; exact user payment totals remain unchanged</t>
  </si>
  <si>
    <t>X; Payment History and card reads do not create audit or queue work</t>
  </si>
  <si>
    <t>X; expiry job generation is machine-proven separately and is not rerun by this UI fixture</t>
  </si>
  <si>
    <t>Cash-only disables Add card; two header totals, translated filters, day groups, contextual row/status tones and failure reason render; Stripe registration waits for the matching admin 3DS approval; after the Barion switch every Stripe-tokenized card retains artwork under the expired-strength white overlay, is unselectable, and exposes vivid blue Reconnect &gt; -&gt; Retokenize/Delete recovery; both complete autofills produce one tokenized active method each; expired coral card is not selectable, exposes only vivid Expired &gt; -&gt; Delete cleanup, and its translated notification remains attributable</t>
  </si>
  <si>
    <t>-</t>
  </si>
  <si>
    <t>User-driven 39-step HTTP journey plus persisted savepoint/final oracles; real expiry scheduler smoke; focused simulator cancellation regression; running frontend watcher build and live EN/HU i18n import PASS</t>
  </si>
  <si>
    <t>Closed; proceed to EVENT-CHECKOUT-001 and repeat only after Payment History, card registration, provider recovery or expired-card behavior changes</t>
  </si>
  <si>
    <t>The 39-step Ava/Alex journey passed Stripe and Barion registration, replacement, reconnect, expired cleanup and immutable history/totals. The standalone Stripe 3DS cancellation saved no card and created no payment; its old generic failure copy was split into the existing cancelled state and dedicated message without changing technical failures. Exact cleanup restored three cards, nine prior registrations and five payments, then returned the simulator to Cash only, 3DS Off and phase=not-staged.</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</si>
  <si>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</si>
  <si>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</si>
  <si>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</si>
  <si>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</si>
  <si>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</si>
  <si>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</si>
  <si>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</si>
  <si>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</si>
  <si>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</si>
  <si>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</si>
  <si>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</si>
  <si>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</si>
  <si>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</si>
  <si>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</si>
  <si>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</si>
  <si>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</si>
  <si>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</si>
  <si>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</si>
  <si>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</si>
  <si>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</si>
  <si>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</si>
  <si>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</si>
  <si>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</si>
  <si>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</si>
  <si>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</si>
  <si>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</si>
  <si>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</si>
  <si>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</si>
  <si>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</si>
  <si>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</si>
  <si>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</si>
  <si>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</si>
  <si>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</si>
  <si>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</si>
  <si>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</si>
  <si>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</si>
  <si>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 Stage-system avatar reuses the Final card accent while the row background keeps its notification tone
• Every automatic lifecycle message names the completed/started stage; advancement names source and destination
•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</si>
  <si>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</si>
  <si>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</si>
  <si>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</si>
  <si>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 Guarded terminal replay preserved PASS Start/room evidence byte-identically, set Casey 7 / Riley 9 and finalized once.
• Persisted terminal oracle proved three separate ordered records: Riley Casey-authored Final finalized, Riley system Won the tournament, Casey system Did not win; Nova received none.
• Three-browser UI passed exact recipients, short texts and separate producer avatars. Winner/advanced trophy glow and not-winner/not-advanced diagonal strike passed after the existing frontend watcher rebuild; Casey audit portrait stayed unchanged.
•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</si>
  <si>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</si>
  <si>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</si>
  <si>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</si>
  <si>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</si>
  <si>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</si>
  <si>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</si>
  <si>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</si>
  <si>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</si>
  <si>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</si>
  <si>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</si>
  <si>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</si>
  <si>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</si>
  <si>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</si>
  <si>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</si>
  <si>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</si>
  <si>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</si>
  <si>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</si>
  <si>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</si>
  <si>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</si>
  <si>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</si>
  <si>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</si>
  <si>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</si>
  <si>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</si>
  <si>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</si>
  <si>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</si>
  <si>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</si>
  <si>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</si>
  <si>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</si>
  <si>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</si>
  <si>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</si>
  <si>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</si>
  <si>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</si>
  <si>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</si>
  <si>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</si>
  <si>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</si>
  <si>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</si>
  <si>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</si>
  <si>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</si>
  <si>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</si>
  <si>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</si>
  <si>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</si>
  <si>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</si>
  <si>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</si>
  <si>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</si>
  <si>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</si>
  <si>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</si>
  <si>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</si>
  <si>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</si>
  <si>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</si>
  <si>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</si>
  <si>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</si>
  <si>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</si>
  <si>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</si>
  <si>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</si>
  <si>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</si>
  <si>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</si>
  <si>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</si>
  <si>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</si>
  <si>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</si>
  <si>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</si>
  <si>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</si>
  <si>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</si>
  <si>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</si>
  <si>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</si>
  <si>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</si>
  <si>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</si>
  <si>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</si>
  <si>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</si>
  <si>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</si>
  <si>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</si>
  <si>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</si>
  <si>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</si>
  <si>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</si>
  <si>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</si>
  <si>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</si>
  <si>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</si>
  <si>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</si>
  <si>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</si>
  <si>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</si>
  <si>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</si>
  <si>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</si>
  <si>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</si>
  <si>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</si>
  <si>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</si>
  <si>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</si>
  <si>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</si>
  <si>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</si>
  <si>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</si>
  <si>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</si>
  <si>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</si>
  <si>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</si>
  <si>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</si>
  <si>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</si>
  <si>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</si>
  <si>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</si>
  <si>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</si>
  <si>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</si>
  <si>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</si>
  <si>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</si>
  <si>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</si>
  <si>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</si>
  <si>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</si>
  <si>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</si>
  <si>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</si>
  <si>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</si>
  <si>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</si>
  <si>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</si>
  <si>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P0 86</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</si>
  <si>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</si>
  <si>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</si>
  <si>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</si>
  <si>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</si>
  <si>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</si>
  <si>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</si>
  <si>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</si>
  <si>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</si>
  <si>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</si>
  <si>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</si>
  <si>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</si>
  <si>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CHAT-FLOW-001</t>
  </si>
  <si>
    <t>Consolidated checkpoint CP13</t>
  </si>
  <si>
    <t>Everyday conversation and recovery</t>
  </si>
  <si>
    <t>With Casey, Nova and Riley in one controlled Event/Group conversation, verify list contexts, 18-message history, typing, exact-once send, closed-recipient unread, read receipt and one transport reconnect/catch-up as one journey</t>
  </si>
  <si>
    <t>DELTA two ordinary chat.message.sent events; list/history/typing reads X</t>
  </si>
  <si>
    <t>DELTA exact recipient unread/read and reader identities; no lost/duplicate message across reconnect</t>
  </si>
  <si>
    <t>X unless documented message delivery work is produced</t>
  </si>
  <si>
    <t>All/context rows and 18-message history are exact; open recipient sees live delivery without unread, closed recipient gets +1 then read clears once, an already-open Chat list converges through its existing poll without reopen, reconnect catches up once and all views survive reopen</t>
  </si>
  <si>
    <t>Replayable three-actor fixture and terminal oracle pass: 18 history plus two exact Casey messages, Nova+Riley read both, all chat counters zero, Group revisions Casey=2/Nova=3/Riley=3, two Riley-only outboxes/inbox rows, Casey/Nova notification delta zero and Riley +2. Focused backend/local coverage owns live read, active-viewer suppression and full poll row sync; both dev watchers compiled.</t>
  </si>
  <si>
    <t>Closed; continue with CHAT-ACTIONS-001</t>
  </si>
  <si>
    <t>The former LIST, HISTORY, SEND, COUNTER, READ, RECONNECT and TYPING micro rows are assertions of this closed owner. User confirmed the already-open Riley Chat list converged without reopen; terminal Mongo oracle passed every exact assertion.</t>
  </si>
  <si>
    <t>CHAT-ACTIONS-001</t>
  </si>
  <si>
    <t>Message action lifecycle</t>
  </si>
  <si>
    <t>Against one existing three-user thread, reply to an older message, aggregate/change/remove reactions, pin and locate the source, edit as owner with non-owner denial, then unpin and unsend with non-owner denial</t>
  </si>
  <si>
    <t>INDIRECT one ordinary reply message; mutations do not add messages</t>
  </si>
  <si>
    <t>DELTA same-message reply/reaction/pin/edit/tombstone state only; unauthorized writes X</t>
  </si>
  <si>
    <t>All open clients converge in place; reopen retains one canonical ID and audit, source navigation works, tombstone clears owned payload state and surrounding history/counters remain intact</t>
  </si>
  <si>
    <t>Three-window lifecycle and terminal oracle passed: 18 unchanged surrounding messages plus one same-ID tombstone; source navigation, reactions, pin/edit/unpin/unsend accepted; Nova Edit and Unsend both HTTP 403. Lost concurrent read updates and tombstone read recreation were corrected with guarded atomic write-side additions; simultaneous Nova/Riley websocket replay retained both readers while tombstone readers stayed empty. Live read receipts now carry canonical profile image URLs through backend/websocket and frontend HTTP/local paths; the user confirmed both real avatars immediately and after reopen, and a read-only database check retained both reader IDs with all unread/chat counters zero. Both dev watchers compiled successfully.</t>
  </si>
  <si>
    <t>Closed; continue with CHAT-CONTENT-001</t>
  </si>
  <si>
    <t>Owns the former REPLY, EDIT, DELETE, REACTION and PIN micro rows as one user journey. No separate mutation-audit collection exists; transient transitions are accepted UI evidence and the final tombstone/denials are persisted/API evidence.</t>
  </si>
  <si>
    <t>CHAT-CONTENT-001</t>
  </si>
  <si>
    <t>Rich-content conversation</t>
  </si>
  <si>
    <t>In one accepted Group thread send one image, short voice clip, two-option poll, Event card and Asset/link card; consume them as Nova/Riley, change one vote and exercise denied recorder plus unavailable-target controls</t>
  </si>
  <si>
    <t>INDIRECT five chat messages</t>
  </si>
  <si>
    <t>DELTA one canonical attachment/target record per sent message and exact per-user poll votes</t>
  </si>
  <si>
    <t>Both recipients receive each message once; media opens/plays after reopen, poll totals remain exact, available cards navigate and unavailable targets reveal nothing; denied/cancelled media creates no row</t>
  </si>
  <si>
    <t>Replayable three-actor fixture plus exact Mongo and authenticated browser media/reopen/category-filter oracles; running backend/frontend watchers compiled the owning changes</t>
  </si>
  <si>
    <t>Closed; continue with CHAT-GOVERNANCE-001</t>
  </si>
  <si>
    <t>Exactly five canonical content messages retained Nova and Riley as readers; two South votes persisted canonical names, initials, genders and real profile-image URLs. All three actors received identical content; image, preview, voice and both voter avatars returned HTTP 200; All Transport/Sedan/SUV filtering, canonical Event/Asset navigation, unavailable-target isolation, notification/share-token state and zero terminal Chat counters passed. Denied/cancelled media produced no extra row or orphan. Vote mutation intentionally produces no unread item.</t>
  </si>
  <si>
    <t>CHAT-GOVERNANCE-001</t>
  </si>
  <si>
    <t>Members and moderation intake</t>
  </si>
  <si>
    <t>Inspect canonical Event and Group members, including pending/left/other-group negative controls, then report one accepted participant message twice and open the resulting Admin review item</t>
  </si>
  <si>
    <t>INDIRECT one moderation input</t>
  </si>
  <si>
    <t>DELTA exactly one idempotent report/review identity; member reads X</t>
  </si>
  <si>
    <t>Members/roles/avatars match accepted event/group scope; denied identities stay absent; reporter gets one acknowledgement and Admin sees one exact context without unrelated history</t>
  </si>
  <si>
    <t>Replayable three-actor fixture plus independent terminal Mongo and authenticated browser oracles; running backend/frontend hot-deploy owners compiled the owning changes</t>
  </si>
  <si>
    <t>Closed; continue with CHAT-PUSH-001</t>
  </si>
  <si>
    <t>All three actors returned exact Event and Group A accepted members with real avatar URLs; Lina stayed pending-only, Sophia stayed denied and Olivia stayed Event/Group-B-only. Two identical Nova submissions retained one unresolved Riley review with exact reason/details and Event/Group/chat/message context, unchanged three-message history and no unrelated fixture write. User confirmed the Admin review/source/member UI; shared app-image-card portrait/contain rendering also fixed the Event Members list. Frontend-local parity is implemented but was not separately executed.</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</si>
  <si>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</si>
  <si>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</si>
  <si>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</si>
  <si>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</si>
  <si>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</si>
  <si>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</si>
  <si>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</si>
  <si>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</si>
  <si>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</si>
  <si>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</si>
  <si>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ASSET-LIFE-001</t>
  </si>
  <si>
    <t>Asset lifecycle and type schemas</t>
  </si>
  <si>
    <t>Create one Transport, one Accommodation and one Supplies asset; edit one shared field, then delete the Transport</t>
  </si>
  <si>
    <t>INDIRECT asset inventory counts</t>
  </si>
  <si>
    <t>DELTA canonical asset documents and lifecycle status; assigned projections are unchanged until a later assignment case</t>
  </si>
  <si>
    <t>Each type keeps its required type-specific fields and media; edit persists once; Save-confirmed Create and Delete update both counter surfaces without reload; Delete removes only the selected asset from active lists</t>
  </si>
  <si>
    <t>NOT EXECUTED</t>
  </si>
  <si>
    <t>2026-09-03</t>
  </si>
  <si>
    <t>Terminal versioned Mongo oracle plus successful existing frontend watcher builds; focused shared ActivityStore regression authored but no duplicate standalone test process was started</t>
  </si>
  <si>
    <t>Closed; continue with ASSET-VIS-001</t>
  </si>
  <si>
    <t>Casey completed Create/Edit/Delete and one reload with no remaining material Asset issue. Compact editor carousel and owned-Asset InfoCard now contain square media without crop/stretch. Transport asset-1788401138449 retained edited Subtitle and status T; Accommodation asset-1788401224102 and Supplies asset-1788401283920 remained active with exact type fields. Authoritative/legacy/nested counts matched Transport 0/0/0, Accommodation 2/2/2 and Supplies 1/1/1; out-of-scope active Accommodation asset-1788401751580 (ddd) explains the second Accommodation and was preserved. Asset Trash/Restore and redundant replacement Create were removed from the UI contract; own-Asset list polling remains intentionally absent.</t>
  </si>
  <si>
    <t>ASSET-VIS-001</t>
  </si>
  <si>
    <t>Asset visibility and discovery</t>
  </si>
  <si>
    <t>Compare one Public, Friends only and Invitation only asset as owner, friend and unrelated member; edit Public to Invitation only and reload</t>
  </si>
  <si>
    <t>INDIRECT visible asset counts</t>
  </si>
  <si>
    <t>X for reads; DELTA one canonical Asset Visibility/update audit for the Edit</t>
  </si>
  <si>
    <t>INDIRECT existing friendship graph; DELTA edited-Asset affinity/boost recompute only</t>
  </si>
  <si>
    <t>X for reads; DELTA one collapsed ASSET_CHANGED task for the Save</t>
  </si>
  <si>
    <t>Explore and owned/managed lists expose exactly the policy-eligible assets; category filtering and owner impressions use the shared paths; the edited matrix persists after reload; direct denied reads reveal no hidden detail</t>
  </si>
  <si>
    <t>Authenticated baseline/edited HTTP visibility and detail-denial matrices; versioned Mongo read-only and exact single-edit oracles; successful existing backend/frontend watcher builds</t>
  </si>
  <si>
    <t>Closed; continue with ASSET-MEMBER-LIFECYCLE-001</t>
  </si>
  <si>
    <t>User completed representative Casey/Lina/Liam UI coverage, confirmed the Sedan/Van/All Transport filter and confirmed Casey's real interactive owner avatar appeared instead of CB. Baseline HTTP sets were Lina Public+Friends and Liam Public; after Casey changed only the Public-title control to Invitation only, terminal sets were Lina Friends only and Liam empty, with every forbidden detail read denied. Mongo at 2026-09-03T03:20:18.902Z proved only the target Asset plus one done ASSET_CHANGED task changed, siblings stayed byte-identical, Transport counts stayed 3/3/3 and no request/member/assignment/outbox/notification write appeared. A missing default-pricing/_class/imageUrl fixture schema was repaired and versioned; the strict oracle was not weakened.</t>
  </si>
  <si>
    <t>ASSET-MEMBER-LIFECYCLE-001</t>
  </si>
  <si>
    <t>Asset invitation and join membership lifecycle</t>
  </si>
  <si>
    <t>On one generated-group resource create one manager Invite and participant Join request, accept both, have the owner promote the invitee, let that delegated Manager promote then revoke the requester, and have the owner remove the requester; separately reset and reject an Invite once</t>
  </si>
  <si>
    <t>INDIRECT asset/member activity</t>
  </si>
  <si>
    <t>DELTA two pending request states, two accepted transitions, two explicit Asset Manager grants, one delegated revocation and one owner removal; alternate reject creates no membership; exact scoped Service chat and notification records; parent/group membership stays unchanged</t>
  </si>
  <si>
    <t>Notification outbox MUST RUN once each for Invite, Join request, invitation accepted, invitation declined in its reset branch, Join accepted and member removed; manager promotion runs twice and delegated manager revocation once; scheduler X</t>
  </si>
  <si>
    <t>Distinct pending rows retain exact asset/event/stage/generated-group scope; live and reload pending-counter chains agree and drop only on resolution; manager role/icon/menu updates occur in place and persist; the owner can revoke/remove any non-owner Manager, while a delegated Manager can revoke only a Manager they granted and cannot remove a Manager; Asset Manager never changes Event Admin/Member role; recipient Notifications counters and exact occurrences cover resolved transitions; Service chat and sibling group stay unchanged</t>
  </si>
  <si>
    <t>Consolidated ASSET-MEMBER-001/002 user-driven UI coverage; real authenticated HTTP plus versioned Mongo replay of owner handover, member removal and final-owner Leave; successful existing backend/frontend watcher builds; focused server and frontend regression coverage authored</t>
  </si>
  <si>
    <t>Closed; continue with ASSET-ASSIGNMENT-LIFECYCLE-001</t>
  </si>
  <si>
    <t>User-approved flexible closure from the accumulated 2026-09-03 run instead of another ordered 46-step replay. The run covered distinct Invite/Join pending states, resolution and rejection, contextual pending counters, recipient Notifications, standard Service chat/Ask Organizer, ordinary-member restrictions, owner/delegated Manager grant and revoke rules, live/reload card role and menu changes, removal, Event-role isolation, and both Manager-first and no-manager Take Over branches. The final correction replay produced Casey Leave 3-&gt;2, Nova Take Over 2-&gt;2, Riley removal 2-&gt;1 and Nova final Leave 1-&gt;absent through the live UI. The terminal read-only Mongo oracle proved Riley's canonical Asset member row was deleted, activityResources was D with no Asset assignment, the generated-group runtime resource map was empty, and no notification was created after Nova's final Leave. The corrections use canonical write-side status and existing signal propagation, with no read projection or frontend-only hide; the retained terminal fixture was not silently reset after the user's verdict.</t>
  </si>
  <si>
    <t>ASSET-BORROW-LIFECYCLE-001</t>
  </si>
  <si>
    <t>Borrow, timeframe, capacity and Statistics lifecycle</t>
  </si>
  <si>
    <t>Request one asset for the exact event/stage/group range, accept it, reject a control, create overlapping finite-capacity requests, move one outside overlap and verify the exact Asset Statistics delta</t>
  </si>
  <si>
    <t>INDIRECT pending/accepted asset request counts; INDIRECT available quantity/order; Asset activity and asset-request delta</t>
  </si>
  <si>
    <t>DELTA one request/payment-session reference per branch and exact availability quantity; DELTA booking quantities and availability projection only; Assets queue/flow delta</t>
  </si>
  <si>
    <t>CONDITIONAL provider/outbox work only when the staged asset policy requires it; X unless the configured booking policy explicitly produces provider work; Affinity recompute may run</t>
  </si>
  <si>
    <t>Requester and owner see the same request state; accepted borrower becomes assignment-eligible only for the exact generated-group booking scope; reject/cancel clean up once and the sibling group stays unchanged; Explore availability and assignment eligibility never exceed quantity/capacity; moving one timeframe restores exactly its released capacity in place and after reload; Asset request state correct</t>
  </si>
  <si>
    <t>PREPARED / DEFERRED / NOT STAGED</t>
  </si>
  <si>
    <t>Consolidates ASSET-BORROW-001, ASSET-AVAIL-001, STAT-013. Its isolated fixture, guide and browser-session definition were prepared and the baseline was staged/read-only verified, then reset through the versioned snapshot without starting browser QA because the payment-facing interface will be rewritten</t>
  </si>
  <si>
    <t>Deferred until the payment interface rewrite is complete; then restage through the isolated Borrow harness and prove its read-only baseline before opening browsers</t>
  </si>
  <si>
    <t>Source status: ASSET-BORROW-001=DESIGN CAPTURED / NOT RUN; ASSET-AVAIL-001=DESIGN CAPTURED / NOT RUN; STAT-013=NOT RUN. No Borrow browser action or manual verdict exists. Borrow permission is not Asset Manager membership and never promotes an Event or Tournament-group role. Use seconds/minutes fixture spacing; no real-time waiting is required.</t>
  </si>
  <si>
    <t>P2 58</t>
  </si>
  <si>
    <t>105/250</t>
  </si>
  <si>
    <t>ASSET-CHECKOUT-001</t>
  </si>
  <si>
    <t>Resource/Asset Explore Barion and 3DS checkout</t>
  </si>
  <si>
    <t>From scoped Asset Explore traverse review, resumable checkout, one Barion payment, pending owner request and terminal acceptance while comparing free, unavailable, Cancel, decline and timeout action states</t>
  </si>
  <si>
    <t>INDIRECT one paid Asset request/accepted-resource delta; draft/payment-summary reads X</t>
  </si>
  <si>
    <t>DELTA zero server checkout writes before Pay; then one final Barion session/payment, exact borrow request, reservation and scoped resource projection; owner acceptance changes request state once; reads X</t>
  </si>
  <si>
    <t>X; no Event or Tournament affinity role is created</t>
  </si>
  <si>
    <t>CONDITIONAL normal Asset request/outbox work; simulator callback work follows the selected Barion/3DS branch</t>
  </si>
  <si>
    <t>Fresh paid: Borrow -&gt; Confirm borrow; saved draft: Borrow Basket/Continue request; payment-ready: Barion card/Pay plus neutral Back and red Cancel; paid pending: Payment summary and one owner Pending row; accepted: same read-only summary and exact scoped resource; free uses Send borrow request and unavailable exposes no enabled Borrow; no freeze or duplicate payment/request/reservation</t>
  </si>
  <si>
    <t>IN PROGRESS — STEPS 1-56 ACCEPTED</t>
  </si>
  <si>
    <t>2026-09-07</t>
  </si>
  <si>
    <t>Asset Explore checkout/session, pricing, request, availability and scoped-resource sources have automated coverage in parts; the complete HTTP browser Barion payment/action/destination journey has not run</t>
  </si>
  <si>
    <t>Continue at step 57 from the rollback-tested accepted boundary; verify reload reconstruction, free/unavailable/Cancel/decline/timeout controls, paid Take Over/refund, last-manager Leave and the terminal oracle</t>
  </si>
  <si>
    <t>Steps 1-56 accepted on 2026-09-07. The exact authorized Barion payment, accepted scoped request/resource, Nova Manager scope, selected-window availability 2, physical quantity 3 and Casey pending counter 0 were captured. A disclosed Free-Asset and service-chat UI probe was removed by the guarded step-56 repair before capture; Free/sibling controls again match the staged fingerprint. rollback-accepted was executed successfully. The remaining flow starts at step 57; payment and owner approval are not replayed.</t>
  </si>
  <si>
    <t>150/355</t>
  </si>
  <si>
    <t>ASSET-ASSIGNMENT-LIFECYCLE-001</t>
  </si>
  <si>
    <t>Normal sub-event and tournament-group assignment</t>
  </si>
  <si>
    <t>Assign Transport, Accommodation and multi-user Supplies to one normal sub-event, then edit/unassign/remove one Group A resource while Group B stays unchanged</t>
  </si>
  <si>
    <t>INDIRECT asset/event activity; INDIRECT per-type resource counts; INDIRECT exact resource/activity aggregate deltas</t>
  </si>
  <si>
    <t>DELTA assignment and availability projection; DELTA one owner-scoped resource state per contributor and exact aggregate type metrics; DELTA write-side owner/type assignment refresh and exact Group A, stage groupsPending and root Event activity reversal; Group B stays an unchanged domain control</t>
  </si>
  <si>
    <t>CONDITIONAL availability/outbox; scheduler X unless explicitly documented; X unless a documented resource notification is emitted; X unless the documented cleanup produces explicit work</t>
  </si>
  <si>
    <t>Event, sub-event, asset owner, asset ID, route and capacity agree; Transport route/capacity, Accommodation capacity and Supplies quantities agree in Event Resources, sub-event badges and parent navigation in place and after reload; Every affected Group A resource badge and stage/root aggregate converges without read-time reconstruction; unrelated Group A owners/types and all Group B rows/counters remain unchanged after reopen and reload</t>
  </si>
  <si>
    <t>2026-09-04</t>
  </si>
  <si>
    <t>Accumulated three-actor UI journey through the terminal manager removal; exact normal, capacity-edit, unassign, reassign and step-29 rollback savepoints; real authenticated Event-member removal HTTP replay; terminal Mongo oracle passed all thirteen checks; successful running backend/frontend watcher builds</t>
  </si>
  <si>
    <t>Continue with CONTENT-ADMIN-LIFECYCLE-001; stage it only after this closed fixture is reset and its read-only baseline is proven</t>
  </si>
  <si>
    <t>Steps 1-9 were accepted from the accumulated user-driven run and persisted normal savepoint. The bounded Tournament tail used guarded rollback points, preserving earlier evidence. Final removal status-deleted the affected resource and active requests as audit history, preserved Nova's resource generation at 1/0/0-5, reversed pending to zero, retained the normal Event and Group B domain state, and emitted the exact scoped notification once. Generated-room parent/stage/group identity now survives Event counter saves, and hierarchical assignment cleanup updates only affected resource scopes. The terminal phase is complete.</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</si>
  <si>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</si>
  <si>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</si>
  <si>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</si>
  <si>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</si>
  <si>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</si>
  <si>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</si>
  <si>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</si>
  <si>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</si>
  <si>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</si>
  <si>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</si>
  <si>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</si>
  <si>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</si>
  <si>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</si>
  <si>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</si>
  <si>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CONTENT-ADMIN-LIFECYCLE-001</t>
  </si>
  <si>
    <t>Admin content lifecycle</t>
  </si>
  <si>
    <t>Create/reopen four scoped inactive revisions, activate Privacy with per-user consent, delete inactive and active controls with fallback, then trash/restore/republish one disposable Article</t>
  </si>
  <si>
    <t>X; INDIRECT public/admin bucket count</t>
  </si>
  <si>
    <t>DELTA four draft revisions/version/base/author and exact audits; DELTA one active Privacy revision and one actor consent; DELTA inactive deletion and active-delete fallback audit; DELTA Article lifecycle state/buckets and telemetry</t>
  </si>
  <si>
    <t>Drafts persist once while active public content remains unchanged; fresh clients show exact activated Privacy and only stale users require approval; historical consent remains immutable; inactive deletion preserves its active control; deleting isolated active Privacy selects newest remaining same-scope fallback without empty public content; Article Published/Trashed/Draft action sets and buckets reconcile once; Restore stays non-public until separate Publish; identity/media remain stable</t>
  </si>
  <si>
    <t>Accumulated Ava/Kai/Riley UI journey; guarded revision and Article savepoints; terminal Mongo identity/content/audit/consent/control oracle; two managed-image HTTP size/SHA-256 oracles; running backend/frontend watcher builds; focused frontend 3/3 and backend status-only save regression PASS</t>
  </si>
  <si>
    <t>Closed; repeat only after governed-content, consent, Article lifecycle, SmartList reconciliation or status-only save behavior changes</t>
  </si>
  <si>
    <t>The user completed the governed revision, consent, fallback and Article lifecycle UI journey. Restore confirmation and persisted Draft behavior worked across five moved Article cards. The guarded step-59 rollback preserved steps 1-58 and restored only the recorded exploratory Article changes. One final Publish returned exact buckets to 7/5/7/0/0. The terminal oracle retained exactly seven governed-content audits, Kai v3 consent, Riley's absent v3 consent, every negative control, Article identity and managed media; contentKey and contentHtml remained byte-identical. Both managed images returned HTTP 200 with their original size and SHA-256.</t>
  </si>
  <si>
    <t>P1 92</t>
  </si>
  <si>
    <t>MOBILE-PUSH-LIFECYCLE-001</t>
  </si>
  <si>
    <t>Physical-device notification lifecycle</t>
  </si>
  <si>
    <t>With an Operator-tested active Firebase revision, use one disposable device to test foreground, background and closed delivery plus one ordinary Chat message; tap cold-start routing; then deny/grant permission and rotate/revoke/re-register the token</t>
  </si>
  <si>
    <t>INDIRECT unread count; INDIRECT unread count becomes read after open; X</t>
  </si>
  <si>
    <t>DELTA inbox/outbox/token delivery; DELTA real FCM delivery while app is closed; DELTA intentional read transition and route consumption; DELTA token lifecycle and delivery result</t>
  </si>
  <si>
    <t>DELTA one notification delivery task; X; DELTA only for eligible current token</t>
  </si>
  <si>
    <t>Foreground shows one in-app item/counter and no duplicate system notification; One system notification appears; persisted unread stays one and no desktop control receives it; Exact authenticated route opens once; read occurs only after tap/open and does not replay; Denial is non-blocking; stale token is retired and later delivery reaches only new token</t>
  </si>
  <si>
    <t>DESIGN CAPTURED / NOT RUN</t>
  </si>
  <si>
    <t>Consolidates MOBILE-PUSH-001, MOBILE-PUSH-002, MOBILE-PUSH-003, MOBILE-PUSH-004 and CHAT-PUSH-001. Foreground notification code exists; ADB/manual observation not run; Requires real Firebase/FCM and physical device; not run; Deep-link and notification code exist; cold-start real-device flow not run; Token lifecycle implementation partial; real permission/rotation sequence not run</t>
  </si>
  <si>
    <t>Compare permission UX, token/device records, foreground/system presentation, ordinary Chat producer controls, exact routing/context, dedupe, revoke/retry and persisted counters</t>
  </si>
  <si>
    <t>Source status: MOBILE-PUSH-001=DESIGN CAPTURED / REAL DEVICE NOT RUN; MOBILE-PUSH-002=DESIGN CAPTURED / REAL DEVICE NOT RUN; MOBILE-PUSH-003=DESIGN CAPTURED / REAL DEVICE NOT RUN; MOBILE-PUSH-004=DESIGN CAPTURED / REAL DEVICE NOT RUN. One desktop actor produces while phone replaces another observation phase; This specifically proves app-not-open delivery; Do not pre-mark new notification as read; Raw token never becomes QA evidence; An Operator-tested active Firebase revision is an environment prerequisite, not a Deployment testcase</t>
  </si>
  <si>
    <t>100/235</t>
  </si>
  <si>
    <t>BELL-RATING-LIFECYCLE-001</t>
  </si>
  <si>
    <t>Rating, bell, Statistics and affinity lifecycle</t>
  </si>
  <si>
    <t>Read the initial bell, save one controlled rating/feedback once, verify target notification and exact Statistics delta, let the real affinity worker finish and compare the changed/control graph pair</t>
  </si>
  <si>
    <t>Rating/moderation deltas expected in future cross-surface run; Ratings timeline +1; Matching rates.synced rises by row count; INDIRECT two rating deltas after Statistics refresh; DELTA network graph summary after refresh</t>
  </si>
  <si>
    <t>Notification/read and relevant domain flows; Matching rate/recompute flow rises; DELTA rating sync and recompute flow; DELTA scheduler/audit and recompute queue</t>
  </si>
  <si>
    <t>INDIRECT after rating recompute; Edge/score may change after recompute; DELTA mutualSingleCount and pair weight; same pair visible at depth 1; DELTA when edge inputs changed</t>
  </si>
  <si>
    <t>Affinity recompute/outbox conditional; Affinity recompute may run; Affinity recompute may run for both users; direct edge recompute also occurs during each sync; DELTA</t>
  </si>
  <si>
    <t>Read path, rating and feedback persist once; Slider selection only stages; Save queues once; the Met card remains and shows the score; frontend pushes at most 50 queued ratings on its 30-second cycle; Both directional rating rows, reciprocal score, notifications and pair identity agree; DELTA terminal tasks and updated affinity/discovery</t>
  </si>
  <si>
    <t>PASS / PARTIAL — CONSOLIDATED</t>
  </si>
  <si>
    <t>Consolidates BELL-RATING, STAT-010, GRAPH-RATING-001, JOB-AFFINITY. API/service tests; Rating and graph-science tests; frontend stage/save/batch timing unit contract not yet isolated; Rating/affinity service tests and graph endpoint tests exist; assembled two-browser to graph projection is manual; Fixture/worker/graph/common lifecycle tests</t>
  </si>
  <si>
    <t>Compare rating/feedback, sender/target bells/read state, exact KPI, worker lifecycle, edge/neighborhood, no self-notification, dedupe and unchanged controls</t>
  </si>
  <si>
    <t>PASS / PARTIAL</t>
  </si>
  <si>
    <t>Source status: BELL-RATING=MANUAL FUNCTIONAL PASS; RATING BELL UI PASS; FEEDBACK/READ UI PARTIAL; STAT-010=MANUAL STATISTICS + BELL UI + FUNCTIONAL PASS; MONITORING/GRAPH PENDING; GRAPH-RATING-001=NOT RUN; JOB-AFFINITY=MANUAL FUNCTIONAL PASS. 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 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 Do not require a brand-new edge: seeded Met evidence may already create one. Active config currently weights mutual rating 10, mutual edge evidence 1, one-sided edge evidence 0 and Met evidence 0.5. Old materialized layout is a separate projection checkpoint.; Primary domain oracle passed; graph UI not manually qualified</t>
  </si>
  <si>
    <t>55/130</t>
  </si>
  <si>
    <t>JOB-MESSAGES</t>
  </si>
  <si>
    <t>scheduled-messages</t>
  </si>
  <si>
    <t>Real scheduler dispatches due messages</t>
  </si>
  <si>
    <t>DELTA scheduler/audit; INDIRECT Notifications/outbox</t>
  </si>
  <si>
    <t>DELTA task audit plus notification/email result</t>
  </si>
  <si>
    <t>MANUAL FUNCTIONAL PASS</t>
  </si>
  <si>
    <t>2026-07-29</t>
  </si>
  <si>
    <t>Fixture/service/common lifecycle tests</t>
  </si>
  <si>
    <t>Capture recipient UI and Monitoring</t>
  </si>
  <si>
    <t>Primary domain oracle passed</t>
  </si>
  <si>
    <t>20/65</t>
  </si>
  <si>
    <t>NOTIFICATION-ADMIN-LIFECYCLE-001</t>
  </si>
  <si>
    <t>Admin rule, outbox and delivery lifecycle</t>
  </si>
  <si>
    <t>Save/reopen/validate one safe rule, run it for one target, let the real outbox worker process it, compare task/outbox/inbox/bell and prove unchanged second-run dedupe before restore</t>
  </si>
  <si>
    <t>X; INDIRECT unread count</t>
  </si>
  <si>
    <t>DELTA runtime config revision/history; DELTA task, outbox and inbox identities; DELTA scheduler/audit plus pending/running/sent/failed; Pending/running/sent or failed and health correct</t>
  </si>
  <si>
    <t>X; DELTA one named task/delivery; DELTA; Notification-outbox runState changes</t>
  </si>
  <si>
    <t>Invalid save is atomic and unrelated rule/outbox rows stay unchanged; Exactly one attributed delivery occurs and unchanged second run respects dedupe; DELTA terminal delivery/no-op/token cleanup as configured; Bell/Firebase/no-op and outbox row agree</t>
  </si>
  <si>
    <t>Consolidates ADMIN-NOTIFICATION-RULE-001, ADMIN-NOTIFICATION-RUN-001, JOB-OUTBOX, MON-012. Notification rule tests exist; complete UI save/reopen/restore flow not run; Notification task/outbox coverage exists; end-to-end manual run not performed; Fixture/worker/common lifecycle tests; Outbox tests</t>
  </si>
  <si>
    <t>Compare rule history/runtime, invalid atomicity, task/outbox/inbox attribution, Job Detail/health, local Firebase-inactive pending semantics, counters/read state, dedupe and restore</t>
  </si>
  <si>
    <t>Source status: ADMIN-NOTIFICATION-RULE-001=DESIGN CAPTURED / NOT RUN; ADMIN-NOTIFICATION-RUN-001=DESIGN CAPTURED / NOT RUN; JOB-OUTBOX=MANUAL FUNCTIONAL PASS; MON-012=MANUAL CAUSAL PARTIAL. No delivery is implied by saving a rule; Admin self-notification remains an unchanged control unless policy says otherwise; Firebase-off oracle passed; 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t>
  </si>
  <si>
    <t>80/190</t>
  </si>
  <si>
    <t>MOBILE-WEBVIEW-LIFECYCLE-001</t>
  </si>
  <si>
    <t>Android WebView, ADB and authenticated-cache lifecycle</t>
  </si>
  <si>
    <t>Use ADB to verify transport/tunnel, cold-start with old cache, resume after server mutation, switch/logout with authenticated caches and perform offline/online recovery</t>
  </si>
  <si>
    <t>X; INDIRECT current counters</t>
  </si>
  <si>
    <t>DELTA coherent service-worker/WebView cache generation; DELTA resume reconciliation revision; DELTA user-scope cache purge and new identity hydration; DELTA explicit transport/cache/offline diagnostic state</t>
  </si>
  <si>
    <t>X; CONDITIONAL normal poll/task ownership only</t>
  </si>
  <si>
    <t>One coherent build loads and old HTML never references missing new chunks or mixed revisions; User, counters and open surface reconcile once; stale WebView state cannot overwrite server truth; Tickets, QR, counters and notifications disappear before next identity renders; public assets may remain; Offline exposes only supported ticket contract and reconnect converges without clearing app data</t>
  </si>
  <si>
    <t>Consolidates MOBILE-WEBVIEW-001, MOBILE-WEBVIEW-002, MOBILE-WEBVIEW-003, MOBILE-ADB-001. Frontend cache/PWA coverage exists in parts; Android cold-start upgrade not run; Resume/cache code exists; real device concurrent mutation not run; Offline ticket/cache foundation exists; real account-switch isolation not run; ADB/offline support exists; full diagnostic checkpoint not run</t>
  </si>
  <si>
    <t>Compare coherent build promotion, resume reconciliation, user-cache isolation, diagnostics, offline contract and reconnect without clearing app data</t>
  </si>
  <si>
    <t>Source status: MOBILE-WEBVIEW-001=DESIGN CAPTURED / REAL DEVICE NOT RUN; MOBILE-WEBVIEW-002=DESIGN CAPTURED / REAL DEVICE NOT RUN; MOBILE-WEBVIEW-003=DESIGN CAPTURED / REAL DEVICE NOT RUN; MOBILE-ADB-001=DESIGN CAPTURED / REAL DEVICE NOT RUN. Do not clear app data before observing the real upgrade path; Do not mix this with periodic poll attribution; No authenticated image or offline ticket may cross users; Phone replaces one desktop phase when three accounts are already open</t>
  </si>
  <si>
    <t>110/260</t>
  </si>
  <si>
    <t>UI-POLL-JANK-001</t>
  </si>
  <si>
    <t>Performance defect retest</t>
  </si>
  <si>
    <t>Admin Jobs + Chat</t>
  </si>
  <si>
    <t>Compare pointer, scroll and input frame pacing across idle UI, Admin process list, Job Detail and Chat during periodic/live updates</t>
  </si>
  <si>
    <t>Job Detail must stay responsive during SmartList refresh; unchanged polls must not mutate rows; only the selected changed rule may reach the detail signal</t>
  </si>
  <si>
    <t>Chat must stay responsive during WebSocket and user-realtime updates</t>
  </si>
  <si>
    <t>ADMIN JOB MANUAL VISUAL PASS; PERFORMANCE TRACE + CHAT RETEST PENDING</t>
  </si>
  <si>
    <t>Focused component tests pass 6/6 for SmartList loading, keyed equality, row patching, detail isolation and local patch routing; running hot-deploy build manually showed no prior Job Detail stutter; browser frame-time trace not captured</t>
  </si>
  <si>
    <t>Capture 20–30 second Performance + Network traces for idle/list/detail/chat; prove unchanged Job polls preserve DOM rows and non-selected updates do not re-render detail; correlate Chat hitches independently</t>
  </si>
  <si>
    <t>OPEN / PARTIAL PASS</t>
  </si>
  <si>
    <t>Admin Jobs now uses SmartList-owned five-second polling, cancellation, keyed equality, visible-row patching and re-sorting with OnPush. Job Detail receives only its selected changed rule through a separate signal; the complete list is not pushed into detail. The full center remains the table data source. The 2026-08-04 hot-deployed build no longer showed the reported stutter during manual use, but no Performance trace was captured. Chat remains a separate reported symptom using OnPush, WebSocket live events and a 30-second global user realtime poll, shortened to 10 seconds in demo; its root cause remains unconfirmed. Both checkpoints must pass before closure.</t>
  </si>
  <si>
    <t>P1 65</t>
  </si>
  <si>
    <t>45/115</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</si>
  <si>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</si>
  <si>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</si>
  <si>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</si>
  <si>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</si>
  <si>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</si>
  <si>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</si>
  <si>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</si>
  <si>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</si>
  <si>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ADMIN-MONITORING-001</t>
  </si>
  <si>
    <t>Monitoring dashboard, queues and jobs</t>
  </si>
  <si>
    <t>Open All/Watch/Domains/Delivery/Workers once and reuse one recompute plus one parameter save/revert to observe exact pending-to-terminal states, filters, totals, health and job details</t>
  </si>
  <si>
    <t>X; Graph summary later; Per job matrix</t>
  </si>
  <si>
    <t>Categories and filter counts match contract; Pending/running/failed and health transition correct; DELTA: scheduler start and terminal audit change once per real run; DELTA Jobs config once per persisted version; recompute/outbox should transition</t>
  </si>
  <si>
    <t>X; Changed edge visible after terminal; Per job matrix; Section-dependent</t>
  </si>
  <si>
    <t>X; Affinity recompute runState/history changes; Every runState/history must change; Affinity recompute pending/run changes</t>
  </si>
  <si>
    <t>X; Task terminal; Every domain oracle must pass independently; New config version and admin notification</t>
  </si>
  <si>
    <t>Consolidates BASE-MON, MON-011, MON-013, MON-014. Security/DTO support only; Worker/service tests; Lifecycle registry/projection tests; 4 real zero-work scheduler runs observed 2026-08-04; Params exact-once service tests; Params HTTP E2E</t>
  </si>
  <si>
    <t>Compare persisted queue/task/audit state, fast transitions, named job details, parameter exact-once telemetry and unchanged controls</t>
  </si>
  <si>
    <t>Source status: BASE-MON=NOT RUN; MON-011=NOT RUN; MON-013=NOT RUN as cross-surface pack; MON-014=NOT RUN. Queue counts are live; event totals accumulate; Universal job-run telemetry is wired; manual all-job cross-surface pack remains; admin.params.changed now emits on successful save/revert and not on no-op revert</t>
  </si>
  <si>
    <t>75/180</t>
  </si>
  <si>
    <t>ADMIN-AFFINITY-GRAPH-001</t>
  </si>
  <si>
    <t>Affinity Graph exploration and materialization</t>
  </si>
  <si>
    <t>Open the known graph; traverse forest/component/member depths; change weights; exercise viewport controls and scale; then let the real layout worker materialize and reopen the graph</t>
  </si>
  <si>
    <t>Graph summary only; compare later; Graph metrics/timeline change in predicted direction; prior dates stay immutable; X; Graph summary is not live-filtered: X; Graph summary direction agrees after refresh</t>
  </si>
  <si>
    <t>X; Matching queue returns terminal; Matching queue transition; DELTA scheduler/audit</t>
  </si>
  <si>
    <t>Member/link/component/isolated totals match; Edges/neighborhood/components agree; Component expands with bounded lazy load; Panel and strongest connections match; depths are bounded supersets; Only in-range edges; isolated members retained; Controls/progress work; reset returns overview; Expected edge/weight/component changes; unrelated edge stable; Forest paging/tiles/neighborhood bounded; isolated users visible; DELTA new layoutVersion and matching node/edge/forest totals</t>
  </si>
  <si>
    <t>X; Affinity recompute terminal; DELTA</t>
  </si>
  <si>
    <t>X; Discovery/affinity projection correct; Profile detail visible; No clipping at popup boundary; Affinity/discovery projection correct; No request loop or blank canvas</t>
  </si>
  <si>
    <t>Consolidates BASE-GRAPH, STAT-020, GRAPH-002, GRAPH-003, GRAPH-004, GRAPH-005, GRAPH-006, GRAPH-007, JOB-GRAPH-LAYOUT. Controller/service contracts; Historical immutability regression unit source added; dev classes hot-deploy compiled; runtime snapshot contract passed; standalone unit run intentionally not started; Controller/service forest tests; Neighborhood service tests; Weight-range service tests; Frontend behavior only; Graph and params tests; Tile/forest service tests; Focused worker and graph materialization tests; real dev scheduler smoke</t>
  </si>
  <si>
    <t>Compare totals, neighborhoods, filters, viewport behavior, historical/current summary, scheduler lifecycle and stored/header/reopened layout counts</t>
  </si>
  <si>
    <t>Source status: BASE-GRAPH=NOT RUN; STAT-020=DEFECT FIXED; HOT-DEPLOY RUNTIME + MANUAL STATISTICS UI PASS; AFFINITY GRAPH COMPARISON PENDING; GRAPH-002=NOT RUN; GRAPH-003=NOT RUN; GRAPH-004=NOT RUN; GRAPH-005=NOT RUN; GRAPH-006=NOT RUN; GRAPH-007=NOT RUN; JOB-GRAPH-LAYOUT=NOT RUN. Dedicated graph is not random-room generation; 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 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t>
  </si>
  <si>
    <t>P2 52</t>
  </si>
  <si>
    <t>60/145</t>
  </si>
  <si>
    <t>ADMIN-PARAMETERS-001</t>
  </si>
  <si>
    <t>All Parameters lifecycle and downstream controls</t>
  </si>
  <si>
    <t>In one session save/reopen/history/revert one safe value per section, reject each input type once, verify owned downstream effects and controls, then restore the full baseline</t>
  </si>
  <si>
    <t>X; Graph summary changes after recompute; Graph summary may change after recompute; X unless screen documents a statistic</t>
  </si>
  <si>
    <t>Config delta plus recompute/outbox transitions; Config delta and Matching queue; Config delta and Matching queue from generic save; Config delta plus outbox strategy/count transition; Config delta plus affected worker behavior; X; X unless action emits documented telemetry</t>
  </si>
  <si>
    <t>Section-dependent; User edge/score changes predicted direction; User affinity/order changes predictably; X; Distance-derived user edge changes predictably</t>
  </si>
  <si>
    <t>Affinity recompute pending/run changes; Affinity recompute terminal; Affinity recompute is enqueued generically; Affected worker cadence/batch behavior; No new run on cancel/failed save; X unless job/config input</t>
  </si>
  <si>
    <t>Exact value, new version, actor/date/summary, notification, non-destructive revert; Affinity output changes only for fixture signal; Profile/affinity ordering correct; Event recommendation/rank changes predicted direction; Asset recommendation/rank changes predicted direction; Discovery boundary/ranking correct; Direct vs multicast delivery changes and restores; Persist/reopen/revert; no hidden hook; No version/task/notification on cancel or rejected save; Exact persistence and validation only</t>
  </si>
  <si>
    <t>Consolidates PARAM-001, PARAM-010, PARAM-011, PARAM-012, PARAM-013, PARAM-014, PARAM-015, PARAM-016, PARAM-017, STATIC-SMOKE. AdminParamsService exact-once tests; notification HTTP E2E; Calculation/service tests; Absolute affinity tests; Absolute event affinity tests; Absolute asset affinity tests; Affinity calculation tests; BackendAdminParamsRealtimeE2ETest; exact-once telemetry tests; Service/config tests; Server bounds tests partial; Form/component tests vary</t>
  </si>
  <si>
    <t>Compare persistence/history/runtime consumers, invalid/cancel atomicity, scoped downstream effects/audits and exact restore</t>
  </si>
  <si>
    <t>Source status: PARAM-001=NOT RUN; PARAM-010=NOT RUN; PARAM-011=NOT RUN; PARAM-012=NOT RUN; PARAM-013=NOT RUN; PARAM-014=NOT RUN; PARAM-015=AUTO COVERAGE; MANUAL NOT RUN; PARAM-016=NOT RUN; PARAM-017=NOT RUN; STATIC-SMOKE=NOT RUN / not recorded. Graph explorer contains user edges, not event ranking; Graph explorer contains user edges, not asset ranking; HTTP E2E already proves save, consumer, history and revert; A static form pass is not downstream functional proof</t>
  </si>
  <si>
    <t>P3 38</t>
  </si>
  <si>
    <t>130/310</t>
  </si>
  <si>
    <t>OPERATOR-CONFIGURATION-LIFECYCLE-001</t>
  </si>
  <si>
    <t>Configuration workspace</t>
  </si>
  <si>
    <t>Open Configuration once; save, reopen and restore one controlled value in the public configuration, TLS, payment and Firebase blocks; after Firebase activation complete one fresh eligible sign-in</t>
  </si>
  <si>
    <t>DELTA one configuration revision per changed block; DELTA one Firebase subject/user/profile link</t>
  </si>
  <si>
    <t>CONDITIONAL only for the visible TLS or Firebase capability action</t>
  </si>
  <si>
    <t>Each save reports one honest result; reopening shows the normalized value; credentials remain masked; TLS, payment and Firebase happy-path checks succeed; public output matches after reload; Firebase login reuses one application identity; final restore returns every block to its baseline</t>
  </si>
  <si>
    <t>Configuration validation, secret masking, TLS worker, provider callback/security and Firebase regressions belong to automated coverage; downstream checkout and push are owned by Event/Asset and Notifications</t>
  </si>
  <si>
    <t>Compare the saved blocks, masked credentials, visible capability results, one fresh Firebase login and exact final baseline</t>
  </si>
  <si>
    <t>Consolidates OPERATOR-FIREBASE-LIFECYCLE-001, OPERATOR-PAYMENT-CONFIG-001, OPERATOR-PUBLIC-CONFIG-001 and OPERATOR-TLS-LIFECYCLE-001. Pair QA follows only the normal Operator UI path; invalid input, secret-leak, callback-security, renewal-failure and fault-injection branches are not manual checkpoints.</t>
  </si>
  <si>
    <t>OPERATOR-REGISTRY-LIFECYCLE-001</t>
  </si>
  <si>
    <t>Registration, claim, community and measurement</t>
  </si>
  <si>
    <t>Register one disposable local binding, complete one claim/link path, inspect leaderboard and community output, synchronize one measurement period, then deactivate and restore the binding</t>
  </si>
  <si>
    <t>DELTA one measurement report; X for read-only leaderboard</t>
  </si>
  <si>
    <t>DELTA signed deployment membership, claim/group receipt and measurement receipt; X for read-only views</t>
  </si>
  <si>
    <t>INDIRECT registry leaderboard only</t>
  </si>
  <si>
    <t>CONDITIONAL registry or measurement operation</t>
  </si>
  <si>
    <t>Registration and claim converge once; leaderboard/community show the same membership and honest provider availability; measurement totals appear once; deactivation makes member/admin fail closed while Operator recovery remains reachable; restoration creates no duplicate identity, group or report</t>
  </si>
  <si>
    <t>Registry protocol, token/security, retry/idempotency and measurement failure handling belong to automated coverage; the integrated Operator happy path has not run</t>
  </si>
  <si>
    <t>Compare binding, claim/group membership, leaderboard/community output, one measurement receipt, fail-closed clients and exact restored state</t>
  </si>
  <si>
    <t>Consolidates the previous OPERATOR-REGISTRY-LIFECYCLE-001, OPERATOR-COMMUNITY-LIFECYCLE-001 and OPERATOR-MEASUREMENT-LIFECYCLE-001 rows using one disposable registry fixture. Failure injection, token abuse, announcement fan-out and worker-retry branches are automated rather than separate Pair-QA checkpoints. Installed-host health and restart remain outside Pair QA.</t>
  </si>
  <si>
    <t>OPERATOR-UPDATE-LIFECYCLE-001</t>
  </si>
  <si>
    <t>Signed update</t>
  </si>
  <si>
    <t>Open Updates, apply one prepared valid compatible release, observe its progress and reopen the Operator screen after completion</t>
  </si>
  <si>
    <t>DELTA one verified release, update job and active version</t>
  </si>
  <si>
    <t>DELTA one durable update job</t>
  </si>
  <si>
    <t>The prepared release is accepted once; progress is honest; the screen reconnects after the controlled restart and shows the expected active version without duplicate work</t>
  </si>
  <si>
    <t>Signature, corruption, downgrade, rollback and interrupted-worker branches belong to packaging/update automation</t>
  </si>
  <si>
    <t>Compare displayed progress, durable job result, package version and one clean post-update Operator reload</t>
  </si>
  <si>
    <t>Consolidates the normal UI path from OPERATOR-UPDATE-001. Invalid/corrupt/downgrade controls and interruption fault injection are automated checks, not manual Pair-QA branches. Use only the prepared QA target, never the active development checkout.</t>
  </si>
  <si>
    <t>30/80</t>
  </si>
  <si>
    <t>OPERATOR-REVENUE-LIFECYCLE-001</t>
  </si>
  <si>
    <t>Revenue reporting</t>
  </si>
  <si>
    <t>Open Revenue for one controlled captured/released payment set, synchronize once, inspect totals and one settlement, then reopen the view</t>
  </si>
  <si>
    <t>DELTA exact provider, period and currency totals</t>
  </si>
  <si>
    <t>DELTA one revenue report revision and reconciliation result</t>
  </si>
  <si>
    <t>DELTA one revenue synchronization job</t>
  </si>
  <si>
    <t>Captured payments aggregate once; authorized, released and dummy controls stay excluded; one settlement matches its payment, booking, provider and currency; reopening shows the same persisted result</t>
  </si>
  <si>
    <t>Revenue aggregation, exclusion, retry/idempotency and failure handling belong to automated coverage; the controlled Operator happy path has not run</t>
  </si>
  <si>
    <t>Compare source captured payments, displayed totals, one settlement identity and unchanged excluded controls</t>
  </si>
  <si>
    <t>Consolidates the normal UI path from OPERATOR-REVENUE-001 and OPERATOR-REVENUE-003. Injected report failure and requeue behavior remain automated rather than a separate Pair-QA checkpoint.</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</si>
</sst>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39">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3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W11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12" hidden="false" customWidth="true"/>
    <col min="21" max="21" width="0.1" hidden="true" customWidth="true"/>
    <col min="22" max="22" width="0.1" hidden="true" customWidth="true"/>
    <col min="23" max="23" width="0.1" hidden="true" customWidth="true"/>
  </cols>
  <sheetData>
    <row r="1" customFormat="false" ht="20" hidden="false" customHeight="true" outlineLevel="0" collapsed="false">
      <c r="A1" s="219" t="s">
        <v>0</v>
      </c>
      <c r="B1" s="221" t="s">
        <v>1</v>
      </c>
      <c r="C1" s="146" t="s">
        <v>1</v>
      </c>
      <c r="D1" s="147" t="s">
        <v>2</v>
      </c>
      <c r="E1" s="476" t="str">
        <f>COUNTIF(U16:U118,"Done")&amp;" ("&amp;IF(COUNTA(A16:A118)=0,"0%",TEXT(COUNTIF(U16:U118,"Done")/COUNTA(A16:A118),"0%"))&amp;")"</f>
        <v>88 (85%)</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c r="T1" s="146" t="s">
        <v>1</v>
      </c>
    </row>
    <row r="2" customFormat="false" ht="15" hidden="false" customHeight="false" outlineLevel="0" collapsed="false">
      <c r="A2" s="182" t="s">
        <v>4</v>
      </c>
      <c r="B2" s="183" t="s">
        <v>5</v>
      </c>
      <c r="C2" s="146" t="s">
        <v>1</v>
      </c>
      <c r="D2" s="158" t="s">
        <v>6</v>
      </c>
      <c r="E2" s="486">
        <f>COUNTIF(U16:U118,"Pending")</f>
        <v>7</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c r="T2" s="146" t="s">
        <v>1</v>
      </c>
    </row>
    <row r="3" customFormat="false" ht="15" hidden="false" customHeight="false" outlineLevel="0" collapsed="false">
      <c r="A3" s="190" t="s">
        <v>8</v>
      </c>
      <c r="B3" s="191" t="s">
        <v>9</v>
      </c>
      <c r="C3" s="146" t="s">
        <v>1</v>
      </c>
      <c r="D3" s="174" t="s">
        <v>10</v>
      </c>
      <c r="E3" s="502">
        <f>COUNTIF(U16:U118,"Not started")</f>
        <v>8</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c r="T3" s="146" t="s">
        <v>1</v>
      </c>
    </row>
    <row r="4" customFormat="false" ht="15" hidden="false" customHeight="false" outlineLevel="0" collapsed="false">
      <c r="A4" s="198" t="s">
        <v>12</v>
      </c>
      <c r="B4" s="199" t="s">
        <v>13</v>
      </c>
      <c r="C4" s="146" t="s">
        <v>1</v>
      </c>
      <c r="D4" s="166" t="s">
        <v>14</v>
      </c>
      <c r="E4" s="494">
        <f>COUNTIF(U16:U118,"Failed")</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c r="T4" s="146" t="s">
        <v>1</v>
      </c>
    </row>
    <row r="5" customFormat="false" ht="15" hidden="false" customHeight="false" outlineLevel="0" collapsed="false">
      <c r="A5" s="208" t="s">
        <v>16</v>
      </c>
      <c r="B5" s="210" t="s">
        <v>17</v>
      </c>
      <c r="C5" s="146" t="s">
        <v>1</v>
      </c>
      <c r="D5" s="232" t="s">
        <v>18</v>
      </c>
      <c r="E5" s="513">
        <f>COUNTA(A16:A118)</f>
        <v>103</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c r="T5" s="146" t="s">
        <v>1</v>
      </c>
    </row>
    <row r="6" customFormat="false" ht="20" hidden="false" customHeight="true" outlineLevel="0" collapsed="false">
      <c r="A6" s="145" t="s">
        <v>20</v>
      </c>
      <c r="B6" s="145" t="s">
        <v>1</v>
      </c>
      <c r="C6" s="145" t="s">
        <v>1</v>
      </c>
      <c r="D6" s="145" t="s">
        <v>1</v>
      </c>
      <c r="E6" s="145" t="s">
        <v>1</v>
      </c>
      <c r="F6" s="145" t="s">
        <v>1</v>
      </c>
      <c r="G6" s="145" t="s">
        <v>1</v>
      </c>
      <c r="H6" s="145" t="s">
        <v>1</v>
      </c>
      <c r="I6" s="145" t="s">
        <v>1</v>
      </c>
      <c r="J6" s="145" t="s">
        <v>1</v>
      </c>
      <c r="K6" s="145" t="s">
        <v>1</v>
      </c>
      <c r="L6" s="145" t="s">
        <v>1</v>
      </c>
      <c r="M6" s="145" t="s">
        <v>1</v>
      </c>
      <c r="N6" s="145" t="s">
        <v>1</v>
      </c>
      <c r="O6" s="145" t="s">
        <v>1</v>
      </c>
      <c r="P6" s="145" t="s">
        <v>1</v>
      </c>
      <c r="Q6" s="145" t="s">
        <v>1</v>
      </c>
      <c r="R6" s="145" t="s">
        <v>1</v>
      </c>
      <c r="S6" s="145" t="s">
        <v>1</v>
      </c>
      <c r="T6" s="145" t="s">
        <v>1</v>
      </c>
    </row>
    <row r="7" customFormat="false" ht="15" hidden="false" customHeight="false" outlineLevel="0" collapsed="false">
      <c r="A7" s="211" t="s">
        <v>21</v>
      </c>
      <c r="B7" s="212" t="s">
        <v>1</v>
      </c>
      <c r="C7" s="212" t="s">
        <v>22</v>
      </c>
      <c r="D7" s="212" t="s">
        <v>23</v>
      </c>
      <c r="E7" s="213" t="s">
        <v>1</v>
      </c>
      <c r="F7" s="211" t="s">
        <v>21</v>
      </c>
      <c r="G7" s="212" t="s">
        <v>1</v>
      </c>
      <c r="H7" s="212" t="s">
        <v>22</v>
      </c>
      <c r="I7" s="212" t="s">
        <v>23</v>
      </c>
      <c r="J7" s="213" t="s">
        <v>1</v>
      </c>
      <c r="K7" s="136" t="s">
        <v>1</v>
      </c>
      <c r="L7" s="136" t="s">
        <v>1</v>
      </c>
      <c r="M7" s="136" t="s">
        <v>1</v>
      </c>
      <c r="N7" s="136" t="s">
        <v>1</v>
      </c>
      <c r="O7" s="136" t="s">
        <v>1</v>
      </c>
      <c r="P7" s="136" t="s">
        <v>1</v>
      </c>
      <c r="Q7" s="136" t="s">
        <v>1</v>
      </c>
      <c r="R7" s="136" t="s">
        <v>1</v>
      </c>
      <c r="S7" s="136" t="s">
        <v>1</v>
      </c>
      <c r="T7" s="136" t="s">
        <v>1</v>
      </c>
    </row>
    <row r="8" customFormat="false" ht="15" hidden="false" customHeight="false" outlineLevel="0" collapsed="false">
      <c r="A8" s="277" t="s">
        <v>24</v>
      </c>
      <c r="B8" s="252" t="s">
        <v>1</v>
      </c>
      <c r="C8" s="252" t="s">
        <v>25</v>
      </c>
      <c r="D8" s="135" t="str">
        <f>COUNTIFS($C$16:$C$118,A8,$U$16:$U$118,"Done")&amp;" passed / "&amp;COUNTIF($C$16:$C$118,A8)&amp;" total ("&amp;IF(COUNTIF($C$16:$C$118,A8)=0,"0%",TEXT(COUNTIFS($C$16:$C$118,A8,$U$16:$U$118,"Done")/COUNTIF($C$16:$C$118,A8),"0%"))&amp;") · "&amp;SUMIFS($V$16:$V$118,$C$16:$C$118,A8,$U$16:$U$118,"&lt;&gt;Done")&amp;"/"&amp;SUMIFS($W$16:$W$118,$C$16:$C$118,A8,$U$16:$U$118,"&lt;&gt;Done")</f>
        <v>2 passed / 2 total (100%) · 0/0</v>
      </c>
      <c r="E8" s="151" t="s">
        <v>1</v>
      </c>
      <c r="F8" s="333" t="s">
        <v>27</v>
      </c>
      <c r="G8" s="259" t="s">
        <v>1</v>
      </c>
      <c r="H8" s="259" t="s">
        <v>28</v>
      </c>
      <c r="I8" s="136" t="str">
        <f>COUNTIFS($C$16:$C$118,F8,$U$16:$U$118,"Done")&amp;" passed / "&amp;COUNTIF($C$16:$C$118,F8)&amp;" total ("&amp;IF(COUNTIF($C$16:$C$118,F8)=0,"0%",TEXT(COUNTIFS($C$16:$C$118,F8,$U$16:$U$118,"Done")/COUNTIF($C$16:$C$118,F8),"0%"))&amp;") · "&amp;SUMIFS($V$16:$V$118,$C$16:$C$118,F8,$U$16:$U$118,"&lt;&gt;Done")&amp;"/"&amp;SUMIFS($W$16:$W$118,$C$16:$C$118,F8,$U$16:$U$118,"&lt;&gt;Done")</f>
        <v>4 passed / 6 total (67%) · 255/605</v>
      </c>
      <c r="J8" s="159" t="s">
        <v>1</v>
      </c>
      <c r="K8" s="136" t="s">
        <v>1</v>
      </c>
      <c r="L8" s="136" t="s">
        <v>1</v>
      </c>
      <c r="M8" s="136" t="s">
        <v>1</v>
      </c>
      <c r="N8" s="136" t="s">
        <v>1</v>
      </c>
      <c r="O8" s="136" t="s">
        <v>1</v>
      </c>
      <c r="P8" s="136" t="s">
        <v>1</v>
      </c>
      <c r="Q8" s="136" t="s">
        <v>1</v>
      </c>
      <c r="R8" s="136" t="s">
        <v>1</v>
      </c>
      <c r="S8" s="136" t="s">
        <v>1</v>
      </c>
      <c r="T8" s="136" t="s">
        <v>1</v>
      </c>
    </row>
    <row r="9" customFormat="false" ht="15" hidden="false" customHeight="false" outlineLevel="0" collapsed="false">
      <c r="A9" s="285" t="s">
        <v>30</v>
      </c>
      <c r="B9" s="253" t="s">
        <v>1</v>
      </c>
      <c r="C9" s="253" t="s">
        <v>31</v>
      </c>
      <c r="D9" s="135" t="str">
        <f>COUNTIFS($C$16:$C$118,A9,$U$16:$U$118,"Done")&amp;" passed / "&amp;COUNTIF($C$16:$C$118,A9)&amp;" total ("&amp;IF(COUNTIF($C$16:$C$118,A9)=0,"0%",TEXT(COUNTIFS($C$16:$C$118,A9,$U$16:$U$118,"Done")/COUNTIF($C$16:$C$118,A9),"0%"))&amp;") · "&amp;SUMIFS($V$16:$V$118,$C$16:$C$118,A9,$U$16:$U$118,"&lt;&gt;Done")&amp;"/"&amp;SUMIFS($W$16:$W$118,$C$16:$C$118,A9,$U$16:$U$118,"&lt;&gt;Done")</f>
        <v>8 passed / 8 total (100%) · 0/0</v>
      </c>
      <c r="E9" s="151" t="s">
        <v>1</v>
      </c>
      <c r="F9" s="349" t="s">
        <v>33</v>
      </c>
      <c r="G9" s="261" t="s">
        <v>1</v>
      </c>
      <c r="H9" s="261" t="s">
        <v>11</v>
      </c>
      <c r="I9" s="135" t="str">
        <f>COUNTIFS($C$16:$C$118,F9,$U$16:$U$118,"Done")&amp;" passed / "&amp;COUNTIF($C$16:$C$118,F9)&amp;" total ("&amp;IF(COUNTIF($C$16:$C$118,F9)=0,"0%",TEXT(COUNTIFS($C$16:$C$118,F9,$U$16:$U$118,"Done")/COUNTIF($C$16:$C$118,F9),"0%"))&amp;") · "&amp;SUMIFS($V$16:$V$118,$C$16:$C$118,F9,$U$16:$U$118,"&lt;&gt;Done")&amp;"/"&amp;SUMIFS($W$16:$W$118,$C$16:$C$118,F9,$U$16:$U$118,"&lt;&gt;Done")</f>
        <v>3 passed / 3 total (100%) · 0/0</v>
      </c>
      <c r="J9" s="151" t="s">
        <v>1</v>
      </c>
      <c r="K9" s="136" t="s">
        <v>1</v>
      </c>
      <c r="L9" s="136" t="s">
        <v>1</v>
      </c>
      <c r="M9" s="136" t="s">
        <v>1</v>
      </c>
      <c r="N9" s="136" t="s">
        <v>1</v>
      </c>
      <c r="O9" s="136" t="s">
        <v>1</v>
      </c>
      <c r="P9" s="136" t="s">
        <v>1</v>
      </c>
      <c r="Q9" s="136" t="s">
        <v>1</v>
      </c>
      <c r="R9" s="136" t="s">
        <v>1</v>
      </c>
      <c r="S9" s="136" t="s">
        <v>1</v>
      </c>
      <c r="T9" s="136" t="s">
        <v>1</v>
      </c>
    </row>
    <row r="10" customFormat="false" ht="15" hidden="false" customHeight="false" outlineLevel="0" collapsed="false">
      <c r="A10" s="309" t="s">
        <v>35</v>
      </c>
      <c r="B10" s="256" t="s">
        <v>1</v>
      </c>
      <c r="C10" s="256" t="s">
        <v>36</v>
      </c>
      <c r="D10" s="135" t="str">
        <f>COUNTIFS($C$16:$C$118,A10,$U$16:$U$118,"Done")&amp;" passed / "&amp;COUNTIF($C$16:$C$118,A10)&amp;" total ("&amp;IF(COUNTIF($C$16:$C$118,A10)=0,"0%",TEXT(COUNTIFS($C$16:$C$118,A10,$U$16:$U$118,"Done")/COUNTIF($C$16:$C$118,A10),"0%"))&amp;") · "&amp;SUMIFS($V$16:$V$118,$C$16:$C$118,A10,$U$16:$U$118,"&lt;&gt;Done")&amp;"/"&amp;SUMIFS($W$16:$W$118,$C$16:$C$118,A10,$U$16:$U$118,"&lt;&gt;Done")</f>
        <v>49 passed / 49 total (100%) · 0/0</v>
      </c>
      <c r="E10" s="151" t="s">
        <v>1</v>
      </c>
      <c r="F10" s="301" t="s">
        <v>38</v>
      </c>
      <c r="G10" s="255" t="s">
        <v>1</v>
      </c>
      <c r="H10" s="255" t="s">
        <v>7</v>
      </c>
      <c r="I10" s="138" t="str">
        <f>COUNTIFS($C$16:$C$118,F10,$U$16:$U$118,"Done")&amp;" passed / "&amp;COUNTIF($C$16:$C$118,F10)&amp;" total ("&amp;IF(COUNTIF($C$16:$C$118,F10)=0,"0%",TEXT(COUNTIFS($C$16:$C$118,F10,$U$16:$U$118,"Done")/COUNTIF($C$16:$C$118,F10),"0%"))&amp;") · "&amp;SUMIFS($V$16:$V$118,$C$16:$C$118,F10,$U$16:$U$118,"&lt;&gt;Done")&amp;"/"&amp;SUMIFS($W$16:$W$118,$C$16:$C$118,F10,$U$16:$U$118,"&lt;&gt;Done")</f>
        <v>0 passed / 6 total (0%) · 410/995</v>
      </c>
      <c r="J10" s="175" t="s">
        <v>1</v>
      </c>
      <c r="K10" s="136" t="s">
        <v>1</v>
      </c>
      <c r="L10" s="136" t="s">
        <v>1</v>
      </c>
      <c r="M10" s="136" t="s">
        <v>1</v>
      </c>
      <c r="N10" s="136" t="s">
        <v>1</v>
      </c>
      <c r="O10" s="136" t="s">
        <v>1</v>
      </c>
      <c r="P10" s="136" t="s">
        <v>1</v>
      </c>
      <c r="Q10" s="136" t="s">
        <v>1</v>
      </c>
      <c r="R10" s="136" t="s">
        <v>1</v>
      </c>
      <c r="S10" s="136" t="s">
        <v>1</v>
      </c>
      <c r="T10" s="136" t="s">
        <v>1</v>
      </c>
    </row>
    <row r="11" customFormat="false" ht="15" hidden="false" customHeight="false" outlineLevel="0" collapsed="false">
      <c r="A11" s="317" t="s">
        <v>40</v>
      </c>
      <c r="B11" s="257" t="s">
        <v>1</v>
      </c>
      <c r="C11" s="257" t="s">
        <v>41</v>
      </c>
      <c r="D11" s="135" t="str">
        <f>COUNTIFS($C$16:$C$118,A11,$U$16:$U$118,"Done")&amp;" passed / "&amp;COUNTIF($C$16:$C$118,A11)&amp;" total ("&amp;IF(COUNTIF($C$16:$C$118,A11)=0,"0%",TEXT(COUNTIFS($C$16:$C$118,A11,$U$16:$U$118,"Done")/COUNTIF($C$16:$C$118,A11),"0%"))&amp;") · "&amp;SUMIFS($V$16:$V$118,$C$16:$C$118,A11,$U$16:$U$118,"&lt;&gt;Done")&amp;"/"&amp;SUMIFS($W$16:$W$118,$C$16:$C$118,A11,$U$16:$U$118,"&lt;&gt;Done")</f>
        <v>15 passed / 15 total (100%) · 0/0</v>
      </c>
      <c r="E11" s="151" t="s">
        <v>1</v>
      </c>
      <c r="F11" s="365" t="s">
        <v>43</v>
      </c>
      <c r="G11" s="263" t="s">
        <v>1</v>
      </c>
      <c r="H11" s="263" t="s">
        <v>44</v>
      </c>
      <c r="I11" s="451" t="str">
        <f>COUNTIFS($C$16:$C$118,F11,$U$16:$U$118,"Done")&amp;" passed / "&amp;COUNTIF($C$16:$C$118,F11)&amp;" total ("&amp;IF(COUNTIF($C$16:$C$118,F11)=0,"0%",TEXT(COUNTIFS($C$16:$C$118,F11,$U$16:$U$118,"Done")/COUNTIF($C$16:$C$118,F11),"0%"))&amp;") · "&amp;SUMIFS($V$16:$V$118,$C$16:$C$118,F11,$U$16:$U$118,"&lt;&gt;Done")&amp;"/"&amp;SUMIFS($W$16:$W$118,$C$16:$C$118,F11,$U$16:$U$118,"&lt;&gt;Done")</f>
        <v>1 passed / 4 total (25%) · 265/635</v>
      </c>
      <c r="J11" s="470" t="s">
        <v>1</v>
      </c>
      <c r="K11" s="136" t="s">
        <v>1</v>
      </c>
      <c r="L11" s="136" t="s">
        <v>1</v>
      </c>
      <c r="M11" s="136" t="s">
        <v>1</v>
      </c>
      <c r="N11" s="136" t="s">
        <v>1</v>
      </c>
      <c r="O11" s="136" t="s">
        <v>1</v>
      </c>
      <c r="P11" s="136" t="s">
        <v>1</v>
      </c>
      <c r="Q11" s="136" t="s">
        <v>1</v>
      </c>
      <c r="R11" s="136" t="s">
        <v>1</v>
      </c>
      <c r="S11" s="136" t="s">
        <v>1</v>
      </c>
      <c r="T11" s="136" t="s">
        <v>1</v>
      </c>
    </row>
    <row r="12" customFormat="false" ht="15" hidden="false" customHeight="false" outlineLevel="0" collapsed="false">
      <c r="A12" s="327" t="s">
        <v>46</v>
      </c>
      <c r="B12" s="328" t="s">
        <v>1</v>
      </c>
      <c r="C12" s="328" t="s">
        <v>47</v>
      </c>
      <c r="D12" s="153" t="str">
        <f>COUNTIFS($C$16:$C$118,A12,$U$16:$U$118,"Done")&amp;" passed / "&amp;COUNTIF($C$16:$C$118,A12)&amp;" total ("&amp;IF(COUNTIF($C$16:$C$118,A12)=0,"0%",TEXT(COUNTIFS($C$16:$C$118,A12,$U$16:$U$118,"Done")/COUNTIF($C$16:$C$118,A12),"0%"))&amp;") · "&amp;SUMIFS($V$16:$V$118,$C$16:$C$118,A12,$U$16:$U$118,"&lt;&gt;Done")&amp;"/"&amp;SUMIFS($W$16:$W$118,$C$16:$C$118,A12,$U$16:$U$118,"&lt;&gt;Done")</f>
        <v>6 passed / 6 total (100%) · 0/0</v>
      </c>
      <c r="E12" s="154" t="s">
        <v>1</v>
      </c>
      <c r="F12" s="249" t="s">
        <v>49</v>
      </c>
      <c r="G12" s="250" t="s">
        <v>1</v>
      </c>
      <c r="H12" s="250" t="s">
        <v>50</v>
      </c>
      <c r="I12" s="177" t="str">
        <f>COUNTIFS($C$16:$C$118,F12,$U$16:$U$118,"Done")&amp;" passed / "&amp;COUNTIF($C$16:$C$118,F12)&amp;" total ("&amp;IF(COUNTIF($C$16:$C$118,F12)=0,"0%",TEXT(COUNTIFS($C$16:$C$118,F12,$U$16:$U$118,"Done")/COUNTIF($C$16:$C$118,F12),"0%"))&amp;") · "&amp;SUMIFS($V$16:$V$118,$C$16:$C$118,F12,$U$16:$U$118,"&lt;&gt;Done")&amp;"/"&amp;SUMIFS($W$16:$W$118,$C$16:$C$118,F12,$U$16:$U$118,"&lt;&gt;Done")</f>
        <v>0 passed / 4 total (0%) · 195/485</v>
      </c>
      <c r="J12" s="178" t="s">
        <v>1</v>
      </c>
      <c r="K12" s="136" t="s">
        <v>1</v>
      </c>
      <c r="L12" s="136" t="s">
        <v>1</v>
      </c>
      <c r="M12" s="136" t="s">
        <v>1</v>
      </c>
      <c r="N12" s="136" t="s">
        <v>1</v>
      </c>
      <c r="O12" s="136" t="s">
        <v>1</v>
      </c>
      <c r="P12" s="136" t="s">
        <v>1</v>
      </c>
      <c r="Q12" s="136" t="s">
        <v>1</v>
      </c>
      <c r="R12" s="136" t="s">
        <v>1</v>
      </c>
      <c r="S12" s="136" t="s">
        <v>1</v>
      </c>
      <c r="T12" s="136" t="s">
        <v>1</v>
      </c>
    </row>
    <row r="13" customFormat="false" ht="20" hidden="false" customHeight="true" outlineLevel="0" collapsed="false">
      <c r="A13" s="145" t="s">
        <v>52</v>
      </c>
      <c r="B13" s="145" t="s">
        <v>1</v>
      </c>
      <c r="C13" s="145" t="s">
        <v>1</v>
      </c>
      <c r="D13" s="145" t="s">
        <v>1</v>
      </c>
      <c r="E13" s="145" t="s">
        <v>1</v>
      </c>
      <c r="F13" s="145" t="s">
        <v>1</v>
      </c>
      <c r="G13" s="145" t="s">
        <v>1</v>
      </c>
      <c r="H13" s="145" t="s">
        <v>1</v>
      </c>
      <c r="I13" s="145" t="s">
        <v>1</v>
      </c>
      <c r="J13" s="145" t="s">
        <v>1</v>
      </c>
      <c r="K13" s="145" t="s">
        <v>1</v>
      </c>
      <c r="L13" s="145" t="s">
        <v>1</v>
      </c>
      <c r="M13" s="145" t="s">
        <v>1</v>
      </c>
      <c r="N13" s="145" t="s">
        <v>1</v>
      </c>
      <c r="O13" s="145" t="s">
        <v>1</v>
      </c>
      <c r="P13" s="145" t="s">
        <v>1</v>
      </c>
      <c r="Q13" s="145" t="s">
        <v>1</v>
      </c>
      <c r="R13" s="145" t="s">
        <v>1</v>
      </c>
      <c r="S13" s="145" t="s">
        <v>1</v>
      </c>
      <c r="T13" s="145" t="s">
        <v>1</v>
      </c>
    </row>
    <row r="14" customFormat="false" ht="20" hidden="false" customHeight="true" outlineLevel="0" collapsed="false">
      <c r="A14" s="146" t="s">
        <v>1</v>
      </c>
      <c r="B14" s="146" t="s">
        <v>1</v>
      </c>
      <c r="C14" s="146" t="s">
        <v>1</v>
      </c>
      <c r="D14" s="146" t="s">
        <v>1</v>
      </c>
      <c r="E14" s="146" t="s">
        <v>1</v>
      </c>
      <c r="F14" s="146" t="s">
        <v>1</v>
      </c>
      <c r="G14" s="146" t="s">
        <v>1</v>
      </c>
      <c r="H14" s="146" t="s">
        <v>1</v>
      </c>
      <c r="I14" s="146" t="s">
        <v>1</v>
      </c>
      <c r="J14" s="146" t="s">
        <v>1</v>
      </c>
      <c r="K14" s="146" t="s">
        <v>1</v>
      </c>
      <c r="L14" s="143" t="s">
        <v>53</v>
      </c>
      <c r="M14" s="143" t="s">
        <v>1</v>
      </c>
      <c r="N14" s="146" t="s">
        <v>1</v>
      </c>
      <c r="O14" s="146" t="s">
        <v>1</v>
      </c>
      <c r="P14" s="146" t="s">
        <v>1</v>
      </c>
      <c r="Q14" s="146" t="s">
        <v>1</v>
      </c>
      <c r="R14" s="146" t="s">
        <v>1</v>
      </c>
      <c r="S14" s="146" t="s">
        <v>1</v>
      </c>
      <c r="T14" s="146" t="s">
        <v>1</v>
      </c>
    </row>
    <row r="15" customFormat="false" ht="15" hidden="false" customHeight="false" outlineLevel="0" collapsed="false">
      <c r="A15" s="143" t="s">
        <v>54</v>
      </c>
      <c r="B15" s="143" t="s">
        <v>55</v>
      </c>
      <c r="C15" s="143" t="s">
        <v>21</v>
      </c>
      <c r="D15" s="143" t="s">
        <v>56</v>
      </c>
      <c r="E15" s="143" t="s">
        <v>57</v>
      </c>
      <c r="F15" s="143" t="s">
        <v>58</v>
      </c>
      <c r="G15" s="143" t="s">
        <v>59</v>
      </c>
      <c r="H15" s="143" t="s">
        <v>60</v>
      </c>
      <c r="I15" s="143" t="s">
        <v>61</v>
      </c>
      <c r="J15" s="143" t="s">
        <v>62</v>
      </c>
      <c r="K15" s="143" t="s">
        <v>63</v>
      </c>
      <c r="L15" s="143" t="s">
        <v>64</v>
      </c>
      <c r="M15" s="143" t="s">
        <v>65</v>
      </c>
      <c r="N15" s="143" t="s">
        <v>66</v>
      </c>
      <c r="O15" s="143" t="s">
        <v>67</v>
      </c>
      <c r="P15" s="143" t="s">
        <v>68</v>
      </c>
      <c r="Q15" s="143" t="s">
        <v>69</v>
      </c>
      <c r="R15" s="143" t="s">
        <v>70</v>
      </c>
      <c r="S15" s="143" t="s">
        <v>71</v>
      </c>
      <c r="T15" s="143" t="s">
        <v>72</v>
      </c>
    </row>
    <row r="16" customFormat="false" ht="15" hidden="false" customHeight="false" outlineLevel="0" collapsed="false">
      <c r="A16" s="135" t="s">
        <v>73</v>
      </c>
      <c r="B16" s="135" t="s">
        <v>74</v>
      </c>
      <c r="C16" s="252" t="s">
        <v>24</v>
      </c>
      <c r="D16" s="135" t="s">
        <v>75</v>
      </c>
      <c r="E16" s="135" t="s">
        <v>76</v>
      </c>
      <c r="F16" s="135" t="s">
        <v>77</v>
      </c>
      <c r="G16" s="135" t="s">
        <v>78</v>
      </c>
      <c r="H16" s="135" t="s">
        <v>79</v>
      </c>
      <c r="I16" s="135" t="s">
        <v>80</v>
      </c>
      <c r="J16" s="135" t="s">
        <v>81</v>
      </c>
      <c r="K16" s="135" t="s">
        <v>82</v>
      </c>
      <c r="L16" s="135" t="s">
        <v>1</v>
      </c>
      <c r="M16" s="135" t="s">
        <v>1</v>
      </c>
      <c r="N16" s="135" t="s">
        <v>83</v>
      </c>
      <c r="O16" s="135" t="s">
        <v>84</v>
      </c>
      <c r="P16" s="135" t="s">
        <v>85</v>
      </c>
      <c r="Q16" s="135" t="s">
        <v>86</v>
      </c>
      <c r="R16" s="135" t="s">
        <v>87</v>
      </c>
      <c r="S16" s="135" t="s">
        <v>88</v>
      </c>
      <c r="T16" s="135" t="s">
        <v>1</v>
      </c>
      <c r="U16" s="146" t="str">
        <f>IF(OR(ISNUMBER(SEARCH("FAIL",K16&amp;" "&amp;Q16)),ISNUMBER(SEARCH("CLEAN RETEST REQUIRED",K16&amp;" "&amp;Q16))),"Failed",IF(OR(ISNUMBER(SEARCH("NOT RUN",K16&amp;" "&amp;Q16)),ISNUMBER(SEARCH("NOT IMPLEMENTED",K16&amp;" "&amp;Q16))),"Not started",IF(OR(ISNUMBER(SEARCH("PARTIAL",K16&amp;" "&amp;Q16)),ISNUMBER(SEARCH("PENDING",K16&amp;" "&amp;Q16)),ISNUMBER(SEARCH("IN PROGRESS",K16&amp;" "&amp;Q16)),ISNUMBER(SEARCH("OPEN",K16&amp;" "&amp;Q16)),ISNUMBER(SEARCH("RETEST REQUIRED",K16&amp;" "&amp;Q16)),ISNUMBER(SEARCH("IMPLEMENTATION UPDATED",K16&amp;" "&amp;Q16)),ISNUMBER(SEARCH("REQUIRED EVERY SESSION",K16&amp;" "&amp;Q16))),"Pending",IF(OR(Q16="PASS",ISNUMBER(SEARCH("PASS",K16&amp;" "&amp;Q16))),"Done","Pending"))))</f>
        <v>Done</v>
      </c>
      <c r="V16" s="146">
        <f>IF(T16="","",VALUE(LEFT(T16,SEARCH("/",T16)-1)))</f>
        <v/>
      </c>
      <c r="W16" s="146">
        <f>IF(T16="","",VALUE(MID(T16,SEARCH("/",T16)+1,LEN(T16))))</f>
        <v/>
      </c>
    </row>
    <row r="17" customFormat="false" ht="15" hidden="false" customHeight="false" outlineLevel="0" collapsed="false">
      <c r="A17" s="135" t="s">
        <v>89</v>
      </c>
      <c r="B17" s="135" t="s">
        <v>90</v>
      </c>
      <c r="C17" s="252" t="s">
        <v>24</v>
      </c>
      <c r="D17" s="135" t="s">
        <v>91</v>
      </c>
      <c r="E17" s="135" t="s">
        <v>92</v>
      </c>
      <c r="F17" s="135" t="s">
        <v>4</v>
      </c>
      <c r="G17" s="135" t="s">
        <v>4</v>
      </c>
      <c r="H17" s="135" t="s">
        <v>4</v>
      </c>
      <c r="I17" s="135" t="s">
        <v>4</v>
      </c>
      <c r="J17" s="135" t="s">
        <v>93</v>
      </c>
      <c r="K17" s="135" t="s">
        <v>82</v>
      </c>
      <c r="L17" s="135" t="s">
        <v>1</v>
      </c>
      <c r="M17" s="135" t="s">
        <v>1</v>
      </c>
      <c r="N17" s="135" t="s">
        <v>83</v>
      </c>
      <c r="O17" s="135" t="s">
        <v>94</v>
      </c>
      <c r="P17" s="135" t="s">
        <v>95</v>
      </c>
      <c r="Q17" s="135" t="s">
        <v>86</v>
      </c>
      <c r="R17" s="135" t="s">
        <v>96</v>
      </c>
      <c r="S17" s="135" t="s">
        <v>97</v>
      </c>
      <c r="T17" s="135" t="s">
        <v>1</v>
      </c>
      <c r="U17" s="146" t="str">
        <f>IF(OR(ISNUMBER(SEARCH("FAIL",K17&amp;" "&amp;Q17)),ISNUMBER(SEARCH("CLEAN RETEST REQUIRED",K17&amp;" "&amp;Q17))),"Failed",IF(OR(ISNUMBER(SEARCH("NOT RUN",K17&amp;" "&amp;Q17)),ISNUMBER(SEARCH("NOT IMPLEMENTED",K17&amp;" "&amp;Q17))),"Not started",IF(OR(ISNUMBER(SEARCH("PARTIAL",K17&amp;" "&amp;Q17)),ISNUMBER(SEARCH("PENDING",K17&amp;" "&amp;Q17)),ISNUMBER(SEARCH("IN PROGRESS",K17&amp;" "&amp;Q17)),ISNUMBER(SEARCH("OPEN",K17&amp;" "&amp;Q17)),ISNUMBER(SEARCH("RETEST REQUIRED",K17&amp;" "&amp;Q17)),ISNUMBER(SEARCH("IMPLEMENTATION UPDATED",K17&amp;" "&amp;Q17)),ISNUMBER(SEARCH("REQUIRED EVERY SESSION",K17&amp;" "&amp;Q17))),"Pending",IF(OR(Q17="PASS",ISNUMBER(SEARCH("PASS",K17&amp;" "&amp;Q17))),"Done","Pending"))))</f>
        <v>Done</v>
      </c>
      <c r="V17" s="146">
        <f>IF(T17="","",VALUE(LEFT(T17,SEARCH("/",T17)-1)))</f>
        <v/>
      </c>
      <c r="W17" s="146">
        <f>IF(T17="","",VALUE(MID(T17,SEARCH("/",T17)+1,LEN(T17))))</f>
        <v/>
      </c>
    </row>
    <row r="18" customFormat="false" ht="45" hidden="false" customHeight="true" outlineLevel="0" collapsed="false">
      <c r="A18" s="135" t="s">
        <v>98</v>
      </c>
      <c r="B18" s="135" t="s">
        <v>99</v>
      </c>
      <c r="C18" s="253" t="s">
        <v>30</v>
      </c>
      <c r="D18" s="135" t="s">
        <v>100</v>
      </c>
      <c r="E18" s="135" t="s">
        <v>101</v>
      </c>
      <c r="F18" s="135" t="s">
        <v>102</v>
      </c>
      <c r="G18" s="135" t="s">
        <v>103</v>
      </c>
      <c r="H18" s="135" t="s">
        <v>104</v>
      </c>
      <c r="I18" s="135" t="s">
        <v>4</v>
      </c>
      <c r="J18" s="135" t="s">
        <v>105</v>
      </c>
      <c r="K18" s="135" t="s">
        <v>106</v>
      </c>
      <c r="L18" s="135" t="s">
        <v>1</v>
      </c>
      <c r="M18" s="135" t="s">
        <v>1</v>
      </c>
      <c r="N18" s="135" t="s">
        <v>107</v>
      </c>
      <c r="O18" s="135" t="s">
        <v>108</v>
      </c>
      <c r="P18" s="135" t="s">
        <v>109</v>
      </c>
      <c r="Q18" s="135" t="s">
        <v>86</v>
      </c>
      <c r="R18" s="135" t="s">
        <v>110</v>
      </c>
      <c r="S18" s="135" t="s">
        <v>111</v>
      </c>
      <c r="T18" s="135" t="s">
        <v>1</v>
      </c>
      <c r="U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Done</v>
      </c>
      <c r="V18" s="146">
        <f>IF(T18="","",VALUE(LEFT(T18,SEARCH("/",T18)-1)))</f>
        <v/>
      </c>
      <c r="W18" s="146">
        <f>IF(T18="","",VALUE(MID(T18,SEARCH("/",T18)+1,LEN(T18))))</f>
        <v/>
      </c>
    </row>
    <row r="19" customFormat="false" ht="60" hidden="false" customHeight="true" outlineLevel="0" collapsed="false">
      <c r="A19" s="135" t="s">
        <v>112</v>
      </c>
      <c r="B19" s="135" t="s">
        <v>99</v>
      </c>
      <c r="C19" s="253" t="s">
        <v>30</v>
      </c>
      <c r="D19" s="135" t="s">
        <v>113</v>
      </c>
      <c r="E19" s="135" t="s">
        <v>114</v>
      </c>
      <c r="F19" s="135" t="s">
        <v>4</v>
      </c>
      <c r="G19" s="135" t="s">
        <v>115</v>
      </c>
      <c r="H19" s="135" t="s">
        <v>4</v>
      </c>
      <c r="I19" s="135" t="s">
        <v>4</v>
      </c>
      <c r="J19" s="135" t="s">
        <v>116</v>
      </c>
      <c r="K19" s="135" t="s">
        <v>106</v>
      </c>
      <c r="L19" s="135" t="s">
        <v>1</v>
      </c>
      <c r="M19" s="135" t="s">
        <v>1</v>
      </c>
      <c r="N19" s="135" t="s">
        <v>107</v>
      </c>
      <c r="O19" s="135" t="s">
        <v>117</v>
      </c>
      <c r="P19" s="135" t="s">
        <v>118</v>
      </c>
      <c r="Q19" s="135" t="s">
        <v>86</v>
      </c>
      <c r="R19" s="135" t="s">
        <v>119</v>
      </c>
      <c r="S19" s="135" t="s">
        <v>88</v>
      </c>
      <c r="T19" s="135" t="s">
        <v>1</v>
      </c>
      <c r="U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Done</v>
      </c>
      <c r="V19" s="146">
        <f>IF(T19="","",VALUE(LEFT(T19,SEARCH("/",T19)-1)))</f>
        <v/>
      </c>
      <c r="W19" s="146">
        <f>IF(T19="","",VALUE(MID(T19,SEARCH("/",T19)+1,LEN(T19))))</f>
        <v/>
      </c>
    </row>
    <row r="20" customFormat="false" ht="150" hidden="false" customHeight="true" outlineLevel="0" collapsed="false">
      <c r="A20" s="135" t="s">
        <v>120</v>
      </c>
      <c r="B20" s="135" t="s">
        <v>99</v>
      </c>
      <c r="C20" s="253" t="s">
        <v>30</v>
      </c>
      <c r="D20" s="135" t="s">
        <v>113</v>
      </c>
      <c r="E20" s="135" t="s">
        <v>121</v>
      </c>
      <c r="F20" s="135" t="s">
        <v>4</v>
      </c>
      <c r="G20" s="135" t="s">
        <v>122</v>
      </c>
      <c r="H20" s="135" t="s">
        <v>4</v>
      </c>
      <c r="I20" s="135" t="s">
        <v>4</v>
      </c>
      <c r="J20" s="135" t="s">
        <v>123</v>
      </c>
      <c r="K20" s="135" t="s">
        <v>106</v>
      </c>
      <c r="L20" s="135" t="s">
        <v>1</v>
      </c>
      <c r="M20" s="135" t="s">
        <v>1</v>
      </c>
      <c r="N20" s="135" t="s">
        <v>107</v>
      </c>
      <c r="O20" s="135" t="s">
        <v>124</v>
      </c>
      <c r="P20" s="135" t="s">
        <v>125</v>
      </c>
      <c r="Q20" s="135" t="s">
        <v>86</v>
      </c>
      <c r="R20" s="135" t="s">
        <v>126</v>
      </c>
      <c r="S20" s="135" t="s">
        <v>88</v>
      </c>
      <c r="T20" s="135" t="s">
        <v>1</v>
      </c>
      <c r="U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Done</v>
      </c>
      <c r="V20" s="146">
        <f>IF(T20="","",VALUE(LEFT(T20,SEARCH("/",T20)-1)))</f>
        <v/>
      </c>
      <c r="W20" s="146">
        <f>IF(T20="","",VALUE(MID(T20,SEARCH("/",T20)+1,LEN(T20))))</f>
        <v/>
      </c>
    </row>
    <row r="21" customFormat="false" ht="90" hidden="false" customHeight="true" outlineLevel="0" collapsed="false">
      <c r="A21" s="135" t="s">
        <v>127</v>
      </c>
      <c r="B21" s="135" t="s">
        <v>99</v>
      </c>
      <c r="C21" s="253" t="s">
        <v>30</v>
      </c>
      <c r="D21" s="135" t="s">
        <v>113</v>
      </c>
      <c r="E21" s="135" t="s">
        <v>128</v>
      </c>
      <c r="F21" s="135" t="s">
        <v>4</v>
      </c>
      <c r="G21" s="135" t="s">
        <v>129</v>
      </c>
      <c r="H21" s="135" t="s">
        <v>4</v>
      </c>
      <c r="I21" s="135" t="s">
        <v>4</v>
      </c>
      <c r="J21" s="135" t="s">
        <v>130</v>
      </c>
      <c r="K21" s="135" t="s">
        <v>82</v>
      </c>
      <c r="L21" s="135" t="s">
        <v>1</v>
      </c>
      <c r="M21" s="135" t="s">
        <v>1</v>
      </c>
      <c r="N21" s="135" t="s">
        <v>107</v>
      </c>
      <c r="O21" s="135" t="s">
        <v>131</v>
      </c>
      <c r="P21" s="135" t="s">
        <v>132</v>
      </c>
      <c r="Q21" s="135" t="s">
        <v>86</v>
      </c>
      <c r="R21" s="135" t="s">
        <v>133</v>
      </c>
      <c r="S21" s="135" t="s">
        <v>88</v>
      </c>
      <c r="T21" s="135" t="s">
        <v>1</v>
      </c>
      <c r="U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Done</v>
      </c>
      <c r="V21" s="146">
        <f>IF(T21="","",VALUE(LEFT(T21,SEARCH("/",T21)-1)))</f>
        <v/>
      </c>
      <c r="W21" s="146">
        <f>IF(T21="","",VALUE(MID(T21,SEARCH("/",T21)+1,LEN(T21))))</f>
        <v/>
      </c>
    </row>
    <row r="22" customFormat="false" ht="105" hidden="false" customHeight="true" outlineLevel="0" collapsed="false">
      <c r="A22" s="135" t="s">
        <v>134</v>
      </c>
      <c r="B22" s="135" t="s">
        <v>135</v>
      </c>
      <c r="C22" s="253" t="s">
        <v>30</v>
      </c>
      <c r="D22" s="135" t="s">
        <v>136</v>
      </c>
      <c r="E22" s="135" t="s">
        <v>137</v>
      </c>
      <c r="F22" s="135" t="s">
        <v>138</v>
      </c>
      <c r="G22" s="135" t="s">
        <v>139</v>
      </c>
      <c r="H22" s="135" t="s">
        <v>4</v>
      </c>
      <c r="I22" s="135" t="s">
        <v>4</v>
      </c>
      <c r="J22" s="135" t="s">
        <v>140</v>
      </c>
      <c r="K22" s="135" t="s">
        <v>82</v>
      </c>
      <c r="L22" s="135" t="s">
        <v>1</v>
      </c>
      <c r="M22" s="135" t="s">
        <v>1</v>
      </c>
      <c r="N22" s="135" t="s">
        <v>141</v>
      </c>
      <c r="O22" s="135" t="s">
        <v>142</v>
      </c>
      <c r="P22" s="135" t="s">
        <v>143</v>
      </c>
      <c r="Q22" s="135" t="s">
        <v>86</v>
      </c>
      <c r="R22" s="135" t="s">
        <v>144</v>
      </c>
      <c r="S22" s="135" t="s">
        <v>88</v>
      </c>
      <c r="T22" s="135" t="s">
        <v>1</v>
      </c>
      <c r="U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V22" s="146">
        <f>IF(T22="","",VALUE(LEFT(T22,SEARCH("/",T22)-1)))</f>
        <v/>
      </c>
      <c r="W22" s="146">
        <f>IF(T22="","",VALUE(MID(T22,SEARCH("/",T22)+1,LEN(T22))))</f>
        <v/>
      </c>
    </row>
    <row r="23" customFormat="false" ht="75" hidden="false" customHeight="true" outlineLevel="0" collapsed="false">
      <c r="A23" s="135" t="s">
        <v>145</v>
      </c>
      <c r="B23" s="135" t="s">
        <v>135</v>
      </c>
      <c r="C23" s="253" t="s">
        <v>30</v>
      </c>
      <c r="D23" s="135" t="s">
        <v>146</v>
      </c>
      <c r="E23" s="135" t="s">
        <v>147</v>
      </c>
      <c r="F23" s="135" t="s">
        <v>4</v>
      </c>
      <c r="G23" s="135" t="s">
        <v>148</v>
      </c>
      <c r="H23" s="135" t="s">
        <v>4</v>
      </c>
      <c r="I23" s="135" t="s">
        <v>4</v>
      </c>
      <c r="J23" s="135" t="s">
        <v>149</v>
      </c>
      <c r="K23" s="135" t="s">
        <v>82</v>
      </c>
      <c r="L23" s="135" t="s">
        <v>1</v>
      </c>
      <c r="M23" s="135" t="s">
        <v>1</v>
      </c>
      <c r="N23" s="135" t="s">
        <v>150</v>
      </c>
      <c r="O23" s="135" t="s">
        <v>151</v>
      </c>
      <c r="P23" s="135" t="s">
        <v>152</v>
      </c>
      <c r="Q23" s="135" t="s">
        <v>86</v>
      </c>
      <c r="R23" s="135" t="s">
        <v>153</v>
      </c>
      <c r="S23" s="135" t="s">
        <v>88</v>
      </c>
      <c r="T23" s="135" t="s">
        <v>1</v>
      </c>
      <c r="U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V23" s="146">
        <f>IF(T23="","",VALUE(LEFT(T23,SEARCH("/",T23)-1)))</f>
        <v/>
      </c>
      <c r="W23" s="146">
        <f>IF(T23="","",VALUE(MID(T23,SEARCH("/",T23)+1,LEN(T23))))</f>
        <v/>
      </c>
    </row>
    <row r="24" customFormat="false" ht="15" hidden="false" customHeight="false" outlineLevel="0" collapsed="false">
      <c r="A24" s="135" t="s">
        <v>154</v>
      </c>
      <c r="B24" s="135" t="s">
        <v>155</v>
      </c>
      <c r="C24" s="253" t="s">
        <v>30</v>
      </c>
      <c r="D24" s="135" t="s">
        <v>156</v>
      </c>
      <c r="E24" s="135" t="s">
        <v>157</v>
      </c>
      <c r="F24" s="135" t="s">
        <v>158</v>
      </c>
      <c r="G24" s="135" t="s">
        <v>159</v>
      </c>
      <c r="H24" s="135" t="s">
        <v>4</v>
      </c>
      <c r="I24" s="135" t="s">
        <v>160</v>
      </c>
      <c r="J24" s="135" t="s">
        <v>161</v>
      </c>
      <c r="K24" s="135" t="s">
        <v>162</v>
      </c>
      <c r="L24" s="135" t="s">
        <v>1</v>
      </c>
      <c r="M24" s="135" t="s">
        <v>1</v>
      </c>
      <c r="N24" s="135" t="s">
        <v>163</v>
      </c>
      <c r="O24" s="135" t="s">
        <v>164</v>
      </c>
      <c r="P24" s="135" t="s">
        <v>165</v>
      </c>
      <c r="Q24" s="135" t="s">
        <v>86</v>
      </c>
      <c r="R24" s="135" t="s">
        <v>166</v>
      </c>
      <c r="S24" s="135" t="s">
        <v>167</v>
      </c>
      <c r="T24" s="135" t="s">
        <v>1</v>
      </c>
      <c r="U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V24" s="146">
        <f>IF(T24="","",VALUE(LEFT(T24,SEARCH("/",T24)-1)))</f>
        <v/>
      </c>
      <c r="W24" s="146">
        <f>IF(T24="","",VALUE(MID(T24,SEARCH("/",T24)+1,LEN(T24))))</f>
        <v/>
      </c>
    </row>
    <row r="25" customFormat="false" ht="15" hidden="false" customHeight="false" outlineLevel="0" collapsed="false">
      <c r="A25" s="135" t="s">
        <v>168</v>
      </c>
      <c r="B25" s="135" t="s">
        <v>169</v>
      </c>
      <c r="C25" s="253" t="s">
        <v>30</v>
      </c>
      <c r="D25" s="135" t="s">
        <v>170</v>
      </c>
      <c r="E25" s="135" t="s">
        <v>171</v>
      </c>
      <c r="F25" s="135" t="s">
        <v>172</v>
      </c>
      <c r="G25" s="135" t="s">
        <v>173</v>
      </c>
      <c r="H25" s="135" t="s">
        <v>174</v>
      </c>
      <c r="I25" s="135" t="s">
        <v>8</v>
      </c>
      <c r="J25" s="135" t="s">
        <v>175</v>
      </c>
      <c r="K25" s="135" t="s">
        <v>162</v>
      </c>
      <c r="L25" s="135" t="s">
        <v>1</v>
      </c>
      <c r="M25" s="135" t="s">
        <v>1</v>
      </c>
      <c r="N25" s="135" t="s">
        <v>163</v>
      </c>
      <c r="O25" s="135" t="s">
        <v>176</v>
      </c>
      <c r="P25" s="135" t="s">
        <v>177</v>
      </c>
      <c r="Q25" s="135" t="s">
        <v>86</v>
      </c>
      <c r="R25" s="135" t="s">
        <v>178</v>
      </c>
      <c r="S25" s="135" t="s">
        <v>111</v>
      </c>
      <c r="T25" s="135" t="s">
        <v>1</v>
      </c>
      <c r="U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V25" s="146">
        <f>IF(T25="","",VALUE(LEFT(T25,SEARCH("/",T25)-1)))</f>
        <v/>
      </c>
      <c r="W25" s="146">
        <f>IF(T25="","",VALUE(MID(T25,SEARCH("/",T25)+1,LEN(T25))))</f>
        <v/>
      </c>
    </row>
    <row r="26" customFormat="false" ht="15" hidden="false" customHeight="false" outlineLevel="0" collapsed="false">
      <c r="A26" s="135" t="s">
        <v>179</v>
      </c>
      <c r="B26" s="135" t="s">
        <v>180</v>
      </c>
      <c r="C26" s="256" t="s">
        <v>35</v>
      </c>
      <c r="D26" s="135" t="s">
        <v>181</v>
      </c>
      <c r="E26" s="135" t="s">
        <v>182</v>
      </c>
      <c r="F26" s="135" t="s">
        <v>183</v>
      </c>
      <c r="G26" s="135" t="s">
        <v>184</v>
      </c>
      <c r="H26" s="135" t="s">
        <v>185</v>
      </c>
      <c r="I26" s="135" t="s">
        <v>186</v>
      </c>
      <c r="J26" s="135" t="s">
        <v>187</v>
      </c>
      <c r="K26" s="135" t="s">
        <v>188</v>
      </c>
      <c r="L26" s="135" t="s">
        <v>1</v>
      </c>
      <c r="M26" s="135" t="s">
        <v>1</v>
      </c>
      <c r="N26" s="135" t="s">
        <v>189</v>
      </c>
      <c r="O26" s="135" t="s">
        <v>190</v>
      </c>
      <c r="P26" s="135" t="s">
        <v>191</v>
      </c>
      <c r="Q26" s="135" t="s">
        <v>86</v>
      </c>
      <c r="R26" s="135" t="s">
        <v>192</v>
      </c>
      <c r="S26" s="135" t="s">
        <v>97</v>
      </c>
      <c r="T26" s="135" t="s">
        <v>1</v>
      </c>
      <c r="U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Done</v>
      </c>
      <c r="V26" s="146">
        <f>IF(T26="","",VALUE(LEFT(T26,SEARCH("/",T26)-1)))</f>
        <v/>
      </c>
      <c r="W26" s="146">
        <f>IF(T26="","",VALUE(MID(T26,SEARCH("/",T26)+1,LEN(T26))))</f>
        <v/>
      </c>
    </row>
    <row r="27" customFormat="false" ht="15" hidden="false" customHeight="false" outlineLevel="0" collapsed="false">
      <c r="A27" s="135" t="s">
        <v>193</v>
      </c>
      <c r="B27" s="135" t="s">
        <v>194</v>
      </c>
      <c r="C27" s="256" t="s">
        <v>35</v>
      </c>
      <c r="D27" s="135" t="s">
        <v>195</v>
      </c>
      <c r="E27" s="135" t="s">
        <v>196</v>
      </c>
      <c r="F27" s="135" t="s">
        <v>197</v>
      </c>
      <c r="G27" s="135" t="s">
        <v>198</v>
      </c>
      <c r="H27" s="135" t="s">
        <v>199</v>
      </c>
      <c r="I27" s="135" t="s">
        <v>200</v>
      </c>
      <c r="J27" s="135" t="s">
        <v>201</v>
      </c>
      <c r="K27" s="135" t="s">
        <v>188</v>
      </c>
      <c r="L27" s="135" t="s">
        <v>1</v>
      </c>
      <c r="M27" s="135" t="s">
        <v>1</v>
      </c>
      <c r="N27" s="135" t="s">
        <v>189</v>
      </c>
      <c r="O27" s="135" t="s">
        <v>202</v>
      </c>
      <c r="P27" s="135" t="s">
        <v>203</v>
      </c>
      <c r="Q27" s="135" t="s">
        <v>86</v>
      </c>
      <c r="R27" s="135" t="s">
        <v>204</v>
      </c>
      <c r="S27" s="135" t="s">
        <v>111</v>
      </c>
      <c r="T27" s="135" t="s">
        <v>1</v>
      </c>
      <c r="U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Done</v>
      </c>
      <c r="V27" s="146">
        <f>IF(T27="","",VALUE(LEFT(T27,SEARCH("/",T27)-1)))</f>
        <v/>
      </c>
      <c r="W27" s="146">
        <f>IF(T27="","",VALUE(MID(T27,SEARCH("/",T27)+1,LEN(T27))))</f>
        <v/>
      </c>
    </row>
    <row r="28" customFormat="false" ht="15" hidden="false" customHeight="false" outlineLevel="0" collapsed="false">
      <c r="A28" s="135" t="s">
        <v>205</v>
      </c>
      <c r="B28" s="135" t="s">
        <v>180</v>
      </c>
      <c r="C28" s="256" t="s">
        <v>35</v>
      </c>
      <c r="D28" s="135" t="s">
        <v>181</v>
      </c>
      <c r="E28" s="135" t="s">
        <v>206</v>
      </c>
      <c r="F28" s="135" t="s">
        <v>207</v>
      </c>
      <c r="G28" s="135" t="s">
        <v>208</v>
      </c>
      <c r="H28" s="135" t="s">
        <v>185</v>
      </c>
      <c r="I28" s="135" t="s">
        <v>209</v>
      </c>
      <c r="J28" s="135" t="s">
        <v>210</v>
      </c>
      <c r="K28" s="135" t="s">
        <v>188</v>
      </c>
      <c r="L28" s="135" t="s">
        <v>1</v>
      </c>
      <c r="M28" s="135" t="s">
        <v>1</v>
      </c>
      <c r="N28" s="135" t="s">
        <v>189</v>
      </c>
      <c r="O28" s="135" t="s">
        <v>211</v>
      </c>
      <c r="P28" s="135" t="s">
        <v>212</v>
      </c>
      <c r="Q28" s="135" t="s">
        <v>86</v>
      </c>
      <c r="R28" s="135" t="s">
        <v>213</v>
      </c>
      <c r="S28" s="135" t="s">
        <v>214</v>
      </c>
      <c r="T28" s="135" t="s">
        <v>1</v>
      </c>
      <c r="U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Done</v>
      </c>
      <c r="V28" s="146">
        <f>IF(T28="","",VALUE(LEFT(T28,SEARCH("/",T28)-1)))</f>
        <v/>
      </c>
      <c r="W28" s="146">
        <f>IF(T28="","",VALUE(MID(T28,SEARCH("/",T28)+1,LEN(T28))))</f>
        <v/>
      </c>
    </row>
    <row r="29" customFormat="false" ht="180" hidden="false" customHeight="true" outlineLevel="0" collapsed="false">
      <c r="A29" s="135" t="s">
        <v>215</v>
      </c>
      <c r="B29" s="135" t="s">
        <v>216</v>
      </c>
      <c r="C29" s="256" t="s">
        <v>35</v>
      </c>
      <c r="D29" s="135" t="s">
        <v>217</v>
      </c>
      <c r="E29" s="135" t="s">
        <v>218</v>
      </c>
      <c r="F29" s="135" t="s">
        <v>4</v>
      </c>
      <c r="G29" s="135" t="s">
        <v>219</v>
      </c>
      <c r="H29" s="135" t="s">
        <v>4</v>
      </c>
      <c r="I29" s="135" t="s">
        <v>220</v>
      </c>
      <c r="J29" s="135" t="s">
        <v>221</v>
      </c>
      <c r="K29" s="135" t="s">
        <v>82</v>
      </c>
      <c r="L29" s="135" t="s">
        <v>1</v>
      </c>
      <c r="M29" s="135" t="s">
        <v>1</v>
      </c>
      <c r="N29" s="135" t="s">
        <v>107</v>
      </c>
      <c r="O29" s="135" t="s">
        <v>222</v>
      </c>
      <c r="P29" s="135" t="s">
        <v>223</v>
      </c>
      <c r="Q29" s="135" t="s">
        <v>86</v>
      </c>
      <c r="R29" s="135" t="s">
        <v>224</v>
      </c>
      <c r="S29" s="135" t="s">
        <v>225</v>
      </c>
      <c r="T29" s="135" t="s">
        <v>1</v>
      </c>
      <c r="U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Done</v>
      </c>
      <c r="V29" s="146">
        <f>IF(T29="","",VALUE(LEFT(T29,SEARCH("/",T29)-1)))</f>
        <v/>
      </c>
      <c r="W29" s="146">
        <f>IF(T29="","",VALUE(MID(T29,SEARCH("/",T29)+1,LEN(T29))))</f>
        <v/>
      </c>
    </row>
    <row r="30" customFormat="false" ht="15" hidden="false" customHeight="false" outlineLevel="0" collapsed="false">
      <c r="A30" s="135" t="s">
        <v>226</v>
      </c>
      <c r="B30" s="135" t="s">
        <v>227</v>
      </c>
      <c r="C30" s="256" t="s">
        <v>35</v>
      </c>
      <c r="D30" s="135" t="s">
        <v>228</v>
      </c>
      <c r="E30" s="135" t="s">
        <v>229</v>
      </c>
      <c r="F30" s="135" t="s">
        <v>207</v>
      </c>
      <c r="G30" s="135" t="s">
        <v>230</v>
      </c>
      <c r="H30" s="135" t="s">
        <v>4</v>
      </c>
      <c r="I30" s="135" t="s">
        <v>231</v>
      </c>
      <c r="J30" s="135" t="s">
        <v>232</v>
      </c>
      <c r="K30" s="135" t="s">
        <v>233</v>
      </c>
      <c r="L30" s="135" t="s">
        <v>1</v>
      </c>
      <c r="M30" s="135" t="s">
        <v>1</v>
      </c>
      <c r="N30" s="135" t="s">
        <v>107</v>
      </c>
      <c r="O30" s="135" t="s">
        <v>234</v>
      </c>
      <c r="P30" s="135" t="s">
        <v>235</v>
      </c>
      <c r="Q30" s="135" t="s">
        <v>86</v>
      </c>
      <c r="R30" s="135" t="s">
        <v>236</v>
      </c>
      <c r="S30" s="135" t="s">
        <v>88</v>
      </c>
      <c r="T30" s="135" t="s">
        <v>1</v>
      </c>
      <c r="U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Done</v>
      </c>
      <c r="V30" s="146">
        <f>IF(T30="","",VALUE(LEFT(T30,SEARCH("/",T30)-1)))</f>
        <v/>
      </c>
      <c r="W30" s="146">
        <f>IF(T30="","",VALUE(MID(T30,SEARCH("/",T30)+1,LEN(T30))))</f>
        <v/>
      </c>
    </row>
    <row r="31" customFormat="false" ht="15" hidden="false" customHeight="false" outlineLevel="0" collapsed="false">
      <c r="A31" s="135" t="s">
        <v>237</v>
      </c>
      <c r="B31" s="135" t="s">
        <v>180</v>
      </c>
      <c r="C31" s="256" t="s">
        <v>35</v>
      </c>
      <c r="D31" s="135" t="s">
        <v>238</v>
      </c>
      <c r="E31" s="135" t="s">
        <v>239</v>
      </c>
      <c r="F31" s="135" t="s">
        <v>240</v>
      </c>
      <c r="G31" s="135" t="s">
        <v>241</v>
      </c>
      <c r="H31" s="135" t="s">
        <v>242</v>
      </c>
      <c r="I31" s="135" t="s">
        <v>243</v>
      </c>
      <c r="J31" s="135" t="s">
        <v>244</v>
      </c>
      <c r="K31" s="135" t="s">
        <v>188</v>
      </c>
      <c r="L31" s="135" t="s">
        <v>1</v>
      </c>
      <c r="M31" s="135" t="s">
        <v>1</v>
      </c>
      <c r="N31" s="135" t="s">
        <v>189</v>
      </c>
      <c r="O31" s="135" t="s">
        <v>245</v>
      </c>
      <c r="P31" s="135" t="s">
        <v>246</v>
      </c>
      <c r="Q31" s="135" t="s">
        <v>86</v>
      </c>
      <c r="R31" s="135" t="s">
        <v>247</v>
      </c>
      <c r="S31" s="135" t="s">
        <v>248</v>
      </c>
      <c r="T31" s="135" t="s">
        <v>1</v>
      </c>
      <c r="U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Done</v>
      </c>
      <c r="V31" s="146">
        <f>IF(T31="","",VALUE(LEFT(T31,SEARCH("/",T31)-1)))</f>
        <v/>
      </c>
      <c r="W31" s="146">
        <f>IF(T31="","",VALUE(MID(T31,SEARCH("/",T31)+1,LEN(T31))))</f>
        <v/>
      </c>
    </row>
    <row r="32" customFormat="false" ht="15" hidden="false" customHeight="false" outlineLevel="0" collapsed="false">
      <c r="A32" s="135" t="s">
        <v>249</v>
      </c>
      <c r="B32" s="135" t="s">
        <v>250</v>
      </c>
      <c r="C32" s="256" t="s">
        <v>35</v>
      </c>
      <c r="D32" s="135" t="s">
        <v>251</v>
      </c>
      <c r="E32" s="135" t="s">
        <v>252</v>
      </c>
      <c r="F32" s="135" t="s">
        <v>4</v>
      </c>
      <c r="G32" s="135" t="s">
        <v>253</v>
      </c>
      <c r="H32" s="135" t="s">
        <v>4</v>
      </c>
      <c r="I32" s="135" t="s">
        <v>254</v>
      </c>
      <c r="J32" s="135" t="s">
        <v>255</v>
      </c>
      <c r="K32" s="135" t="s">
        <v>256</v>
      </c>
      <c r="L32" s="135" t="s">
        <v>1</v>
      </c>
      <c r="M32" s="135" t="s">
        <v>1</v>
      </c>
      <c r="N32" s="135" t="s">
        <v>189</v>
      </c>
      <c r="O32" s="135" t="s">
        <v>257</v>
      </c>
      <c r="P32" s="135" t="s">
        <v>258</v>
      </c>
      <c r="Q32" s="135" t="s">
        <v>86</v>
      </c>
      <c r="R32" s="135" t="s">
        <v>259</v>
      </c>
      <c r="S32" s="135" t="s">
        <v>260</v>
      </c>
      <c r="T32" s="135" t="s">
        <v>1</v>
      </c>
      <c r="U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Done</v>
      </c>
      <c r="V32" s="146">
        <f>IF(T32="","",VALUE(LEFT(T32,SEARCH("/",T32)-1)))</f>
        <v/>
      </c>
      <c r="W32" s="146">
        <f>IF(T32="","",VALUE(MID(T32,SEARCH("/",T32)+1,LEN(T32))))</f>
        <v/>
      </c>
    </row>
    <row r="33" customFormat="false" ht="15" hidden="false" customHeight="false" outlineLevel="0" collapsed="false">
      <c r="A33" s="135" t="s">
        <v>261</v>
      </c>
      <c r="B33" s="135" t="s">
        <v>262</v>
      </c>
      <c r="C33" s="256" t="s">
        <v>35</v>
      </c>
      <c r="D33" s="135" t="s">
        <v>263</v>
      </c>
      <c r="E33" s="135" t="s">
        <v>264</v>
      </c>
      <c r="F33" s="135" t="s">
        <v>265</v>
      </c>
      <c r="G33" s="135" t="s">
        <v>266</v>
      </c>
      <c r="H33" s="135" t="s">
        <v>267</v>
      </c>
      <c r="I33" s="135" t="s">
        <v>268</v>
      </c>
      <c r="J33" s="135" t="s">
        <v>269</v>
      </c>
      <c r="K33" s="135" t="s">
        <v>233</v>
      </c>
      <c r="L33" s="135" t="s">
        <v>1</v>
      </c>
      <c r="M33" s="135" t="s">
        <v>1</v>
      </c>
      <c r="N33" s="135" t="s">
        <v>189</v>
      </c>
      <c r="O33" s="135" t="s">
        <v>270</v>
      </c>
      <c r="P33" s="135" t="s">
        <v>271</v>
      </c>
      <c r="Q33" s="135" t="s">
        <v>86</v>
      </c>
      <c r="R33" s="135" t="s">
        <v>272</v>
      </c>
      <c r="S33" s="135" t="s">
        <v>273</v>
      </c>
      <c r="T33" s="135" t="s">
        <v>1</v>
      </c>
      <c r="U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Done</v>
      </c>
      <c r="V33" s="146">
        <f>IF(T33="","",VALUE(LEFT(T33,SEARCH("/",T33)-1)))</f>
        <v/>
      </c>
      <c r="W33" s="146">
        <f>IF(T33="","",VALUE(MID(T33,SEARCH("/",T33)+1,LEN(T33))))</f>
        <v/>
      </c>
    </row>
    <row r="34" customFormat="false" ht="15" hidden="false" customHeight="false" outlineLevel="0" collapsed="false">
      <c r="A34" s="135" t="s">
        <v>274</v>
      </c>
      <c r="B34" s="135" t="s">
        <v>194</v>
      </c>
      <c r="C34" s="256" t="s">
        <v>35</v>
      </c>
      <c r="D34" s="135" t="s">
        <v>275</v>
      </c>
      <c r="E34" s="135" t="s">
        <v>276</v>
      </c>
      <c r="F34" s="135" t="s">
        <v>4</v>
      </c>
      <c r="G34" s="135" t="s">
        <v>277</v>
      </c>
      <c r="H34" s="135" t="s">
        <v>4</v>
      </c>
      <c r="I34" s="135" t="s">
        <v>4</v>
      </c>
      <c r="J34" s="135" t="s">
        <v>278</v>
      </c>
      <c r="K34" s="135" t="s">
        <v>233</v>
      </c>
      <c r="L34" s="135" t="s">
        <v>1</v>
      </c>
      <c r="M34" s="135" t="s">
        <v>1</v>
      </c>
      <c r="N34" s="135" t="s">
        <v>189</v>
      </c>
      <c r="O34" s="135" t="s">
        <v>279</v>
      </c>
      <c r="P34" s="135" t="s">
        <v>280</v>
      </c>
      <c r="Q34" s="135" t="s">
        <v>86</v>
      </c>
      <c r="R34" s="135" t="s">
        <v>281</v>
      </c>
      <c r="S34" s="135" t="s">
        <v>282</v>
      </c>
      <c r="T34" s="135" t="s">
        <v>1</v>
      </c>
      <c r="U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V34" s="146">
        <f>IF(T34="","",VALUE(LEFT(T34,SEARCH("/",T34)-1)))</f>
        <v/>
      </c>
      <c r="W34" s="146">
        <f>IF(T34="","",VALUE(MID(T34,SEARCH("/",T34)+1,LEN(T34))))</f>
        <v/>
      </c>
    </row>
    <row r="35" customFormat="false" ht="15" hidden="false" customHeight="false" outlineLevel="0" collapsed="false">
      <c r="A35" s="135" t="s">
        <v>283</v>
      </c>
      <c r="B35" s="135" t="s">
        <v>155</v>
      </c>
      <c r="C35" s="256" t="s">
        <v>35</v>
      </c>
      <c r="D35" s="135" t="s">
        <v>284</v>
      </c>
      <c r="E35" s="135" t="s">
        <v>285</v>
      </c>
      <c r="F35" s="135" t="s">
        <v>286</v>
      </c>
      <c r="G35" s="135" t="s">
        <v>287</v>
      </c>
      <c r="H35" s="135" t="s">
        <v>288</v>
      </c>
      <c r="I35" s="135" t="s">
        <v>289</v>
      </c>
      <c r="J35" s="135" t="s">
        <v>290</v>
      </c>
      <c r="K35" s="135" t="s">
        <v>233</v>
      </c>
      <c r="L35" s="135" t="s">
        <v>1</v>
      </c>
      <c r="M35" s="135" t="s">
        <v>1</v>
      </c>
      <c r="N35" s="135" t="s">
        <v>291</v>
      </c>
      <c r="O35" s="135" t="s">
        <v>292</v>
      </c>
      <c r="P35" s="135" t="s">
        <v>293</v>
      </c>
      <c r="Q35" s="135" t="s">
        <v>86</v>
      </c>
      <c r="R35" s="135" t="s">
        <v>294</v>
      </c>
      <c r="S35" s="135" t="s">
        <v>111</v>
      </c>
      <c r="T35" s="135" t="s">
        <v>1</v>
      </c>
      <c r="U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V35" s="146">
        <f>IF(T35="","",VALUE(LEFT(T35,SEARCH("/",T35)-1)))</f>
        <v/>
      </c>
      <c r="W35" s="146">
        <f>IF(T35="","",VALUE(MID(T35,SEARCH("/",T35)+1,LEN(T35))))</f>
        <v/>
      </c>
    </row>
    <row r="36" customFormat="false" ht="15" hidden="false" customHeight="false" outlineLevel="0" collapsed="false">
      <c r="A36" s="135" t="s">
        <v>295</v>
      </c>
      <c r="B36" s="135" t="s">
        <v>155</v>
      </c>
      <c r="C36" s="256" t="s">
        <v>35</v>
      </c>
      <c r="D36" s="135" t="s">
        <v>296</v>
      </c>
      <c r="E36" s="135" t="s">
        <v>297</v>
      </c>
      <c r="F36" s="135" t="s">
        <v>298</v>
      </c>
      <c r="G36" s="135" t="s">
        <v>299</v>
      </c>
      <c r="H36" s="135" t="s">
        <v>300</v>
      </c>
      <c r="I36" s="135" t="s">
        <v>301</v>
      </c>
      <c r="J36" s="135" t="s">
        <v>302</v>
      </c>
      <c r="K36" s="135" t="s">
        <v>303</v>
      </c>
      <c r="L36" s="135" t="s">
        <v>1</v>
      </c>
      <c r="M36" s="135" t="s">
        <v>1</v>
      </c>
      <c r="N36" s="135" t="s">
        <v>304</v>
      </c>
      <c r="O36" s="135" t="s">
        <v>305</v>
      </c>
      <c r="P36" s="135" t="s">
        <v>306</v>
      </c>
      <c r="Q36" s="135" t="s">
        <v>86</v>
      </c>
      <c r="R36" s="135" t="s">
        <v>307</v>
      </c>
      <c r="S36" s="135" t="s">
        <v>88</v>
      </c>
      <c r="T36" s="135" t="s">
        <v>1</v>
      </c>
      <c r="U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V36" s="146">
        <f>IF(T36="","",VALUE(LEFT(T36,SEARCH("/",T36)-1)))</f>
        <v/>
      </c>
      <c r="W36" s="146">
        <f>IF(T36="","",VALUE(MID(T36,SEARCH("/",T36)+1,LEN(T36))))</f>
        <v/>
      </c>
    </row>
    <row r="37" customFormat="false" ht="15" hidden="false" customHeight="false" outlineLevel="0" collapsed="false">
      <c r="A37" s="135" t="s">
        <v>308</v>
      </c>
      <c r="B37" s="135" t="s">
        <v>180</v>
      </c>
      <c r="C37" s="256" t="s">
        <v>35</v>
      </c>
      <c r="D37" s="135" t="s">
        <v>309</v>
      </c>
      <c r="E37" s="135" t="s">
        <v>310</v>
      </c>
      <c r="F37" s="135" t="s">
        <v>311</v>
      </c>
      <c r="G37" s="135" t="s">
        <v>208</v>
      </c>
      <c r="H37" s="135" t="s">
        <v>185</v>
      </c>
      <c r="I37" s="135" t="s">
        <v>312</v>
      </c>
      <c r="J37" s="135" t="s">
        <v>313</v>
      </c>
      <c r="K37" s="135" t="s">
        <v>188</v>
      </c>
      <c r="L37" s="135" t="s">
        <v>1</v>
      </c>
      <c r="M37" s="135" t="s">
        <v>1</v>
      </c>
      <c r="N37" s="135" t="s">
        <v>189</v>
      </c>
      <c r="O37" s="135" t="s">
        <v>314</v>
      </c>
      <c r="P37" s="135" t="s">
        <v>315</v>
      </c>
      <c r="Q37" s="135" t="s">
        <v>86</v>
      </c>
      <c r="R37" s="135" t="s">
        <v>316</v>
      </c>
      <c r="S37" s="135" t="s">
        <v>317</v>
      </c>
      <c r="T37" s="135" t="s">
        <v>1</v>
      </c>
      <c r="U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V37" s="146">
        <f>IF(T37="","",VALUE(LEFT(T37,SEARCH("/",T37)-1)))</f>
        <v/>
      </c>
      <c r="W37" s="146">
        <f>IF(T37="","",VALUE(MID(T37,SEARCH("/",T37)+1,LEN(T37))))</f>
        <v/>
      </c>
    </row>
    <row r="38" customFormat="false" ht="180" hidden="false" customHeight="true" outlineLevel="0" collapsed="false">
      <c r="A38" s="135" t="s">
        <v>318</v>
      </c>
      <c r="B38" s="135" t="s">
        <v>180</v>
      </c>
      <c r="C38" s="256" t="s">
        <v>35</v>
      </c>
      <c r="D38" s="135" t="s">
        <v>309</v>
      </c>
      <c r="E38" s="135" t="s">
        <v>319</v>
      </c>
      <c r="F38" s="135" t="s">
        <v>320</v>
      </c>
      <c r="G38" s="135" t="s">
        <v>321</v>
      </c>
      <c r="H38" s="135" t="s">
        <v>185</v>
      </c>
      <c r="I38" s="135" t="s">
        <v>322</v>
      </c>
      <c r="J38" s="135" t="s">
        <v>323</v>
      </c>
      <c r="K38" s="135" t="s">
        <v>324</v>
      </c>
      <c r="L38" s="135" t="s">
        <v>1</v>
      </c>
      <c r="M38" s="135" t="s">
        <v>1</v>
      </c>
      <c r="N38" s="135" t="s">
        <v>107</v>
      </c>
      <c r="O38" s="135" t="s">
        <v>325</v>
      </c>
      <c r="P38" s="135" t="s">
        <v>326</v>
      </c>
      <c r="Q38" s="135" t="s">
        <v>86</v>
      </c>
      <c r="R38" s="135" t="s">
        <v>327</v>
      </c>
      <c r="S38" s="135" t="s">
        <v>328</v>
      </c>
      <c r="T38" s="135" t="s">
        <v>1</v>
      </c>
      <c r="U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Done</v>
      </c>
      <c r="V38" s="146">
        <f>IF(T38="","",VALUE(LEFT(T38,SEARCH("/",T38)-1)))</f>
        <v/>
      </c>
      <c r="W38" s="146">
        <f>IF(T38="","",VALUE(MID(T38,SEARCH("/",T38)+1,LEN(T38))))</f>
        <v/>
      </c>
    </row>
    <row r="39" customFormat="false" ht="120" hidden="false" customHeight="true" outlineLevel="0" collapsed="false">
      <c r="A39" s="135" t="s">
        <v>329</v>
      </c>
      <c r="B39" s="135" t="s">
        <v>180</v>
      </c>
      <c r="C39" s="256" t="s">
        <v>35</v>
      </c>
      <c r="D39" s="135" t="s">
        <v>309</v>
      </c>
      <c r="E39" s="135" t="s">
        <v>330</v>
      </c>
      <c r="F39" s="135" t="s">
        <v>331</v>
      </c>
      <c r="G39" s="135" t="s">
        <v>332</v>
      </c>
      <c r="H39" s="135" t="s">
        <v>185</v>
      </c>
      <c r="I39" s="135" t="s">
        <v>333</v>
      </c>
      <c r="J39" s="135" t="s">
        <v>334</v>
      </c>
      <c r="K39" s="135" t="s">
        <v>188</v>
      </c>
      <c r="L39" s="135" t="s">
        <v>1</v>
      </c>
      <c r="M39" s="135" t="s">
        <v>1</v>
      </c>
      <c r="N39" s="135" t="s">
        <v>141</v>
      </c>
      <c r="O39" s="135" t="s">
        <v>335</v>
      </c>
      <c r="P39" s="135" t="s">
        <v>336</v>
      </c>
      <c r="Q39" s="135" t="s">
        <v>86</v>
      </c>
      <c r="R39" s="135" t="s">
        <v>337</v>
      </c>
      <c r="S39" s="135" t="s">
        <v>248</v>
      </c>
      <c r="T39" s="135" t="s">
        <v>1</v>
      </c>
      <c r="U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V39" s="146">
        <f>IF(T39="","",VALUE(LEFT(T39,SEARCH("/",T39)-1)))</f>
        <v/>
      </c>
      <c r="W39" s="146">
        <f>IF(T39="","",VALUE(MID(T39,SEARCH("/",T39)+1,LEN(T39))))</f>
        <v/>
      </c>
    </row>
    <row r="40" customFormat="false" ht="105" hidden="false" customHeight="true" outlineLevel="0" collapsed="false">
      <c r="A40" s="135" t="s">
        <v>338</v>
      </c>
      <c r="B40" s="135" t="s">
        <v>180</v>
      </c>
      <c r="C40" s="256" t="s">
        <v>35</v>
      </c>
      <c r="D40" s="135" t="s">
        <v>339</v>
      </c>
      <c r="E40" s="135" t="s">
        <v>340</v>
      </c>
      <c r="F40" s="135" t="s">
        <v>341</v>
      </c>
      <c r="G40" s="135" t="s">
        <v>342</v>
      </c>
      <c r="H40" s="135" t="s">
        <v>343</v>
      </c>
      <c r="I40" s="135" t="s">
        <v>344</v>
      </c>
      <c r="J40" s="135" t="s">
        <v>345</v>
      </c>
      <c r="K40" s="135" t="s">
        <v>188</v>
      </c>
      <c r="L40" s="135" t="s">
        <v>1</v>
      </c>
      <c r="M40" s="135" t="s">
        <v>1</v>
      </c>
      <c r="N40" s="135" t="s">
        <v>141</v>
      </c>
      <c r="O40" s="135" t="s">
        <v>346</v>
      </c>
      <c r="P40" s="135" t="s">
        <v>347</v>
      </c>
      <c r="Q40" s="135" t="s">
        <v>86</v>
      </c>
      <c r="R40" s="135" t="s">
        <v>348</v>
      </c>
      <c r="S40" s="135" t="s">
        <v>328</v>
      </c>
      <c r="T40" s="135" t="s">
        <v>1</v>
      </c>
      <c r="U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V40" s="146">
        <f>IF(T40="","",VALUE(LEFT(T40,SEARCH("/",T40)-1)))</f>
        <v/>
      </c>
      <c r="W40" s="146">
        <f>IF(T40="","",VALUE(MID(T40,SEARCH("/",T40)+1,LEN(T40))))</f>
        <v/>
      </c>
    </row>
    <row r="41" customFormat="false" ht="60" hidden="false" customHeight="true" outlineLevel="0" collapsed="false">
      <c r="A41" s="135" t="s">
        <v>349</v>
      </c>
      <c r="B41" s="135" t="s">
        <v>180</v>
      </c>
      <c r="C41" s="256" t="s">
        <v>35</v>
      </c>
      <c r="D41" s="135" t="s">
        <v>350</v>
      </c>
      <c r="E41" s="135" t="s">
        <v>351</v>
      </c>
      <c r="F41" s="135" t="s">
        <v>4</v>
      </c>
      <c r="G41" s="135" t="s">
        <v>4</v>
      </c>
      <c r="H41" s="135" t="s">
        <v>4</v>
      </c>
      <c r="I41" s="135" t="s">
        <v>4</v>
      </c>
      <c r="J41" s="135" t="s">
        <v>352</v>
      </c>
      <c r="K41" s="135" t="s">
        <v>188</v>
      </c>
      <c r="L41" s="135" t="s">
        <v>1</v>
      </c>
      <c r="M41" s="135" t="s">
        <v>1</v>
      </c>
      <c r="N41" s="135" t="s">
        <v>141</v>
      </c>
      <c r="O41" s="135" t="s">
        <v>353</v>
      </c>
      <c r="P41" s="135" t="s">
        <v>354</v>
      </c>
      <c r="Q41" s="135" t="s">
        <v>86</v>
      </c>
      <c r="R41" s="135" t="s">
        <v>355</v>
      </c>
      <c r="S41" s="135" t="s">
        <v>356</v>
      </c>
      <c r="T41" s="135" t="s">
        <v>1</v>
      </c>
      <c r="U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V41" s="146">
        <f>IF(T41="","",VALUE(LEFT(T41,SEARCH("/",T41)-1)))</f>
        <v/>
      </c>
      <c r="W41" s="146">
        <f>IF(T41="","",VALUE(MID(T41,SEARCH("/",T41)+1,LEN(T41))))</f>
        <v/>
      </c>
    </row>
    <row r="42" customFormat="false" ht="60" hidden="false" customHeight="true" outlineLevel="0" collapsed="false">
      <c r="A42" s="135" t="s">
        <v>357</v>
      </c>
      <c r="B42" s="135" t="s">
        <v>180</v>
      </c>
      <c r="C42" s="256" t="s">
        <v>35</v>
      </c>
      <c r="D42" s="135" t="s">
        <v>358</v>
      </c>
      <c r="E42" s="135" t="s">
        <v>359</v>
      </c>
      <c r="F42" s="135" t="s">
        <v>360</v>
      </c>
      <c r="G42" s="135" t="s">
        <v>361</v>
      </c>
      <c r="H42" s="135" t="s">
        <v>362</v>
      </c>
      <c r="I42" s="135" t="s">
        <v>363</v>
      </c>
      <c r="J42" s="135" t="s">
        <v>364</v>
      </c>
      <c r="K42" s="135" t="s">
        <v>188</v>
      </c>
      <c r="L42" s="135" t="s">
        <v>1</v>
      </c>
      <c r="M42" s="135" t="s">
        <v>1</v>
      </c>
      <c r="N42" s="135" t="s">
        <v>141</v>
      </c>
      <c r="O42" s="135" t="s">
        <v>365</v>
      </c>
      <c r="P42" s="135" t="s">
        <v>366</v>
      </c>
      <c r="Q42" s="135" t="s">
        <v>86</v>
      </c>
      <c r="R42" s="135" t="s">
        <v>367</v>
      </c>
      <c r="S42" s="135" t="s">
        <v>248</v>
      </c>
      <c r="T42" s="135" t="s">
        <v>1</v>
      </c>
      <c r="U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V42" s="146">
        <f>IF(T42="","",VALUE(LEFT(T42,SEARCH("/",T42)-1)))</f>
        <v/>
      </c>
      <c r="W42" s="146">
        <f>IF(T42="","",VALUE(MID(T42,SEARCH("/",T42)+1,LEN(T42))))</f>
        <v/>
      </c>
    </row>
    <row r="43" customFormat="false" ht="15" hidden="false" customHeight="false" outlineLevel="0" collapsed="false">
      <c r="A43" s="135" t="s">
        <v>368</v>
      </c>
      <c r="B43" s="135" t="s">
        <v>180</v>
      </c>
      <c r="C43" s="256" t="s">
        <v>35</v>
      </c>
      <c r="D43" s="135" t="s">
        <v>369</v>
      </c>
      <c r="E43" s="135" t="s">
        <v>370</v>
      </c>
      <c r="F43" s="135" t="s">
        <v>4</v>
      </c>
      <c r="G43" s="135" t="s">
        <v>4</v>
      </c>
      <c r="H43" s="135" t="s">
        <v>4</v>
      </c>
      <c r="I43" s="135" t="s">
        <v>4</v>
      </c>
      <c r="J43" s="135" t="s">
        <v>371</v>
      </c>
      <c r="K43" s="135" t="s">
        <v>372</v>
      </c>
      <c r="L43" s="135" t="s">
        <v>1</v>
      </c>
      <c r="M43" s="135" t="s">
        <v>1</v>
      </c>
      <c r="N43" s="135" t="s">
        <v>189</v>
      </c>
      <c r="O43" s="135" t="s">
        <v>373</v>
      </c>
      <c r="P43" s="135" t="s">
        <v>374</v>
      </c>
      <c r="Q43" s="135" t="s">
        <v>86</v>
      </c>
      <c r="R43" s="135" t="s">
        <v>375</v>
      </c>
      <c r="S43" s="135" t="s">
        <v>88</v>
      </c>
      <c r="T43" s="135" t="s">
        <v>1</v>
      </c>
      <c r="U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Done</v>
      </c>
      <c r="V43" s="146">
        <f>IF(T43="","",VALUE(LEFT(T43,SEARCH("/",T43)-1)))</f>
        <v/>
      </c>
      <c r="W43" s="146">
        <f>IF(T43="","",VALUE(MID(T43,SEARCH("/",T43)+1,LEN(T43))))</f>
        <v/>
      </c>
    </row>
    <row r="44" customFormat="false" ht="15" hidden="false" customHeight="false" outlineLevel="0" collapsed="false">
      <c r="A44" s="135" t="s">
        <v>376</v>
      </c>
      <c r="B44" s="135" t="s">
        <v>180</v>
      </c>
      <c r="C44" s="256" t="s">
        <v>35</v>
      </c>
      <c r="D44" s="135" t="s">
        <v>358</v>
      </c>
      <c r="E44" s="135" t="s">
        <v>377</v>
      </c>
      <c r="F44" s="135" t="s">
        <v>378</v>
      </c>
      <c r="G44" s="135" t="s">
        <v>379</v>
      </c>
      <c r="H44" s="135" t="s">
        <v>380</v>
      </c>
      <c r="I44" s="135" t="s">
        <v>381</v>
      </c>
      <c r="J44" s="135" t="s">
        <v>382</v>
      </c>
      <c r="K44" s="135" t="s">
        <v>82</v>
      </c>
      <c r="L44" s="135" t="s">
        <v>1</v>
      </c>
      <c r="M44" s="135" t="s">
        <v>1</v>
      </c>
      <c r="N44" s="135" t="s">
        <v>189</v>
      </c>
      <c r="O44" s="135" t="s">
        <v>383</v>
      </c>
      <c r="P44" s="135" t="s">
        <v>384</v>
      </c>
      <c r="Q44" s="135" t="s">
        <v>86</v>
      </c>
      <c r="R44" s="135" t="s">
        <v>385</v>
      </c>
      <c r="S44" s="135" t="s">
        <v>88</v>
      </c>
      <c r="T44" s="135" t="s">
        <v>1</v>
      </c>
      <c r="U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Done</v>
      </c>
      <c r="V44" s="146">
        <f>IF(T44="","",VALUE(LEFT(T44,SEARCH("/",T44)-1)))</f>
        <v/>
      </c>
      <c r="W44" s="146">
        <f>IF(T44="","",VALUE(MID(T44,SEARCH("/",T44)+1,LEN(T44))))</f>
        <v/>
      </c>
    </row>
    <row r="45" customFormat="false" ht="180" hidden="false" customHeight="true" outlineLevel="0" collapsed="false">
      <c r="A45" s="135" t="s">
        <v>386</v>
      </c>
      <c r="B45" s="135" t="s">
        <v>180</v>
      </c>
      <c r="C45" s="256" t="s">
        <v>35</v>
      </c>
      <c r="D45" s="135" t="s">
        <v>387</v>
      </c>
      <c r="E45" s="135" t="s">
        <v>388</v>
      </c>
      <c r="F45" s="135" t="s">
        <v>389</v>
      </c>
      <c r="G45" s="135" t="s">
        <v>390</v>
      </c>
      <c r="H45" s="135" t="s">
        <v>391</v>
      </c>
      <c r="I45" s="135" t="s">
        <v>392</v>
      </c>
      <c r="J45" s="135" t="s">
        <v>393</v>
      </c>
      <c r="K45" s="135" t="s">
        <v>233</v>
      </c>
      <c r="L45" s="135" t="s">
        <v>1</v>
      </c>
      <c r="M45" s="135" t="s">
        <v>1</v>
      </c>
      <c r="N45" s="135" t="s">
        <v>141</v>
      </c>
      <c r="O45" s="135" t="s">
        <v>394</v>
      </c>
      <c r="P45" s="135" t="s">
        <v>395</v>
      </c>
      <c r="Q45" s="135" t="s">
        <v>86</v>
      </c>
      <c r="R45" s="135" t="s">
        <v>396</v>
      </c>
      <c r="S45" s="135" t="s">
        <v>88</v>
      </c>
      <c r="T45" s="135" t="s">
        <v>1</v>
      </c>
      <c r="U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Done</v>
      </c>
      <c r="V45" s="146">
        <f>IF(T45="","",VALUE(LEFT(T45,SEARCH("/",T45)-1)))</f>
        <v/>
      </c>
      <c r="W45" s="146">
        <f>IF(T45="","",VALUE(MID(T45,SEARCH("/",T45)+1,LEN(T45))))</f>
        <v/>
      </c>
    </row>
    <row r="46" customFormat="false" ht="180" hidden="false" customHeight="true" outlineLevel="0" collapsed="false">
      <c r="A46" s="135" t="s">
        <v>397</v>
      </c>
      <c r="B46" s="135" t="s">
        <v>180</v>
      </c>
      <c r="C46" s="256" t="s">
        <v>35</v>
      </c>
      <c r="D46" s="135" t="s">
        <v>398</v>
      </c>
      <c r="E46" s="135" t="s">
        <v>399</v>
      </c>
      <c r="F46" s="135" t="s">
        <v>400</v>
      </c>
      <c r="G46" s="135" t="s">
        <v>401</v>
      </c>
      <c r="H46" s="135" t="s">
        <v>400</v>
      </c>
      <c r="I46" s="135" t="s">
        <v>402</v>
      </c>
      <c r="J46" s="135" t="s">
        <v>403</v>
      </c>
      <c r="K46" s="135" t="s">
        <v>303</v>
      </c>
      <c r="L46" s="135" t="s">
        <v>1</v>
      </c>
      <c r="M46" s="135" t="s">
        <v>1</v>
      </c>
      <c r="N46" s="135" t="s">
        <v>141</v>
      </c>
      <c r="O46" s="135" t="s">
        <v>404</v>
      </c>
      <c r="P46" s="135" t="s">
        <v>405</v>
      </c>
      <c r="Q46" s="135" t="s">
        <v>86</v>
      </c>
      <c r="R46" s="135" t="s">
        <v>406</v>
      </c>
      <c r="S46" s="135" t="s">
        <v>111</v>
      </c>
      <c r="T46" s="135" t="s">
        <v>1</v>
      </c>
      <c r="U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V46" s="146">
        <f>IF(T46="","",VALUE(LEFT(T46,SEARCH("/",T46)-1)))</f>
        <v/>
      </c>
      <c r="W46" s="146">
        <f>IF(T46="","",VALUE(MID(T46,SEARCH("/",T46)+1,LEN(T46))))</f>
        <v/>
      </c>
    </row>
    <row r="47" customFormat="false" ht="15" hidden="false" customHeight="false" outlineLevel="0" collapsed="false">
      <c r="A47" s="135" t="s">
        <v>407</v>
      </c>
      <c r="B47" s="135" t="s">
        <v>180</v>
      </c>
      <c r="C47" s="256" t="s">
        <v>35</v>
      </c>
      <c r="D47" s="135" t="s">
        <v>408</v>
      </c>
      <c r="E47" s="135" t="s">
        <v>409</v>
      </c>
      <c r="F47" s="135" t="s">
        <v>410</v>
      </c>
      <c r="G47" s="135" t="s">
        <v>411</v>
      </c>
      <c r="H47" s="135" t="s">
        <v>362</v>
      </c>
      <c r="I47" s="135" t="s">
        <v>381</v>
      </c>
      <c r="J47" s="135" t="s">
        <v>412</v>
      </c>
      <c r="K47" s="135" t="s">
        <v>82</v>
      </c>
      <c r="L47" s="135" t="s">
        <v>1</v>
      </c>
      <c r="M47" s="135" t="s">
        <v>1</v>
      </c>
      <c r="N47" s="135" t="s">
        <v>141</v>
      </c>
      <c r="O47" s="135" t="s">
        <v>413</v>
      </c>
      <c r="P47" s="135" t="s">
        <v>414</v>
      </c>
      <c r="Q47" s="135" t="s">
        <v>86</v>
      </c>
      <c r="R47" s="135" t="s">
        <v>415</v>
      </c>
      <c r="S47" s="135" t="s">
        <v>88</v>
      </c>
      <c r="T47" s="135" t="s">
        <v>1</v>
      </c>
      <c r="U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V47" s="146">
        <f>IF(T47="","",VALUE(LEFT(T47,SEARCH("/",T47)-1)))</f>
        <v/>
      </c>
      <c r="W47" s="146">
        <f>IF(T47="","",VALUE(MID(T47,SEARCH("/",T47)+1,LEN(T47))))</f>
        <v/>
      </c>
    </row>
    <row r="48" customFormat="false" ht="15" hidden="false" customHeight="false" outlineLevel="0" collapsed="false">
      <c r="A48" s="135" t="s">
        <v>416</v>
      </c>
      <c r="B48" s="135" t="s">
        <v>180</v>
      </c>
      <c r="C48" s="256" t="s">
        <v>35</v>
      </c>
      <c r="D48" s="135" t="s">
        <v>417</v>
      </c>
      <c r="E48" s="135" t="s">
        <v>418</v>
      </c>
      <c r="F48" s="135" t="s">
        <v>4</v>
      </c>
      <c r="G48" s="135" t="s">
        <v>419</v>
      </c>
      <c r="H48" s="135" t="s">
        <v>4</v>
      </c>
      <c r="I48" s="135" t="s">
        <v>420</v>
      </c>
      <c r="J48" s="135" t="s">
        <v>421</v>
      </c>
      <c r="K48" s="135" t="s">
        <v>422</v>
      </c>
      <c r="L48" s="135" t="s">
        <v>1</v>
      </c>
      <c r="M48" s="135" t="s">
        <v>1</v>
      </c>
      <c r="N48" s="135" t="s">
        <v>423</v>
      </c>
      <c r="O48" s="135" t="s">
        <v>424</v>
      </c>
      <c r="P48" s="135" t="s">
        <v>425</v>
      </c>
      <c r="Q48" s="135" t="s">
        <v>86</v>
      </c>
      <c r="R48" s="135" t="s">
        <v>426</v>
      </c>
      <c r="S48" s="135" t="s">
        <v>214</v>
      </c>
      <c r="T48" s="135" t="s">
        <v>1</v>
      </c>
      <c r="U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V48" s="146">
        <f>IF(T48="","",VALUE(LEFT(T48,SEARCH("/",T48)-1)))</f>
        <v/>
      </c>
      <c r="W48" s="146">
        <f>IF(T48="","",VALUE(MID(T48,SEARCH("/",T48)+1,LEN(T48))))</f>
        <v/>
      </c>
    </row>
    <row r="49" customFormat="false" ht="15" hidden="false" customHeight="false" outlineLevel="0" collapsed="false">
      <c r="A49" s="135" t="s">
        <v>427</v>
      </c>
      <c r="B49" s="135" t="s">
        <v>180</v>
      </c>
      <c r="C49" s="256" t="s">
        <v>35</v>
      </c>
      <c r="D49" s="135" t="s">
        <v>417</v>
      </c>
      <c r="E49" s="135" t="s">
        <v>428</v>
      </c>
      <c r="F49" s="135" t="s">
        <v>429</v>
      </c>
      <c r="G49" s="135" t="s">
        <v>430</v>
      </c>
      <c r="H49" s="135" t="s">
        <v>431</v>
      </c>
      <c r="I49" s="135" t="s">
        <v>432</v>
      </c>
      <c r="J49" s="135" t="s">
        <v>433</v>
      </c>
      <c r="K49" s="135" t="s">
        <v>82</v>
      </c>
      <c r="L49" s="135" t="s">
        <v>1</v>
      </c>
      <c r="M49" s="135" t="s">
        <v>1</v>
      </c>
      <c r="N49" s="135" t="s">
        <v>423</v>
      </c>
      <c r="O49" s="135" t="s">
        <v>434</v>
      </c>
      <c r="P49" s="135" t="s">
        <v>435</v>
      </c>
      <c r="Q49" s="135" t="s">
        <v>86</v>
      </c>
      <c r="R49" s="135" t="s">
        <v>436</v>
      </c>
      <c r="S49" s="135" t="s">
        <v>328</v>
      </c>
      <c r="T49" s="135" t="s">
        <v>1</v>
      </c>
      <c r="U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V49" s="146">
        <f>IF(T49="","",VALUE(LEFT(T49,SEARCH("/",T49)-1)))</f>
        <v/>
      </c>
      <c r="W49" s="146">
        <f>IF(T49="","",VALUE(MID(T49,SEARCH("/",T49)+1,LEN(T49))))</f>
        <v/>
      </c>
    </row>
    <row r="50" customFormat="false" ht="15" hidden="false" customHeight="false" outlineLevel="0" collapsed="false">
      <c r="A50" s="135" t="s">
        <v>437</v>
      </c>
      <c r="B50" s="135" t="s">
        <v>180</v>
      </c>
      <c r="C50" s="256" t="s">
        <v>35</v>
      </c>
      <c r="D50" s="135" t="s">
        <v>438</v>
      </c>
      <c r="E50" s="135" t="s">
        <v>439</v>
      </c>
      <c r="F50" s="135" t="s">
        <v>4</v>
      </c>
      <c r="G50" s="135" t="s">
        <v>440</v>
      </c>
      <c r="H50" s="135" t="s">
        <v>4</v>
      </c>
      <c r="I50" s="135" t="s">
        <v>4</v>
      </c>
      <c r="J50" s="135" t="s">
        <v>441</v>
      </c>
      <c r="K50" s="135" t="s">
        <v>82</v>
      </c>
      <c r="L50" s="135" t="s">
        <v>1</v>
      </c>
      <c r="M50" s="135" t="s">
        <v>1</v>
      </c>
      <c r="N50" s="135" t="s">
        <v>423</v>
      </c>
      <c r="O50" s="135" t="s">
        <v>442</v>
      </c>
      <c r="P50" s="135" t="s">
        <v>443</v>
      </c>
      <c r="Q50" s="135" t="s">
        <v>86</v>
      </c>
      <c r="R50" s="135" t="s">
        <v>444</v>
      </c>
      <c r="S50" s="135" t="s">
        <v>282</v>
      </c>
      <c r="T50" s="135" t="s">
        <v>1</v>
      </c>
      <c r="U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V50" s="146">
        <f>IF(T50="","",VALUE(LEFT(T50,SEARCH("/",T50)-1)))</f>
        <v/>
      </c>
      <c r="W50" s="146">
        <f>IF(T50="","",VALUE(MID(T50,SEARCH("/",T50)+1,LEN(T50))))</f>
        <v/>
      </c>
    </row>
    <row r="51" customFormat="false" ht="15" hidden="false" customHeight="false" outlineLevel="0" collapsed="false">
      <c r="A51" s="135" t="s">
        <v>445</v>
      </c>
      <c r="B51" s="135" t="s">
        <v>180</v>
      </c>
      <c r="C51" s="256" t="s">
        <v>35</v>
      </c>
      <c r="D51" s="135" t="s">
        <v>446</v>
      </c>
      <c r="E51" s="135" t="s">
        <v>447</v>
      </c>
      <c r="F51" s="135" t="s">
        <v>4</v>
      </c>
      <c r="G51" s="135" t="s">
        <v>448</v>
      </c>
      <c r="H51" s="135" t="s">
        <v>4</v>
      </c>
      <c r="I51" s="135" t="s">
        <v>4</v>
      </c>
      <c r="J51" s="135" t="s">
        <v>449</v>
      </c>
      <c r="K51" s="135" t="s">
        <v>188</v>
      </c>
      <c r="L51" s="135" t="s">
        <v>1</v>
      </c>
      <c r="M51" s="135" t="s">
        <v>1</v>
      </c>
      <c r="N51" s="135" t="s">
        <v>423</v>
      </c>
      <c r="O51" s="135" t="s">
        <v>450</v>
      </c>
      <c r="P51" s="135" t="s">
        <v>451</v>
      </c>
      <c r="Q51" s="135" t="s">
        <v>86</v>
      </c>
      <c r="R51" s="135" t="s">
        <v>452</v>
      </c>
      <c r="S51" s="135" t="s">
        <v>248</v>
      </c>
      <c r="T51" s="135" t="s">
        <v>1</v>
      </c>
      <c r="U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V51" s="146">
        <f>IF(T51="","",VALUE(LEFT(T51,SEARCH("/",T51)-1)))</f>
        <v/>
      </c>
      <c r="W51" s="146">
        <f>IF(T51="","",VALUE(MID(T51,SEARCH("/",T51)+1,LEN(T51))))</f>
        <v/>
      </c>
    </row>
    <row r="52" customFormat="false" ht="15" hidden="false" customHeight="false" outlineLevel="0" collapsed="false">
      <c r="A52" s="135" t="s">
        <v>453</v>
      </c>
      <c r="B52" s="135" t="s">
        <v>180</v>
      </c>
      <c r="C52" s="256" t="s">
        <v>35</v>
      </c>
      <c r="D52" s="135" t="s">
        <v>454</v>
      </c>
      <c r="E52" s="135" t="s">
        <v>455</v>
      </c>
      <c r="F52" s="135" t="s">
        <v>4</v>
      </c>
      <c r="G52" s="135" t="s">
        <v>456</v>
      </c>
      <c r="H52" s="135" t="s">
        <v>457</v>
      </c>
      <c r="I52" s="135" t="s">
        <v>4</v>
      </c>
      <c r="J52" s="135" t="s">
        <v>458</v>
      </c>
      <c r="K52" s="135" t="s">
        <v>86</v>
      </c>
      <c r="L52" s="135" t="s">
        <v>1</v>
      </c>
      <c r="M52" s="135" t="s">
        <v>1</v>
      </c>
      <c r="N52" s="135" t="s">
        <v>423</v>
      </c>
      <c r="O52" s="135" t="s">
        <v>459</v>
      </c>
      <c r="P52" s="135" t="s">
        <v>460</v>
      </c>
      <c r="Q52" s="135" t="s">
        <v>86</v>
      </c>
      <c r="R52" s="135" t="s">
        <v>461</v>
      </c>
      <c r="S52" s="135" t="s">
        <v>248</v>
      </c>
      <c r="T52" s="135" t="s">
        <v>1</v>
      </c>
      <c r="U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V52" s="146">
        <f>IF(T52="","",VALUE(LEFT(T52,SEARCH("/",T52)-1)))</f>
        <v/>
      </c>
      <c r="W52" s="146">
        <f>IF(T52="","",VALUE(MID(T52,SEARCH("/",T52)+1,LEN(T52))))</f>
        <v/>
      </c>
    </row>
    <row r="53" customFormat="false" ht="15" hidden="false" customHeight="false" outlineLevel="0" collapsed="false">
      <c r="A53" s="135" t="s">
        <v>462</v>
      </c>
      <c r="B53" s="135" t="s">
        <v>180</v>
      </c>
      <c r="C53" s="256" t="s">
        <v>35</v>
      </c>
      <c r="D53" s="135" t="s">
        <v>454</v>
      </c>
      <c r="E53" s="135" t="s">
        <v>463</v>
      </c>
      <c r="F53" s="135" t="s">
        <v>4</v>
      </c>
      <c r="G53" s="135" t="s">
        <v>456</v>
      </c>
      <c r="H53" s="135" t="s">
        <v>4</v>
      </c>
      <c r="I53" s="135" t="s">
        <v>4</v>
      </c>
      <c r="J53" s="135" t="s">
        <v>464</v>
      </c>
      <c r="K53" s="135" t="s">
        <v>82</v>
      </c>
      <c r="L53" s="135" t="s">
        <v>1</v>
      </c>
      <c r="M53" s="135" t="s">
        <v>1</v>
      </c>
      <c r="N53" s="135" t="s">
        <v>423</v>
      </c>
      <c r="O53" s="135" t="s">
        <v>465</v>
      </c>
      <c r="P53" s="135" t="s">
        <v>466</v>
      </c>
      <c r="Q53" s="135" t="s">
        <v>86</v>
      </c>
      <c r="R53" s="135" t="s">
        <v>467</v>
      </c>
      <c r="S53" s="135" t="s">
        <v>468</v>
      </c>
      <c r="T53" s="135" t="s">
        <v>1</v>
      </c>
      <c r="U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V53" s="146">
        <f>IF(T53="","",VALUE(LEFT(T53,SEARCH("/",T53)-1)))</f>
        <v/>
      </c>
      <c r="W53" s="146">
        <f>IF(T53="","",VALUE(MID(T53,SEARCH("/",T53)+1,LEN(T53))))</f>
        <v/>
      </c>
    </row>
    <row r="54" customFormat="false" ht="15" hidden="false" customHeight="false" outlineLevel="0" collapsed="false">
      <c r="A54" s="135" t="s">
        <v>469</v>
      </c>
      <c r="B54" s="135" t="s">
        <v>180</v>
      </c>
      <c r="C54" s="256" t="s">
        <v>35</v>
      </c>
      <c r="D54" s="135" t="s">
        <v>470</v>
      </c>
      <c r="E54" s="135" t="s">
        <v>471</v>
      </c>
      <c r="F54" s="135" t="s">
        <v>472</v>
      </c>
      <c r="G54" s="135" t="s">
        <v>473</v>
      </c>
      <c r="H54" s="135" t="s">
        <v>474</v>
      </c>
      <c r="I54" s="135" t="s">
        <v>475</v>
      </c>
      <c r="J54" s="135" t="s">
        <v>476</v>
      </c>
      <c r="K54" s="135" t="s">
        <v>82</v>
      </c>
      <c r="L54" s="135" t="s">
        <v>1</v>
      </c>
      <c r="M54" s="135" t="s">
        <v>1</v>
      </c>
      <c r="N54" s="135" t="s">
        <v>477</v>
      </c>
      <c r="O54" s="135" t="s">
        <v>478</v>
      </c>
      <c r="P54" s="135" t="s">
        <v>479</v>
      </c>
      <c r="Q54" s="135" t="s">
        <v>86</v>
      </c>
      <c r="R54" s="135" t="s">
        <v>480</v>
      </c>
      <c r="S54" s="135" t="s">
        <v>88</v>
      </c>
      <c r="T54" s="135" t="s">
        <v>1</v>
      </c>
      <c r="U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V54" s="146">
        <f>IF(T54="","",VALUE(LEFT(T54,SEARCH("/",T54)-1)))</f>
        <v/>
      </c>
      <c r="W54" s="146">
        <f>IF(T54="","",VALUE(MID(T54,SEARCH("/",T54)+1,LEN(T54))))</f>
        <v/>
      </c>
    </row>
    <row r="55" customFormat="false" ht="15" hidden="false" customHeight="false" outlineLevel="0" collapsed="false">
      <c r="A55" s="135" t="s">
        <v>481</v>
      </c>
      <c r="B55" s="135" t="s">
        <v>180</v>
      </c>
      <c r="C55" s="256" t="s">
        <v>35</v>
      </c>
      <c r="D55" s="135" t="s">
        <v>482</v>
      </c>
      <c r="E55" s="135" t="s">
        <v>483</v>
      </c>
      <c r="F55" s="135" t="s">
        <v>484</v>
      </c>
      <c r="G55" s="135" t="s">
        <v>485</v>
      </c>
      <c r="H55" s="135" t="s">
        <v>185</v>
      </c>
      <c r="I55" s="135" t="s">
        <v>486</v>
      </c>
      <c r="J55" s="135" t="s">
        <v>487</v>
      </c>
      <c r="K55" s="135" t="s">
        <v>82</v>
      </c>
      <c r="L55" s="135" t="s">
        <v>1</v>
      </c>
      <c r="M55" s="135" t="s">
        <v>1</v>
      </c>
      <c r="N55" s="135" t="s">
        <v>488</v>
      </c>
      <c r="O55" s="135" t="s">
        <v>489</v>
      </c>
      <c r="P55" s="135" t="s">
        <v>490</v>
      </c>
      <c r="Q55" s="135" t="s">
        <v>86</v>
      </c>
      <c r="R55" s="135" t="s">
        <v>491</v>
      </c>
      <c r="S55" s="135" t="s">
        <v>317</v>
      </c>
      <c r="T55" s="135" t="s">
        <v>1</v>
      </c>
      <c r="U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V55" s="146">
        <f>IF(T55="","",VALUE(LEFT(T55,SEARCH("/",T55)-1)))</f>
        <v/>
      </c>
      <c r="W55" s="146">
        <f>IF(T55="","",VALUE(MID(T55,SEARCH("/",T55)+1,LEN(T55))))</f>
        <v/>
      </c>
    </row>
    <row r="56" customFormat="false" ht="15" hidden="false" customHeight="false" outlineLevel="0" collapsed="false">
      <c r="A56" s="135" t="s">
        <v>492</v>
      </c>
      <c r="B56" s="135" t="s">
        <v>180</v>
      </c>
      <c r="C56" s="256" t="s">
        <v>35</v>
      </c>
      <c r="D56" s="135" t="s">
        <v>482</v>
      </c>
      <c r="E56" s="135" t="s">
        <v>493</v>
      </c>
      <c r="F56" s="135" t="s">
        <v>4</v>
      </c>
      <c r="G56" s="135" t="s">
        <v>494</v>
      </c>
      <c r="H56" s="135" t="s">
        <v>495</v>
      </c>
      <c r="I56" s="135" t="s">
        <v>496</v>
      </c>
      <c r="J56" s="135" t="s">
        <v>497</v>
      </c>
      <c r="K56" s="135" t="s">
        <v>82</v>
      </c>
      <c r="L56" s="135" t="s">
        <v>1</v>
      </c>
      <c r="M56" s="135" t="s">
        <v>1</v>
      </c>
      <c r="N56" s="135" t="s">
        <v>488</v>
      </c>
      <c r="O56" s="135" t="s">
        <v>498</v>
      </c>
      <c r="P56" s="135" t="s">
        <v>499</v>
      </c>
      <c r="Q56" s="135" t="s">
        <v>86</v>
      </c>
      <c r="R56" s="135" t="s">
        <v>500</v>
      </c>
      <c r="S56" s="135" t="s">
        <v>88</v>
      </c>
      <c r="T56" s="135" t="s">
        <v>1</v>
      </c>
      <c r="U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Done</v>
      </c>
      <c r="V56" s="146">
        <f>IF(T56="","",VALUE(LEFT(T56,SEARCH("/",T56)-1)))</f>
        <v/>
      </c>
      <c r="W56" s="146">
        <f>IF(T56="","",VALUE(MID(T56,SEARCH("/",T56)+1,LEN(T56))))</f>
        <v/>
      </c>
    </row>
    <row r="57" customFormat="false" ht="15" hidden="false" customHeight="false" outlineLevel="0" collapsed="false">
      <c r="A57" s="135" t="s">
        <v>501</v>
      </c>
      <c r="B57" s="135" t="s">
        <v>180</v>
      </c>
      <c r="C57" s="256" t="s">
        <v>35</v>
      </c>
      <c r="D57" s="135" t="s">
        <v>502</v>
      </c>
      <c r="E57" s="135" t="s">
        <v>503</v>
      </c>
      <c r="F57" s="135" t="s">
        <v>4</v>
      </c>
      <c r="G57" s="135" t="s">
        <v>504</v>
      </c>
      <c r="H57" s="135" t="s">
        <v>4</v>
      </c>
      <c r="I57" s="135" t="s">
        <v>505</v>
      </c>
      <c r="J57" s="135" t="s">
        <v>506</v>
      </c>
      <c r="K57" s="135" t="s">
        <v>82</v>
      </c>
      <c r="L57" s="135" t="s">
        <v>1</v>
      </c>
      <c r="M57" s="135" t="s">
        <v>1</v>
      </c>
      <c r="N57" s="135" t="s">
        <v>488</v>
      </c>
      <c r="O57" s="135" t="s">
        <v>507</v>
      </c>
      <c r="P57" s="135" t="s">
        <v>508</v>
      </c>
      <c r="Q57" s="135" t="s">
        <v>86</v>
      </c>
      <c r="R57" s="135" t="s">
        <v>509</v>
      </c>
      <c r="S57" s="135" t="s">
        <v>88</v>
      </c>
      <c r="T57" s="135" t="s">
        <v>1</v>
      </c>
      <c r="U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V57" s="146">
        <f>IF(T57="","",VALUE(LEFT(T57,SEARCH("/",T57)-1)))</f>
        <v/>
      </c>
      <c r="W57" s="146">
        <f>IF(T57="","",VALUE(MID(T57,SEARCH("/",T57)+1,LEN(T57))))</f>
        <v/>
      </c>
    </row>
    <row r="58" customFormat="false" ht="15" hidden="false" customHeight="false" outlineLevel="0" collapsed="false">
      <c r="A58" s="135" t="s">
        <v>510</v>
      </c>
      <c r="B58" s="135" t="s">
        <v>180</v>
      </c>
      <c r="C58" s="256" t="s">
        <v>35</v>
      </c>
      <c r="D58" s="135" t="s">
        <v>482</v>
      </c>
      <c r="E58" s="135" t="s">
        <v>511</v>
      </c>
      <c r="F58" s="135" t="s">
        <v>512</v>
      </c>
      <c r="G58" s="135" t="s">
        <v>4</v>
      </c>
      <c r="H58" s="135" t="s">
        <v>4</v>
      </c>
      <c r="I58" s="135" t="s">
        <v>4</v>
      </c>
      <c r="J58" s="135" t="s">
        <v>513</v>
      </c>
      <c r="K58" s="135" t="s">
        <v>82</v>
      </c>
      <c r="L58" s="135" t="s">
        <v>1</v>
      </c>
      <c r="M58" s="135" t="s">
        <v>1</v>
      </c>
      <c r="N58" s="135" t="s">
        <v>488</v>
      </c>
      <c r="O58" s="135" t="s">
        <v>514</v>
      </c>
      <c r="P58" s="135" t="s">
        <v>515</v>
      </c>
      <c r="Q58" s="135" t="s">
        <v>86</v>
      </c>
      <c r="R58" s="135" t="s">
        <v>516</v>
      </c>
      <c r="S58" s="135" t="s">
        <v>111</v>
      </c>
      <c r="T58" s="135" t="s">
        <v>1</v>
      </c>
      <c r="U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V58" s="146">
        <f>IF(T58="","",VALUE(LEFT(T58,SEARCH("/",T58)-1)))</f>
        <v/>
      </c>
      <c r="W58" s="146">
        <f>IF(T58="","",VALUE(MID(T58,SEARCH("/",T58)+1,LEN(T58))))</f>
        <v/>
      </c>
    </row>
    <row r="59" customFormat="false" ht="15" hidden="false" customHeight="false" outlineLevel="0" collapsed="false">
      <c r="A59" s="135" t="s">
        <v>517</v>
      </c>
      <c r="B59" s="135" t="s">
        <v>180</v>
      </c>
      <c r="C59" s="256" t="s">
        <v>35</v>
      </c>
      <c r="D59" s="135" t="s">
        <v>518</v>
      </c>
      <c r="E59" s="135" t="s">
        <v>519</v>
      </c>
      <c r="F59" s="135" t="s">
        <v>520</v>
      </c>
      <c r="G59" s="135" t="s">
        <v>521</v>
      </c>
      <c r="H59" s="135" t="s">
        <v>522</v>
      </c>
      <c r="I59" s="135" t="s">
        <v>523</v>
      </c>
      <c r="J59" s="135" t="s">
        <v>524</v>
      </c>
      <c r="K59" s="135" t="s">
        <v>82</v>
      </c>
      <c r="L59" s="135" t="s">
        <v>1</v>
      </c>
      <c r="M59" s="135" t="s">
        <v>1</v>
      </c>
      <c r="N59" s="135" t="s">
        <v>488</v>
      </c>
      <c r="O59" s="135" t="s">
        <v>525</v>
      </c>
      <c r="P59" s="135" t="s">
        <v>526</v>
      </c>
      <c r="Q59" s="135" t="s">
        <v>86</v>
      </c>
      <c r="R59" s="135" t="s">
        <v>527</v>
      </c>
      <c r="S59" s="135" t="s">
        <v>88</v>
      </c>
      <c r="T59" s="135" t="s">
        <v>1</v>
      </c>
      <c r="U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V59" s="146">
        <f>IF(T59="","",VALUE(LEFT(T59,SEARCH("/",T59)-1)))</f>
        <v/>
      </c>
      <c r="W59" s="146">
        <f>IF(T59="","",VALUE(MID(T59,SEARCH("/",T59)+1,LEN(T59))))</f>
        <v/>
      </c>
    </row>
    <row r="60" customFormat="false" ht="180" hidden="false" customHeight="true" outlineLevel="0" collapsed="false">
      <c r="A60" s="135" t="s">
        <v>528</v>
      </c>
      <c r="B60" s="135" t="s">
        <v>180</v>
      </c>
      <c r="C60" s="256" t="s">
        <v>35</v>
      </c>
      <c r="D60" s="135" t="s">
        <v>529</v>
      </c>
      <c r="E60" s="135" t="s">
        <v>530</v>
      </c>
      <c r="F60" s="135" t="s">
        <v>531</v>
      </c>
      <c r="G60" s="135" t="s">
        <v>532</v>
      </c>
      <c r="H60" s="135" t="s">
        <v>533</v>
      </c>
      <c r="I60" s="135" t="s">
        <v>534</v>
      </c>
      <c r="J60" s="135" t="s">
        <v>535</v>
      </c>
      <c r="K60" s="135" t="s">
        <v>536</v>
      </c>
      <c r="L60" s="135" t="s">
        <v>1</v>
      </c>
      <c r="M60" s="135" t="s">
        <v>1</v>
      </c>
      <c r="N60" s="135" t="s">
        <v>537</v>
      </c>
      <c r="O60" s="135" t="s">
        <v>538</v>
      </c>
      <c r="P60" s="135" t="s">
        <v>539</v>
      </c>
      <c r="Q60" s="135" t="s">
        <v>86</v>
      </c>
      <c r="R60" s="135" t="s">
        <v>540</v>
      </c>
      <c r="S60" s="135" t="s">
        <v>88</v>
      </c>
      <c r="T60" s="135" t="s">
        <v>1</v>
      </c>
      <c r="U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V60" s="146">
        <f>IF(T60="","",VALUE(LEFT(T60,SEARCH("/",T60)-1)))</f>
        <v/>
      </c>
      <c r="W60" s="146">
        <f>IF(T60="","",VALUE(MID(T60,SEARCH("/",T60)+1,LEN(T60))))</f>
        <v/>
      </c>
    </row>
    <row r="61" customFormat="false" ht="90" hidden="false" customHeight="true" outlineLevel="0" collapsed="false">
      <c r="A61" s="135" t="s">
        <v>541</v>
      </c>
      <c r="B61" s="135" t="s">
        <v>180</v>
      </c>
      <c r="C61" s="256" t="s">
        <v>35</v>
      </c>
      <c r="D61" s="135" t="s">
        <v>542</v>
      </c>
      <c r="E61" s="135" t="s">
        <v>543</v>
      </c>
      <c r="F61" s="135" t="s">
        <v>4</v>
      </c>
      <c r="G61" s="135" t="s">
        <v>4</v>
      </c>
      <c r="H61" s="135" t="s">
        <v>544</v>
      </c>
      <c r="I61" s="135" t="s">
        <v>545</v>
      </c>
      <c r="J61" s="135" t="s">
        <v>546</v>
      </c>
      <c r="K61" s="135" t="s">
        <v>82</v>
      </c>
      <c r="L61" s="135" t="s">
        <v>1</v>
      </c>
      <c r="M61" s="135" t="s">
        <v>1</v>
      </c>
      <c r="N61" s="135" t="s">
        <v>537</v>
      </c>
      <c r="O61" s="135" t="s">
        <v>547</v>
      </c>
      <c r="P61" s="135" t="s">
        <v>548</v>
      </c>
      <c r="Q61" s="135" t="s">
        <v>86</v>
      </c>
      <c r="R61" s="135" t="s">
        <v>549</v>
      </c>
      <c r="S61" s="135" t="s">
        <v>88</v>
      </c>
      <c r="T61" s="135" t="s">
        <v>1</v>
      </c>
      <c r="U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V61" s="146">
        <f>IF(T61="","",VALUE(LEFT(T61,SEARCH("/",T61)-1)))</f>
        <v/>
      </c>
      <c r="W61" s="146">
        <f>IF(T61="","",VALUE(MID(T61,SEARCH("/",T61)+1,LEN(T61))))</f>
        <v/>
      </c>
    </row>
    <row r="62" customFormat="false" ht="180" hidden="false" customHeight="true" outlineLevel="0" collapsed="false">
      <c r="A62" s="135" t="s">
        <v>550</v>
      </c>
      <c r="B62" s="135" t="s">
        <v>180</v>
      </c>
      <c r="C62" s="256" t="s">
        <v>35</v>
      </c>
      <c r="D62" s="135" t="s">
        <v>551</v>
      </c>
      <c r="E62" s="135" t="s">
        <v>552</v>
      </c>
      <c r="F62" s="135" t="s">
        <v>553</v>
      </c>
      <c r="G62" s="135" t="s">
        <v>554</v>
      </c>
      <c r="H62" s="135" t="s">
        <v>555</v>
      </c>
      <c r="I62" s="135" t="s">
        <v>556</v>
      </c>
      <c r="J62" s="135" t="s">
        <v>557</v>
      </c>
      <c r="K62" s="135" t="s">
        <v>82</v>
      </c>
      <c r="L62" s="135" t="s">
        <v>1</v>
      </c>
      <c r="M62" s="135" t="s">
        <v>1</v>
      </c>
      <c r="N62" s="135" t="s">
        <v>537</v>
      </c>
      <c r="O62" s="135" t="s">
        <v>558</v>
      </c>
      <c r="P62" s="135" t="s">
        <v>559</v>
      </c>
      <c r="Q62" s="135" t="s">
        <v>86</v>
      </c>
      <c r="R62" s="135" t="s">
        <v>560</v>
      </c>
      <c r="S62" s="135" t="s">
        <v>88</v>
      </c>
      <c r="T62" s="135" t="s">
        <v>1</v>
      </c>
      <c r="U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V62" s="146">
        <f>IF(T62="","",VALUE(LEFT(T62,SEARCH("/",T62)-1)))</f>
        <v/>
      </c>
      <c r="W62" s="146">
        <f>IF(T62="","",VALUE(MID(T62,SEARCH("/",T62)+1,LEN(T62))))</f>
        <v/>
      </c>
    </row>
    <row r="63" customFormat="false" ht="180" hidden="false" customHeight="true" outlineLevel="0" collapsed="false">
      <c r="A63" s="135" t="s">
        <v>561</v>
      </c>
      <c r="B63" s="135" t="s">
        <v>180</v>
      </c>
      <c r="C63" s="256" t="s">
        <v>35</v>
      </c>
      <c r="D63" s="135" t="s">
        <v>562</v>
      </c>
      <c r="E63" s="135" t="s">
        <v>563</v>
      </c>
      <c r="F63" s="135" t="s">
        <v>564</v>
      </c>
      <c r="G63" s="135" t="s">
        <v>565</v>
      </c>
      <c r="H63" s="135" t="s">
        <v>566</v>
      </c>
      <c r="I63" s="135" t="s">
        <v>567</v>
      </c>
      <c r="J63" s="135" t="s">
        <v>568</v>
      </c>
      <c r="K63" s="135" t="s">
        <v>82</v>
      </c>
      <c r="L63" s="135" t="s">
        <v>1</v>
      </c>
      <c r="M63" s="135" t="s">
        <v>1</v>
      </c>
      <c r="N63" s="135" t="s">
        <v>107</v>
      </c>
      <c r="O63" s="135" t="s">
        <v>569</v>
      </c>
      <c r="P63" s="135" t="s">
        <v>570</v>
      </c>
      <c r="Q63" s="135" t="s">
        <v>86</v>
      </c>
      <c r="R63" s="135" t="s">
        <v>571</v>
      </c>
      <c r="S63" s="135" t="s">
        <v>88</v>
      </c>
      <c r="T63" s="135" t="s">
        <v>1</v>
      </c>
      <c r="U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V63" s="146">
        <f>IF(T63="","",VALUE(LEFT(T63,SEARCH("/",T63)-1)))</f>
        <v/>
      </c>
      <c r="W63" s="146">
        <f>IF(T63="","",VALUE(MID(T63,SEARCH("/",T63)+1,LEN(T63))))</f>
        <v/>
      </c>
    </row>
    <row r="64" customFormat="false" ht="135" hidden="false" customHeight="true" outlineLevel="0" collapsed="false">
      <c r="A64" s="135" t="s">
        <v>572</v>
      </c>
      <c r="B64" s="135" t="s">
        <v>180</v>
      </c>
      <c r="C64" s="256" t="s">
        <v>35</v>
      </c>
      <c r="D64" s="135" t="s">
        <v>573</v>
      </c>
      <c r="E64" s="135" t="s">
        <v>574</v>
      </c>
      <c r="F64" s="135" t="s">
        <v>4</v>
      </c>
      <c r="G64" s="135" t="s">
        <v>575</v>
      </c>
      <c r="H64" s="135" t="s">
        <v>4</v>
      </c>
      <c r="I64" s="135" t="s">
        <v>576</v>
      </c>
      <c r="J64" s="135" t="s">
        <v>577</v>
      </c>
      <c r="K64" s="135" t="s">
        <v>82</v>
      </c>
      <c r="L64" s="135" t="s">
        <v>1</v>
      </c>
      <c r="M64" s="135" t="s">
        <v>1</v>
      </c>
      <c r="N64" s="135" t="s">
        <v>107</v>
      </c>
      <c r="O64" s="135" t="s">
        <v>578</v>
      </c>
      <c r="P64" s="135" t="s">
        <v>579</v>
      </c>
      <c r="Q64" s="135" t="s">
        <v>86</v>
      </c>
      <c r="R64" s="135" t="s">
        <v>580</v>
      </c>
      <c r="S64" s="135" t="s">
        <v>88</v>
      </c>
      <c r="T64" s="135" t="s">
        <v>1</v>
      </c>
      <c r="U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V64" s="146">
        <f>IF(T64="","",VALUE(LEFT(T64,SEARCH("/",T64)-1)))</f>
        <v/>
      </c>
      <c r="W64" s="146">
        <f>IF(T64="","",VALUE(MID(T64,SEARCH("/",T64)+1,LEN(T64))))</f>
        <v/>
      </c>
    </row>
    <row r="65" customFormat="false" ht="15" hidden="false" customHeight="false" outlineLevel="0" collapsed="false">
      <c r="A65" s="135" t="s">
        <v>581</v>
      </c>
      <c r="B65" s="135" t="s">
        <v>180</v>
      </c>
      <c r="C65" s="256" t="s">
        <v>35</v>
      </c>
      <c r="D65" s="135" t="s">
        <v>582</v>
      </c>
      <c r="E65" s="135" t="s">
        <v>583</v>
      </c>
      <c r="F65" s="135" t="s">
        <v>4</v>
      </c>
      <c r="G65" s="135" t="s">
        <v>584</v>
      </c>
      <c r="H65" s="135" t="s">
        <v>4</v>
      </c>
      <c r="I65" s="135" t="s">
        <v>585</v>
      </c>
      <c r="J65" s="135" t="s">
        <v>586</v>
      </c>
      <c r="K65" s="135" t="s">
        <v>82</v>
      </c>
      <c r="L65" s="135" t="s">
        <v>1</v>
      </c>
      <c r="M65" s="135" t="s">
        <v>1</v>
      </c>
      <c r="N65" s="135" t="s">
        <v>488</v>
      </c>
      <c r="O65" s="135" t="s">
        <v>587</v>
      </c>
      <c r="P65" s="135" t="s">
        <v>588</v>
      </c>
      <c r="Q65" s="135" t="s">
        <v>86</v>
      </c>
      <c r="R65" s="135" t="s">
        <v>589</v>
      </c>
      <c r="S65" s="135" t="s">
        <v>88</v>
      </c>
      <c r="T65" s="135" t="s">
        <v>1</v>
      </c>
      <c r="U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V65" s="146">
        <f>IF(T65="","",VALUE(LEFT(T65,SEARCH("/",T65)-1)))</f>
        <v/>
      </c>
      <c r="W65" s="146">
        <f>IF(T65="","",VALUE(MID(T65,SEARCH("/",T65)+1,LEN(T65))))</f>
        <v/>
      </c>
    </row>
    <row r="66" customFormat="false" ht="15" hidden="false" customHeight="false" outlineLevel="0" collapsed="false">
      <c r="A66" s="135" t="s">
        <v>590</v>
      </c>
      <c r="B66" s="135" t="s">
        <v>591</v>
      </c>
      <c r="C66" s="256" t="s">
        <v>35</v>
      </c>
      <c r="D66" s="135" t="s">
        <v>592</v>
      </c>
      <c r="E66" s="135" t="s">
        <v>593</v>
      </c>
      <c r="F66" s="135" t="s">
        <v>594</v>
      </c>
      <c r="G66" s="135" t="s">
        <v>595</v>
      </c>
      <c r="H66" s="135" t="s">
        <v>596</v>
      </c>
      <c r="I66" s="135" t="s">
        <v>597</v>
      </c>
      <c r="J66" s="135" t="s">
        <v>598</v>
      </c>
      <c r="K66" s="135" t="s">
        <v>82</v>
      </c>
      <c r="L66" s="135" t="s">
        <v>1</v>
      </c>
      <c r="M66" s="135" t="s">
        <v>1</v>
      </c>
      <c r="N66" s="135" t="s">
        <v>107</v>
      </c>
      <c r="O66" s="135" t="s">
        <v>599</v>
      </c>
      <c r="P66" s="135" t="s">
        <v>600</v>
      </c>
      <c r="Q66" s="135" t="s">
        <v>86</v>
      </c>
      <c r="R66" s="135" t="s">
        <v>601</v>
      </c>
      <c r="S66" s="135" t="s">
        <v>88</v>
      </c>
      <c r="T66" s="135" t="s">
        <v>1</v>
      </c>
      <c r="U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V66" s="146">
        <f>IF(T66="","",VALUE(LEFT(T66,SEARCH("/",T66)-1)))</f>
        <v/>
      </c>
      <c r="W66" s="146">
        <f>IF(T66="","",VALUE(MID(T66,SEARCH("/",T66)+1,LEN(T66))))</f>
        <v/>
      </c>
    </row>
    <row r="67" customFormat="false" ht="15" hidden="false" customHeight="false" outlineLevel="0" collapsed="false">
      <c r="A67" s="135" t="s">
        <v>602</v>
      </c>
      <c r="B67" s="135" t="s">
        <v>180</v>
      </c>
      <c r="C67" s="256" t="s">
        <v>35</v>
      </c>
      <c r="D67" s="135" t="s">
        <v>603</v>
      </c>
      <c r="E67" s="135" t="s">
        <v>604</v>
      </c>
      <c r="F67" s="135" t="s">
        <v>4</v>
      </c>
      <c r="G67" s="135" t="s">
        <v>605</v>
      </c>
      <c r="H67" s="135" t="s">
        <v>4</v>
      </c>
      <c r="I67" s="135" t="s">
        <v>606</v>
      </c>
      <c r="J67" s="135" t="s">
        <v>607</v>
      </c>
      <c r="K67" s="135" t="s">
        <v>82</v>
      </c>
      <c r="L67" s="135" t="s">
        <v>1</v>
      </c>
      <c r="M67" s="135" t="s">
        <v>1</v>
      </c>
      <c r="N67" s="135" t="s">
        <v>488</v>
      </c>
      <c r="O67" s="135" t="s">
        <v>608</v>
      </c>
      <c r="P67" s="135" t="s">
        <v>609</v>
      </c>
      <c r="Q67" s="135" t="s">
        <v>86</v>
      </c>
      <c r="R67" s="135" t="s">
        <v>610</v>
      </c>
      <c r="S67" s="135" t="s">
        <v>88</v>
      </c>
      <c r="T67" s="135" t="s">
        <v>1</v>
      </c>
      <c r="U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V67" s="146">
        <f>IF(T67="","",VALUE(LEFT(T67,SEARCH("/",T67)-1)))</f>
        <v/>
      </c>
      <c r="W67" s="146">
        <f>IF(T67="","",VALUE(MID(T67,SEARCH("/",T67)+1,LEN(T67))))</f>
        <v/>
      </c>
    </row>
    <row r="68" customFormat="false" ht="15" hidden="false" customHeight="false" outlineLevel="0" collapsed="false">
      <c r="A68" s="135" t="s">
        <v>611</v>
      </c>
      <c r="B68" s="135" t="s">
        <v>591</v>
      </c>
      <c r="C68" s="256" t="s">
        <v>35</v>
      </c>
      <c r="D68" s="135" t="s">
        <v>612</v>
      </c>
      <c r="E68" s="135" t="s">
        <v>613</v>
      </c>
      <c r="F68" s="135" t="s">
        <v>4</v>
      </c>
      <c r="G68" s="135" t="s">
        <v>614</v>
      </c>
      <c r="H68" s="135" t="s">
        <v>4</v>
      </c>
      <c r="I68" s="135" t="s">
        <v>615</v>
      </c>
      <c r="J68" s="135" t="s">
        <v>616</v>
      </c>
      <c r="K68" s="135" t="s">
        <v>82</v>
      </c>
      <c r="L68" s="135" t="s">
        <v>1</v>
      </c>
      <c r="M68" s="135" t="s">
        <v>1</v>
      </c>
      <c r="N68" s="135" t="s">
        <v>488</v>
      </c>
      <c r="O68" s="135" t="s">
        <v>617</v>
      </c>
      <c r="P68" s="135" t="s">
        <v>618</v>
      </c>
      <c r="Q68" s="135" t="s">
        <v>86</v>
      </c>
      <c r="R68" s="135" t="s">
        <v>619</v>
      </c>
      <c r="S68" s="135" t="s">
        <v>88</v>
      </c>
      <c r="T68" s="135" t="s">
        <v>1</v>
      </c>
      <c r="U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V68" s="146">
        <f>IF(T68="","",VALUE(LEFT(T68,SEARCH("/",T68)-1)))</f>
        <v/>
      </c>
      <c r="W68" s="146">
        <f>IF(T68="","",VALUE(MID(T68,SEARCH("/",T68)+1,LEN(T68))))</f>
        <v/>
      </c>
    </row>
    <row r="69" customFormat="false" ht="15" hidden="false" customHeight="false" outlineLevel="0" collapsed="false">
      <c r="A69" s="135" t="s">
        <v>620</v>
      </c>
      <c r="B69" s="135" t="s">
        <v>591</v>
      </c>
      <c r="C69" s="256" t="s">
        <v>35</v>
      </c>
      <c r="D69" s="135" t="s">
        <v>621</v>
      </c>
      <c r="E69" s="135" t="s">
        <v>622</v>
      </c>
      <c r="F69" s="135" t="s">
        <v>4</v>
      </c>
      <c r="G69" s="135" t="s">
        <v>623</v>
      </c>
      <c r="H69" s="135" t="s">
        <v>4</v>
      </c>
      <c r="I69" s="135" t="s">
        <v>624</v>
      </c>
      <c r="J69" s="135" t="s">
        <v>625</v>
      </c>
      <c r="K69" s="135" t="s">
        <v>86</v>
      </c>
      <c r="L69" s="135" t="s">
        <v>1</v>
      </c>
      <c r="M69" s="135" t="s">
        <v>1</v>
      </c>
      <c r="N69" s="135" t="s">
        <v>488</v>
      </c>
      <c r="O69" s="135" t="s">
        <v>626</v>
      </c>
      <c r="P69" s="135" t="s">
        <v>627</v>
      </c>
      <c r="Q69" s="135" t="s">
        <v>82</v>
      </c>
      <c r="R69" s="135" t="s">
        <v>628</v>
      </c>
      <c r="S69" s="135" t="s">
        <v>88</v>
      </c>
      <c r="T69" s="135" t="s">
        <v>1</v>
      </c>
      <c r="U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V69" s="146">
        <f>IF(T69="","",VALUE(LEFT(T69,SEARCH("/",T69)-1)))</f>
        <v/>
      </c>
      <c r="W69" s="146">
        <f>IF(T69="","",VALUE(MID(T69,SEARCH("/",T69)+1,LEN(T69))))</f>
        <v/>
      </c>
    </row>
    <row r="70" customFormat="false" ht="15" hidden="false" customHeight="false" outlineLevel="0" collapsed="false">
      <c r="A70" s="135" t="s">
        <v>629</v>
      </c>
      <c r="B70" s="135" t="s">
        <v>630</v>
      </c>
      <c r="C70" s="256" t="s">
        <v>35</v>
      </c>
      <c r="D70" s="135" t="s">
        <v>181</v>
      </c>
      <c r="E70" s="135" t="s">
        <v>631</v>
      </c>
      <c r="F70" s="135" t="s">
        <v>4</v>
      </c>
      <c r="G70" s="135" t="s">
        <v>4</v>
      </c>
      <c r="H70" s="135" t="s">
        <v>4</v>
      </c>
      <c r="I70" s="135" t="s">
        <v>4</v>
      </c>
      <c r="J70" s="135" t="s">
        <v>632</v>
      </c>
      <c r="K70" s="135" t="s">
        <v>633</v>
      </c>
      <c r="L70" s="135" t="s">
        <v>1</v>
      </c>
      <c r="M70" s="135" t="s">
        <v>1</v>
      </c>
      <c r="N70" s="135" t="s">
        <v>423</v>
      </c>
      <c r="O70" s="135" t="s">
        <v>634</v>
      </c>
      <c r="P70" s="135" t="s">
        <v>635</v>
      </c>
      <c r="Q70" s="135" t="s">
        <v>86</v>
      </c>
      <c r="R70" s="135" t="s">
        <v>636</v>
      </c>
      <c r="S70" s="135" t="s">
        <v>328</v>
      </c>
      <c r="T70" s="135" t="s">
        <v>1</v>
      </c>
      <c r="U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V70" s="146">
        <f>IF(T70="","",VALUE(LEFT(T70,SEARCH("/",T70)-1)))</f>
        <v/>
      </c>
      <c r="W70" s="146">
        <f>IF(T70="","",VALUE(MID(T70,SEARCH("/",T70)+1,LEN(T70))))</f>
        <v/>
      </c>
    </row>
    <row r="71" customFormat="false" ht="15" hidden="false" customHeight="false" outlineLevel="0" collapsed="false">
      <c r="A71" s="135" t="s">
        <v>637</v>
      </c>
      <c r="B71" s="135" t="s">
        <v>155</v>
      </c>
      <c r="C71" s="256" t="s">
        <v>35</v>
      </c>
      <c r="D71" s="135" t="s">
        <v>638</v>
      </c>
      <c r="E71" s="135" t="s">
        <v>639</v>
      </c>
      <c r="F71" s="135" t="s">
        <v>4</v>
      </c>
      <c r="G71" s="135" t="s">
        <v>640</v>
      </c>
      <c r="H71" s="135" t="s">
        <v>4</v>
      </c>
      <c r="I71" s="135" t="s">
        <v>641</v>
      </c>
      <c r="J71" s="135" t="s">
        <v>642</v>
      </c>
      <c r="K71" s="135" t="s">
        <v>162</v>
      </c>
      <c r="L71" s="135" t="s">
        <v>1</v>
      </c>
      <c r="M71" s="135" t="s">
        <v>1</v>
      </c>
      <c r="N71" s="135" t="s">
        <v>304</v>
      </c>
      <c r="O71" s="135" t="s">
        <v>643</v>
      </c>
      <c r="P71" s="135" t="s">
        <v>644</v>
      </c>
      <c r="Q71" s="135" t="s">
        <v>86</v>
      </c>
      <c r="R71" s="135" t="s">
        <v>645</v>
      </c>
      <c r="S71" s="135" t="s">
        <v>646</v>
      </c>
      <c r="T71" s="135" t="s">
        <v>1</v>
      </c>
      <c r="U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V71" s="146">
        <f>IF(T71="","",VALUE(LEFT(T71,SEARCH("/",T71)-1)))</f>
        <v/>
      </c>
      <c r="W71" s="146">
        <f>IF(T71="","",VALUE(MID(T71,SEARCH("/",T71)+1,LEN(T71))))</f>
        <v/>
      </c>
    </row>
    <row r="72" customFormat="false" ht="15" hidden="false" customHeight="false" outlineLevel="0" collapsed="false">
      <c r="A72" s="135" t="s">
        <v>647</v>
      </c>
      <c r="B72" s="135" t="s">
        <v>169</v>
      </c>
      <c r="C72" s="256" t="s">
        <v>35</v>
      </c>
      <c r="D72" s="135" t="s">
        <v>648</v>
      </c>
      <c r="E72" s="135" t="s">
        <v>649</v>
      </c>
      <c r="F72" s="135" t="s">
        <v>650</v>
      </c>
      <c r="G72" s="135" t="s">
        <v>651</v>
      </c>
      <c r="H72" s="135" t="s">
        <v>652</v>
      </c>
      <c r="I72" s="135" t="s">
        <v>8</v>
      </c>
      <c r="J72" s="135" t="s">
        <v>653</v>
      </c>
      <c r="K72" s="135" t="s">
        <v>188</v>
      </c>
      <c r="L72" s="135" t="s">
        <v>1</v>
      </c>
      <c r="M72" s="135" t="s">
        <v>1</v>
      </c>
      <c r="N72" s="135" t="s">
        <v>189</v>
      </c>
      <c r="O72" s="135" t="s">
        <v>654</v>
      </c>
      <c r="P72" s="135" t="s">
        <v>655</v>
      </c>
      <c r="Q72" s="135" t="s">
        <v>86</v>
      </c>
      <c r="R72" s="135" t="s">
        <v>656</v>
      </c>
      <c r="S72" s="135" t="s">
        <v>657</v>
      </c>
      <c r="T72" s="135" t="s">
        <v>1</v>
      </c>
      <c r="U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V72" s="146">
        <f>IF(T72="","",VALUE(LEFT(T72,SEARCH("/",T72)-1)))</f>
        <v/>
      </c>
      <c r="W72" s="146">
        <f>IF(T72="","",VALUE(MID(T72,SEARCH("/",T72)+1,LEN(T72))))</f>
        <v/>
      </c>
    </row>
    <row r="73" customFormat="false" ht="15" hidden="false" customHeight="false" outlineLevel="0" collapsed="false">
      <c r="A73" s="135" t="s">
        <v>658</v>
      </c>
      <c r="B73" s="135" t="s">
        <v>659</v>
      </c>
      <c r="C73" s="256" t="s">
        <v>35</v>
      </c>
      <c r="D73" s="135" t="s">
        <v>58</v>
      </c>
      <c r="E73" s="135" t="s">
        <v>660</v>
      </c>
      <c r="F73" s="135" t="s">
        <v>661</v>
      </c>
      <c r="G73" s="135" t="s">
        <v>662</v>
      </c>
      <c r="H73" s="135" t="s">
        <v>652</v>
      </c>
      <c r="I73" s="135" t="s">
        <v>663</v>
      </c>
      <c r="J73" s="135" t="s">
        <v>664</v>
      </c>
      <c r="K73" s="135" t="s">
        <v>188</v>
      </c>
      <c r="L73" s="135" t="s">
        <v>1</v>
      </c>
      <c r="M73" s="135" t="s">
        <v>1</v>
      </c>
      <c r="N73" s="135" t="s">
        <v>189</v>
      </c>
      <c r="O73" s="135" t="s">
        <v>665</v>
      </c>
      <c r="P73" s="135" t="s">
        <v>666</v>
      </c>
      <c r="Q73" s="135" t="s">
        <v>86</v>
      </c>
      <c r="R73" s="135" t="s">
        <v>667</v>
      </c>
      <c r="S73" s="135" t="s">
        <v>356</v>
      </c>
      <c r="T73" s="135" t="s">
        <v>1</v>
      </c>
      <c r="U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V73" s="146">
        <f>IF(T73="","",VALUE(LEFT(T73,SEARCH("/",T73)-1)))</f>
        <v/>
      </c>
      <c r="W73" s="146">
        <f>IF(T73="","",VALUE(MID(T73,SEARCH("/",T73)+1,LEN(T73))))</f>
        <v/>
      </c>
    </row>
    <row r="74" customFormat="false" ht="15" hidden="false" customHeight="false" outlineLevel="0" collapsed="false">
      <c r="A74" s="135" t="s">
        <v>668</v>
      </c>
      <c r="B74" s="135" t="s">
        <v>180</v>
      </c>
      <c r="C74" s="256" t="s">
        <v>35</v>
      </c>
      <c r="D74" s="135" t="s">
        <v>669</v>
      </c>
      <c r="E74" s="135" t="s">
        <v>670</v>
      </c>
      <c r="F74" s="135" t="s">
        <v>671</v>
      </c>
      <c r="G74" s="135" t="s">
        <v>672</v>
      </c>
      <c r="H74" s="135" t="s">
        <v>4</v>
      </c>
      <c r="I74" s="135" t="s">
        <v>673</v>
      </c>
      <c r="J74" s="135" t="s">
        <v>674</v>
      </c>
      <c r="K74" s="135" t="s">
        <v>82</v>
      </c>
      <c r="L74" s="135" t="s">
        <v>86</v>
      </c>
      <c r="M74" s="135" t="s">
        <v>675</v>
      </c>
      <c r="N74" s="135" t="s">
        <v>477</v>
      </c>
      <c r="O74" s="135" t="s">
        <v>676</v>
      </c>
      <c r="P74" s="135" t="s">
        <v>677</v>
      </c>
      <c r="Q74" s="135" t="s">
        <v>86</v>
      </c>
      <c r="R74" s="135" t="s">
        <v>678</v>
      </c>
      <c r="S74" s="135" t="s">
        <v>88</v>
      </c>
      <c r="T74" s="135" t="s">
        <v>1</v>
      </c>
      <c r="U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V74" s="146">
        <f>IF(T74="","",VALUE(LEFT(T74,SEARCH("/",T74)-1)))</f>
        <v/>
      </c>
      <c r="W74" s="146">
        <f>IF(T74="","",VALUE(MID(T74,SEARCH("/",T74)+1,LEN(T74))))</f>
        <v/>
      </c>
    </row>
    <row r="75" customFormat="false" ht="15" hidden="false" customHeight="false" outlineLevel="0" collapsed="false">
      <c r="A75" s="135" t="s">
        <v>679</v>
      </c>
      <c r="B75" s="135" t="s">
        <v>180</v>
      </c>
      <c r="C75" s="257" t="s">
        <v>40</v>
      </c>
      <c r="D75" s="135" t="s">
        <v>40</v>
      </c>
      <c r="E75" s="135" t="s">
        <v>680</v>
      </c>
      <c r="F75" s="135" t="s">
        <v>681</v>
      </c>
      <c r="G75" s="135" t="s">
        <v>682</v>
      </c>
      <c r="H75" s="135" t="s">
        <v>522</v>
      </c>
      <c r="I75" s="135" t="s">
        <v>683</v>
      </c>
      <c r="J75" s="135" t="s">
        <v>684</v>
      </c>
      <c r="K75" s="135" t="s">
        <v>685</v>
      </c>
      <c r="L75" s="135" t="s">
        <v>1</v>
      </c>
      <c r="M75" s="135" t="s">
        <v>1</v>
      </c>
      <c r="N75" s="135" t="s">
        <v>150</v>
      </c>
      <c r="O75" s="135" t="s">
        <v>686</v>
      </c>
      <c r="P75" s="135" t="s">
        <v>687</v>
      </c>
      <c r="Q75" s="135" t="s">
        <v>86</v>
      </c>
      <c r="R75" s="135" t="s">
        <v>688</v>
      </c>
      <c r="S75" s="135" t="s">
        <v>214</v>
      </c>
      <c r="T75" s="135" t="s">
        <v>1</v>
      </c>
      <c r="U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V75" s="146">
        <f>IF(T75="","",VALUE(LEFT(T75,SEARCH("/",T75)-1)))</f>
        <v/>
      </c>
      <c r="W75" s="146">
        <f>IF(T75="","",VALUE(MID(T75,SEARCH("/",T75)+1,LEN(T75))))</f>
        <v/>
      </c>
    </row>
    <row r="76" customFormat="false" ht="15" hidden="false" customHeight="false" outlineLevel="0" collapsed="false">
      <c r="A76" s="135" t="s">
        <v>689</v>
      </c>
      <c r="B76" s="135" t="s">
        <v>180</v>
      </c>
      <c r="C76" s="257" t="s">
        <v>40</v>
      </c>
      <c r="D76" s="135" t="s">
        <v>40</v>
      </c>
      <c r="E76" s="135" t="s">
        <v>690</v>
      </c>
      <c r="F76" s="135" t="s">
        <v>240</v>
      </c>
      <c r="G76" s="135" t="s">
        <v>691</v>
      </c>
      <c r="H76" s="135" t="s">
        <v>692</v>
      </c>
      <c r="I76" s="135" t="s">
        <v>693</v>
      </c>
      <c r="J76" s="135" t="s">
        <v>694</v>
      </c>
      <c r="K76" s="135" t="s">
        <v>82</v>
      </c>
      <c r="L76" s="135" t="s">
        <v>1</v>
      </c>
      <c r="M76" s="135" t="s">
        <v>1</v>
      </c>
      <c r="N76" s="135" t="s">
        <v>150</v>
      </c>
      <c r="O76" s="135" t="s">
        <v>695</v>
      </c>
      <c r="P76" s="135" t="s">
        <v>696</v>
      </c>
      <c r="Q76" s="135" t="s">
        <v>86</v>
      </c>
      <c r="R76" s="135" t="s">
        <v>697</v>
      </c>
      <c r="S76" s="135" t="s">
        <v>328</v>
      </c>
      <c r="T76" s="135" t="s">
        <v>1</v>
      </c>
      <c r="U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V76" s="146">
        <f>IF(T76="","",VALUE(LEFT(T76,SEARCH("/",T76)-1)))</f>
        <v/>
      </c>
      <c r="W76" s="146">
        <f>IF(T76="","",VALUE(MID(T76,SEARCH("/",T76)+1,LEN(T76))))</f>
        <v/>
      </c>
    </row>
    <row r="77" customFormat="false" ht="15" hidden="false" customHeight="false" outlineLevel="0" collapsed="false">
      <c r="A77" s="135" t="s">
        <v>698</v>
      </c>
      <c r="B77" s="135" t="s">
        <v>180</v>
      </c>
      <c r="C77" s="257" t="s">
        <v>40</v>
      </c>
      <c r="D77" s="135" t="s">
        <v>40</v>
      </c>
      <c r="E77" s="135" t="s">
        <v>699</v>
      </c>
      <c r="F77" s="135" t="s">
        <v>700</v>
      </c>
      <c r="G77" s="135" t="s">
        <v>701</v>
      </c>
      <c r="H77" s="135" t="s">
        <v>702</v>
      </c>
      <c r="I77" s="135" t="s">
        <v>703</v>
      </c>
      <c r="J77" s="135" t="s">
        <v>704</v>
      </c>
      <c r="K77" s="135" t="s">
        <v>82</v>
      </c>
      <c r="L77" s="135" t="s">
        <v>1</v>
      </c>
      <c r="M77" s="135" t="s">
        <v>1</v>
      </c>
      <c r="N77" s="135" t="s">
        <v>150</v>
      </c>
      <c r="O77" s="135" t="s">
        <v>705</v>
      </c>
      <c r="P77" s="135" t="s">
        <v>706</v>
      </c>
      <c r="Q77" s="135" t="s">
        <v>86</v>
      </c>
      <c r="R77" s="135" t="s">
        <v>707</v>
      </c>
      <c r="S77" s="135" t="s">
        <v>111</v>
      </c>
      <c r="T77" s="135" t="s">
        <v>1</v>
      </c>
      <c r="U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V77" s="146">
        <f>IF(T77="","",VALUE(LEFT(T77,SEARCH("/",T77)-1)))</f>
        <v/>
      </c>
      <c r="W77" s="146">
        <f>IF(T77="","",VALUE(MID(T77,SEARCH("/",T77)+1,LEN(T77))))</f>
        <v/>
      </c>
    </row>
    <row r="78" customFormat="false" ht="75" hidden="false" customHeight="true" outlineLevel="0" collapsed="false">
      <c r="A78" s="135" t="s">
        <v>708</v>
      </c>
      <c r="B78" s="135" t="s">
        <v>709</v>
      </c>
      <c r="C78" s="257" t="s">
        <v>40</v>
      </c>
      <c r="D78" s="135" t="s">
        <v>710</v>
      </c>
      <c r="E78" s="135" t="s">
        <v>711</v>
      </c>
      <c r="F78" s="135" t="s">
        <v>712</v>
      </c>
      <c r="G78" s="135" t="s">
        <v>713</v>
      </c>
      <c r="H78" s="135" t="s">
        <v>4</v>
      </c>
      <c r="I78" s="135" t="s">
        <v>714</v>
      </c>
      <c r="J78" s="135" t="s">
        <v>715</v>
      </c>
      <c r="K78" s="135" t="s">
        <v>82</v>
      </c>
      <c r="L78" s="135" t="s">
        <v>1</v>
      </c>
      <c r="M78" s="135" t="s">
        <v>1</v>
      </c>
      <c r="N78" s="135" t="s">
        <v>716</v>
      </c>
      <c r="O78" s="135" t="s">
        <v>717</v>
      </c>
      <c r="P78" s="135" t="s">
        <v>718</v>
      </c>
      <c r="Q78" s="135" t="s">
        <v>86</v>
      </c>
      <c r="R78" s="135" t="s">
        <v>719</v>
      </c>
      <c r="S78" s="135" t="s">
        <v>273</v>
      </c>
      <c r="T78" s="135" t="s">
        <v>1</v>
      </c>
      <c r="U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Done</v>
      </c>
      <c r="V78" s="146">
        <f>IF(T78="","",VALUE(LEFT(T78,SEARCH("/",T78)-1)))</f>
        <v/>
      </c>
      <c r="W78" s="146">
        <f>IF(T78="","",VALUE(MID(T78,SEARCH("/",T78)+1,LEN(T78))))</f>
        <v/>
      </c>
    </row>
    <row r="79" customFormat="false" ht="15" hidden="false" customHeight="false" outlineLevel="0" collapsed="false">
      <c r="A79" s="135" t="s">
        <v>720</v>
      </c>
      <c r="B79" s="135" t="s">
        <v>709</v>
      </c>
      <c r="C79" s="257" t="s">
        <v>40</v>
      </c>
      <c r="D79" s="135" t="s">
        <v>721</v>
      </c>
      <c r="E79" s="135" t="s">
        <v>722</v>
      </c>
      <c r="F79" s="135" t="s">
        <v>723</v>
      </c>
      <c r="G79" s="135" t="s">
        <v>724</v>
      </c>
      <c r="H79" s="135" t="s">
        <v>4</v>
      </c>
      <c r="I79" s="135" t="s">
        <v>4</v>
      </c>
      <c r="J79" s="135" t="s">
        <v>725</v>
      </c>
      <c r="K79" s="135" t="s">
        <v>82</v>
      </c>
      <c r="L79" s="135" t="s">
        <v>1</v>
      </c>
      <c r="M79" s="135" t="s">
        <v>1</v>
      </c>
      <c r="N79" s="135" t="s">
        <v>716</v>
      </c>
      <c r="O79" s="135" t="s">
        <v>726</v>
      </c>
      <c r="P79" s="135" t="s">
        <v>727</v>
      </c>
      <c r="Q79" s="135" t="s">
        <v>86</v>
      </c>
      <c r="R79" s="135" t="s">
        <v>728</v>
      </c>
      <c r="S79" s="135" t="s">
        <v>111</v>
      </c>
      <c r="T79" s="135" t="s">
        <v>1</v>
      </c>
      <c r="U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Done</v>
      </c>
      <c r="V79" s="146">
        <f>IF(T79="","",VALUE(LEFT(T79,SEARCH("/",T79)-1)))</f>
        <v/>
      </c>
      <c r="W79" s="146">
        <f>IF(T79="","",VALUE(MID(T79,SEARCH("/",T79)+1,LEN(T79))))</f>
        <v/>
      </c>
    </row>
    <row r="80" customFormat="false" ht="15" hidden="false" customHeight="false" outlineLevel="0" collapsed="false">
      <c r="A80" s="135" t="s">
        <v>729</v>
      </c>
      <c r="B80" s="135" t="s">
        <v>709</v>
      </c>
      <c r="C80" s="257" t="s">
        <v>40</v>
      </c>
      <c r="D80" s="135" t="s">
        <v>730</v>
      </c>
      <c r="E80" s="135" t="s">
        <v>731</v>
      </c>
      <c r="F80" s="135" t="s">
        <v>732</v>
      </c>
      <c r="G80" s="135" t="s">
        <v>733</v>
      </c>
      <c r="H80" s="135" t="s">
        <v>4</v>
      </c>
      <c r="I80" s="135" t="s">
        <v>4</v>
      </c>
      <c r="J80" s="135" t="s">
        <v>734</v>
      </c>
      <c r="K80" s="135" t="s">
        <v>82</v>
      </c>
      <c r="L80" s="135" t="s">
        <v>1</v>
      </c>
      <c r="M80" s="135" t="s">
        <v>1</v>
      </c>
      <c r="N80" s="135" t="s">
        <v>716</v>
      </c>
      <c r="O80" s="135" t="s">
        <v>735</v>
      </c>
      <c r="P80" s="135" t="s">
        <v>736</v>
      </c>
      <c r="Q80" s="135" t="s">
        <v>86</v>
      </c>
      <c r="R80" s="135" t="s">
        <v>737</v>
      </c>
      <c r="S80" s="135" t="s">
        <v>738</v>
      </c>
      <c r="T80" s="135" t="s">
        <v>1</v>
      </c>
      <c r="U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Done</v>
      </c>
      <c r="V80" s="146">
        <f>IF(T80="","",VALUE(LEFT(T80,SEARCH("/",T80)-1)))</f>
        <v/>
      </c>
      <c r="W80" s="146">
        <f>IF(T80="","",VALUE(MID(T80,SEARCH("/",T80)+1,LEN(T80))))</f>
        <v/>
      </c>
    </row>
    <row r="81" customFormat="false" ht="15" hidden="false" customHeight="false" outlineLevel="0" collapsed="false">
      <c r="A81" s="135" t="s">
        <v>739</v>
      </c>
      <c r="B81" s="135" t="s">
        <v>709</v>
      </c>
      <c r="C81" s="257" t="s">
        <v>40</v>
      </c>
      <c r="D81" s="135" t="s">
        <v>740</v>
      </c>
      <c r="E81" s="135" t="s">
        <v>741</v>
      </c>
      <c r="F81" s="135" t="s">
        <v>742</v>
      </c>
      <c r="G81" s="135" t="s">
        <v>743</v>
      </c>
      <c r="H81" s="135" t="s">
        <v>4</v>
      </c>
      <c r="I81" s="135" t="s">
        <v>4</v>
      </c>
      <c r="J81" s="135" t="s">
        <v>744</v>
      </c>
      <c r="K81" s="135" t="s">
        <v>82</v>
      </c>
      <c r="L81" s="135" t="s">
        <v>4</v>
      </c>
      <c r="M81" s="135" t="s">
        <v>675</v>
      </c>
      <c r="N81" s="135" t="s">
        <v>745</v>
      </c>
      <c r="O81" s="135" t="s">
        <v>746</v>
      </c>
      <c r="P81" s="135" t="s">
        <v>747</v>
      </c>
      <c r="Q81" s="135" t="s">
        <v>86</v>
      </c>
      <c r="R81" s="135" t="s">
        <v>748</v>
      </c>
      <c r="S81" s="135" t="s">
        <v>88</v>
      </c>
      <c r="T81" s="135" t="s">
        <v>1</v>
      </c>
      <c r="U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V81" s="146">
        <f>IF(T81="","",VALUE(LEFT(T81,SEARCH("/",T81)-1)))</f>
        <v/>
      </c>
      <c r="W81" s="146">
        <f>IF(T81="","",VALUE(MID(T81,SEARCH("/",T81)+1,LEN(T81))))</f>
        <v/>
      </c>
    </row>
    <row r="82" customFormat="false" ht="15" hidden="false" customHeight="false" outlineLevel="0" collapsed="false">
      <c r="A82" s="135" t="s">
        <v>749</v>
      </c>
      <c r="B82" s="135" t="s">
        <v>709</v>
      </c>
      <c r="C82" s="257" t="s">
        <v>40</v>
      </c>
      <c r="D82" s="135" t="s">
        <v>750</v>
      </c>
      <c r="E82" s="135" t="s">
        <v>751</v>
      </c>
      <c r="F82" s="135" t="s">
        <v>752</v>
      </c>
      <c r="G82" s="135" t="s">
        <v>753</v>
      </c>
      <c r="H82" s="135" t="s">
        <v>4</v>
      </c>
      <c r="I82" s="135" t="s">
        <v>754</v>
      </c>
      <c r="J82" s="135" t="s">
        <v>755</v>
      </c>
      <c r="K82" s="135" t="s">
        <v>82</v>
      </c>
      <c r="L82" s="135" t="s">
        <v>4</v>
      </c>
      <c r="M82" s="135" t="s">
        <v>675</v>
      </c>
      <c r="N82" s="135" t="s">
        <v>745</v>
      </c>
      <c r="O82" s="135" t="s">
        <v>756</v>
      </c>
      <c r="P82" s="135" t="s">
        <v>757</v>
      </c>
      <c r="Q82" s="135" t="s">
        <v>86</v>
      </c>
      <c r="R82" s="135" t="s">
        <v>758</v>
      </c>
      <c r="S82" s="135" t="s">
        <v>88</v>
      </c>
      <c r="T82" s="135" t="s">
        <v>1</v>
      </c>
      <c r="U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V82" s="146">
        <f>IF(T82="","",VALUE(LEFT(T82,SEARCH("/",T82)-1)))</f>
        <v/>
      </c>
      <c r="W82" s="146">
        <f>IF(T82="","",VALUE(MID(T82,SEARCH("/",T82)+1,LEN(T82))))</f>
        <v/>
      </c>
    </row>
    <row r="83" customFormat="false" ht="15" hidden="false" customHeight="false" outlineLevel="0" collapsed="false">
      <c r="A83" s="135" t="s">
        <v>759</v>
      </c>
      <c r="B83" s="135" t="s">
        <v>709</v>
      </c>
      <c r="C83" s="257" t="s">
        <v>40</v>
      </c>
      <c r="D83" s="135" t="s">
        <v>760</v>
      </c>
      <c r="E83" s="135" t="s">
        <v>761</v>
      </c>
      <c r="F83" s="135" t="s">
        <v>4</v>
      </c>
      <c r="G83" s="135" t="s">
        <v>762</v>
      </c>
      <c r="H83" s="135" t="s">
        <v>4</v>
      </c>
      <c r="I83" s="135" t="s">
        <v>4</v>
      </c>
      <c r="J83" s="135" t="s">
        <v>763</v>
      </c>
      <c r="K83" s="135" t="s">
        <v>82</v>
      </c>
      <c r="L83" s="135" t="s">
        <v>4</v>
      </c>
      <c r="M83" s="135" t="s">
        <v>675</v>
      </c>
      <c r="N83" s="135" t="s">
        <v>745</v>
      </c>
      <c r="O83" s="135" t="s">
        <v>764</v>
      </c>
      <c r="P83" s="135" t="s">
        <v>765</v>
      </c>
      <c r="Q83" s="135" t="s">
        <v>86</v>
      </c>
      <c r="R83" s="135" t="s">
        <v>766</v>
      </c>
      <c r="S83" s="135" t="s">
        <v>88</v>
      </c>
      <c r="T83" s="135" t="s">
        <v>1</v>
      </c>
      <c r="U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V83" s="146">
        <f>IF(T83="","",VALUE(LEFT(T83,SEARCH("/",T83)-1)))</f>
        <v/>
      </c>
      <c r="W83" s="146">
        <f>IF(T83="","",VALUE(MID(T83,SEARCH("/",T83)+1,LEN(T83))))</f>
        <v/>
      </c>
    </row>
    <row r="84" customFormat="false" ht="15" hidden="false" customHeight="false" outlineLevel="0" collapsed="false">
      <c r="A84" s="135" t="s">
        <v>767</v>
      </c>
      <c r="B84" s="135" t="s">
        <v>768</v>
      </c>
      <c r="C84" s="257" t="s">
        <v>40</v>
      </c>
      <c r="D84" s="135" t="s">
        <v>769</v>
      </c>
      <c r="E84" s="135" t="s">
        <v>770</v>
      </c>
      <c r="F84" s="135" t="s">
        <v>771</v>
      </c>
      <c r="G84" s="135" t="s">
        <v>772</v>
      </c>
      <c r="H84" s="135" t="s">
        <v>773</v>
      </c>
      <c r="I84" s="135" t="s">
        <v>774</v>
      </c>
      <c r="J84" s="135" t="s">
        <v>775</v>
      </c>
      <c r="K84" s="135" t="s">
        <v>776</v>
      </c>
      <c r="L84" s="135" t="s">
        <v>1</v>
      </c>
      <c r="M84" s="135" t="s">
        <v>1</v>
      </c>
      <c r="N84" s="135" t="s">
        <v>777</v>
      </c>
      <c r="O84" s="135" t="s">
        <v>778</v>
      </c>
      <c r="P84" s="135" t="s">
        <v>779</v>
      </c>
      <c r="Q84" s="135" t="s">
        <v>86</v>
      </c>
      <c r="R84" s="135" t="s">
        <v>780</v>
      </c>
      <c r="S84" s="135" t="s">
        <v>88</v>
      </c>
      <c r="T84" s="135" t="s">
        <v>1</v>
      </c>
      <c r="U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V84" s="146">
        <f>IF(T84="","",VALUE(LEFT(T84,SEARCH("/",T84)-1)))</f>
        <v/>
      </c>
      <c r="W84" s="146">
        <f>IF(T84="","",VALUE(MID(T84,SEARCH("/",T84)+1,LEN(T84))))</f>
        <v/>
      </c>
    </row>
    <row r="85" customFormat="false" ht="15" hidden="false" customHeight="false" outlineLevel="0" collapsed="false">
      <c r="A85" s="135" t="s">
        <v>781</v>
      </c>
      <c r="B85" s="135" t="s">
        <v>768</v>
      </c>
      <c r="C85" s="257" t="s">
        <v>40</v>
      </c>
      <c r="D85" s="135" t="s">
        <v>782</v>
      </c>
      <c r="E85" s="135" t="s">
        <v>783</v>
      </c>
      <c r="F85" s="135" t="s">
        <v>784</v>
      </c>
      <c r="G85" s="135" t="s">
        <v>785</v>
      </c>
      <c r="H85" s="135" t="s">
        <v>4</v>
      </c>
      <c r="I85" s="135" t="s">
        <v>4</v>
      </c>
      <c r="J85" s="135" t="s">
        <v>786</v>
      </c>
      <c r="K85" s="135" t="s">
        <v>82</v>
      </c>
      <c r="L85" s="135" t="s">
        <v>86</v>
      </c>
      <c r="M85" s="135" t="s">
        <v>787</v>
      </c>
      <c r="N85" s="135" t="s">
        <v>83</v>
      </c>
      <c r="O85" s="135" t="s">
        <v>788</v>
      </c>
      <c r="P85" s="135" t="s">
        <v>789</v>
      </c>
      <c r="Q85" s="135" t="s">
        <v>86</v>
      </c>
      <c r="R85" s="135" t="s">
        <v>790</v>
      </c>
      <c r="S85" s="135" t="s">
        <v>88</v>
      </c>
      <c r="T85" s="135" t="s">
        <v>1</v>
      </c>
      <c r="U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Done</v>
      </c>
      <c r="V85" s="146">
        <f>IF(T85="","",VALUE(LEFT(T85,SEARCH("/",T85)-1)))</f>
        <v/>
      </c>
      <c r="W85" s="146">
        <f>IF(T85="","",VALUE(MID(T85,SEARCH("/",T85)+1,LEN(T85))))</f>
        <v/>
      </c>
    </row>
    <row r="86" customFormat="false" ht="15" hidden="false" customHeight="false" outlineLevel="0" collapsed="false">
      <c r="A86" s="135" t="s">
        <v>791</v>
      </c>
      <c r="B86" s="135" t="s">
        <v>768</v>
      </c>
      <c r="C86" s="257" t="s">
        <v>40</v>
      </c>
      <c r="D86" s="135" t="s">
        <v>792</v>
      </c>
      <c r="E86" s="135" t="s">
        <v>793</v>
      </c>
      <c r="F86" s="135" t="s">
        <v>784</v>
      </c>
      <c r="G86" s="135" t="s">
        <v>794</v>
      </c>
      <c r="H86" s="135" t="s">
        <v>4</v>
      </c>
      <c r="I86" s="135" t="s">
        <v>4</v>
      </c>
      <c r="J86" s="135" t="s">
        <v>795</v>
      </c>
      <c r="K86" s="135" t="s">
        <v>82</v>
      </c>
      <c r="L86" s="135" t="s">
        <v>86</v>
      </c>
      <c r="M86" s="135" t="s">
        <v>787</v>
      </c>
      <c r="N86" s="135" t="s">
        <v>83</v>
      </c>
      <c r="O86" s="135" t="s">
        <v>796</v>
      </c>
      <c r="P86" s="135" t="s">
        <v>797</v>
      </c>
      <c r="Q86" s="135" t="s">
        <v>86</v>
      </c>
      <c r="R86" s="135" t="s">
        <v>798</v>
      </c>
      <c r="S86" s="135" t="s">
        <v>88</v>
      </c>
      <c r="T86" s="135" t="s">
        <v>1</v>
      </c>
      <c r="U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V86" s="146">
        <f>IF(T86="","",VALUE(LEFT(T86,SEARCH("/",T86)-1)))</f>
        <v/>
      </c>
      <c r="W86" s="146">
        <f>IF(T86="","",VALUE(MID(T86,SEARCH("/",T86)+1,LEN(T86))))</f>
        <v/>
      </c>
    </row>
    <row r="87" customFormat="false" ht="15" hidden="false" customHeight="false" outlineLevel="0" collapsed="false">
      <c r="A87" s="135" t="s">
        <v>799</v>
      </c>
      <c r="B87" s="135" t="s">
        <v>768</v>
      </c>
      <c r="C87" s="257" t="s">
        <v>40</v>
      </c>
      <c r="D87" s="135" t="s">
        <v>800</v>
      </c>
      <c r="E87" s="135" t="s">
        <v>801</v>
      </c>
      <c r="F87" s="135" t="s">
        <v>802</v>
      </c>
      <c r="G87" s="135" t="s">
        <v>803</v>
      </c>
      <c r="H87" s="135" t="s">
        <v>4</v>
      </c>
      <c r="I87" s="135" t="s">
        <v>804</v>
      </c>
      <c r="J87" s="135" t="s">
        <v>805</v>
      </c>
      <c r="K87" s="135" t="s">
        <v>82</v>
      </c>
      <c r="L87" s="135" t="s">
        <v>1</v>
      </c>
      <c r="M87" s="135" t="s">
        <v>1</v>
      </c>
      <c r="N87" s="135" t="s">
        <v>83</v>
      </c>
      <c r="O87" s="135" t="s">
        <v>806</v>
      </c>
      <c r="P87" s="135" t="s">
        <v>807</v>
      </c>
      <c r="Q87" s="135" t="s">
        <v>86</v>
      </c>
      <c r="R87" s="135" t="s">
        <v>808</v>
      </c>
      <c r="S87" s="135" t="s">
        <v>88</v>
      </c>
      <c r="T87" s="135" t="s">
        <v>1</v>
      </c>
      <c r="U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V87" s="146">
        <f>IF(T87="","",VALUE(LEFT(T87,SEARCH("/",T87)-1)))</f>
        <v/>
      </c>
      <c r="W87" s="146">
        <f>IF(T87="","",VALUE(MID(T87,SEARCH("/",T87)+1,LEN(T87))))</f>
        <v/>
      </c>
    </row>
    <row r="88" customFormat="false" ht="15" hidden="false" customHeight="false" outlineLevel="0" collapsed="false">
      <c r="A88" s="135" t="s">
        <v>809</v>
      </c>
      <c r="B88" s="135" t="s">
        <v>768</v>
      </c>
      <c r="C88" s="257" t="s">
        <v>40</v>
      </c>
      <c r="D88" s="135" t="s">
        <v>810</v>
      </c>
      <c r="E88" s="135" t="s">
        <v>811</v>
      </c>
      <c r="F88" s="135" t="s">
        <v>812</v>
      </c>
      <c r="G88" s="135" t="s">
        <v>813</v>
      </c>
      <c r="H88" s="135" t="s">
        <v>4</v>
      </c>
      <c r="I88" s="135" t="s">
        <v>814</v>
      </c>
      <c r="J88" s="135" t="s">
        <v>815</v>
      </c>
      <c r="K88" s="135" t="s">
        <v>82</v>
      </c>
      <c r="L88" s="135" t="s">
        <v>86</v>
      </c>
      <c r="M88" s="135" t="s">
        <v>787</v>
      </c>
      <c r="N88" s="135" t="s">
        <v>83</v>
      </c>
      <c r="O88" s="135" t="s">
        <v>816</v>
      </c>
      <c r="P88" s="135" t="s">
        <v>817</v>
      </c>
      <c r="Q88" s="135" t="s">
        <v>86</v>
      </c>
      <c r="R88" s="135" t="s">
        <v>818</v>
      </c>
      <c r="S88" s="135" t="s">
        <v>111</v>
      </c>
      <c r="T88" s="135" t="s">
        <v>1</v>
      </c>
      <c r="U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V88" s="146">
        <f>IF(T88="","",VALUE(LEFT(T88,SEARCH("/",T88)-1)))</f>
        <v/>
      </c>
      <c r="W88" s="146">
        <f>IF(T88="","",VALUE(MID(T88,SEARCH("/",T88)+1,LEN(T88))))</f>
        <v/>
      </c>
    </row>
    <row r="89" customFormat="false" ht="15" hidden="false" customHeight="false" outlineLevel="0" collapsed="false">
      <c r="A89" s="135" t="s">
        <v>819</v>
      </c>
      <c r="B89" s="135" t="s">
        <v>169</v>
      </c>
      <c r="C89" s="257" t="s">
        <v>40</v>
      </c>
      <c r="D89" s="135" t="s">
        <v>820</v>
      </c>
      <c r="E89" s="135" t="s">
        <v>821</v>
      </c>
      <c r="F89" s="135" t="s">
        <v>4</v>
      </c>
      <c r="G89" s="135" t="s">
        <v>822</v>
      </c>
      <c r="H89" s="135" t="s">
        <v>4</v>
      </c>
      <c r="I89" s="135" t="s">
        <v>8</v>
      </c>
      <c r="J89" s="135" t="s">
        <v>823</v>
      </c>
      <c r="K89" s="135" t="s">
        <v>82</v>
      </c>
      <c r="L89" s="135" t="s">
        <v>86</v>
      </c>
      <c r="M89" s="135" t="s">
        <v>787</v>
      </c>
      <c r="N89" s="135" t="s">
        <v>83</v>
      </c>
      <c r="O89" s="135" t="s">
        <v>824</v>
      </c>
      <c r="P89" s="135" t="s">
        <v>825</v>
      </c>
      <c r="Q89" s="135" t="s">
        <v>86</v>
      </c>
      <c r="R89" s="135" t="s">
        <v>826</v>
      </c>
      <c r="S89" s="135" t="s">
        <v>827</v>
      </c>
      <c r="T89" s="135" t="s">
        <v>1</v>
      </c>
      <c r="U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V89" s="146">
        <f>IF(T89="","",VALUE(LEFT(T89,SEARCH("/",T89)-1)))</f>
        <v/>
      </c>
      <c r="W89" s="146">
        <f>IF(T89="","",VALUE(MID(T89,SEARCH("/",T89)+1,LEN(T89))))</f>
        <v/>
      </c>
    </row>
    <row r="90" customFormat="false" ht="15" hidden="false" customHeight="false" outlineLevel="0" collapsed="false">
      <c r="A90" s="135" t="s">
        <v>828</v>
      </c>
      <c r="B90" s="135" t="s">
        <v>180</v>
      </c>
      <c r="C90" s="258" t="s">
        <v>46</v>
      </c>
      <c r="D90" s="135" t="s">
        <v>829</v>
      </c>
      <c r="E90" s="135" t="s">
        <v>830</v>
      </c>
      <c r="F90" s="135" t="s">
        <v>831</v>
      </c>
      <c r="G90" s="135" t="s">
        <v>832</v>
      </c>
      <c r="H90" s="135" t="s">
        <v>4</v>
      </c>
      <c r="I90" s="135" t="s">
        <v>833</v>
      </c>
      <c r="J90" s="135" t="s">
        <v>834</v>
      </c>
      <c r="K90" s="135" t="s">
        <v>835</v>
      </c>
      <c r="L90" s="135" t="s">
        <v>1</v>
      </c>
      <c r="M90" s="135" t="s">
        <v>1</v>
      </c>
      <c r="N90" s="135" t="s">
        <v>423</v>
      </c>
      <c r="O90" s="135" t="s">
        <v>836</v>
      </c>
      <c r="P90" s="135" t="s">
        <v>837</v>
      </c>
      <c r="Q90" s="135" t="s">
        <v>86</v>
      </c>
      <c r="R90" s="135" t="s">
        <v>838</v>
      </c>
      <c r="S90" s="135" t="s">
        <v>88</v>
      </c>
      <c r="T90" s="135" t="s">
        <v>1</v>
      </c>
      <c r="U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V90" s="146">
        <f>IF(T90="","",VALUE(LEFT(T90,SEARCH("/",T90)-1)))</f>
        <v/>
      </c>
      <c r="W90" s="146">
        <f>IF(T90="","",VALUE(MID(T90,SEARCH("/",T90)+1,LEN(T90))))</f>
        <v/>
      </c>
    </row>
    <row r="91" customFormat="false" ht="15" hidden="false" customHeight="false" outlineLevel="0" collapsed="false">
      <c r="A91" s="135" t="s">
        <v>839</v>
      </c>
      <c r="B91" s="135" t="s">
        <v>840</v>
      </c>
      <c r="C91" s="258" t="s">
        <v>46</v>
      </c>
      <c r="D91" s="135" t="s">
        <v>841</v>
      </c>
      <c r="E91" s="135" t="s">
        <v>842</v>
      </c>
      <c r="F91" s="135" t="s">
        <v>843</v>
      </c>
      <c r="G91" s="135" t="s">
        <v>844</v>
      </c>
      <c r="H91" s="135" t="s">
        <v>4</v>
      </c>
      <c r="I91" s="135" t="s">
        <v>845</v>
      </c>
      <c r="J91" s="135" t="s">
        <v>846</v>
      </c>
      <c r="K91" s="135" t="s">
        <v>82</v>
      </c>
      <c r="L91" s="135" t="s">
        <v>86</v>
      </c>
      <c r="M91" s="135" t="s">
        <v>787</v>
      </c>
      <c r="N91" s="135" t="s">
        <v>83</v>
      </c>
      <c r="O91" s="135" t="s">
        <v>847</v>
      </c>
      <c r="P91" s="135" t="s">
        <v>848</v>
      </c>
      <c r="Q91" s="135" t="s">
        <v>86</v>
      </c>
      <c r="R91" s="135" t="s">
        <v>849</v>
      </c>
      <c r="S91" s="135" t="s">
        <v>88</v>
      </c>
      <c r="T91" s="135" t="s">
        <v>1</v>
      </c>
      <c r="U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V91" s="146">
        <f>IF(T91="","",VALUE(LEFT(T91,SEARCH("/",T91)-1)))</f>
        <v/>
      </c>
      <c r="W91" s="146">
        <f>IF(T91="","",VALUE(MID(T91,SEARCH("/",T91)+1,LEN(T91))))</f>
        <v/>
      </c>
    </row>
    <row r="92" customFormat="false" ht="15" hidden="false" customHeight="false" outlineLevel="0" collapsed="false">
      <c r="A92" s="135" t="s">
        <v>850</v>
      </c>
      <c r="B92" s="135" t="s">
        <v>840</v>
      </c>
      <c r="C92" s="258" t="s">
        <v>46</v>
      </c>
      <c r="D92" s="135" t="s">
        <v>851</v>
      </c>
      <c r="E92" s="135" t="s">
        <v>852</v>
      </c>
      <c r="F92" s="135" t="s">
        <v>853</v>
      </c>
      <c r="G92" s="135" t="s">
        <v>854</v>
      </c>
      <c r="H92" s="135" t="s">
        <v>4</v>
      </c>
      <c r="I92" s="135" t="s">
        <v>4</v>
      </c>
      <c r="J92" s="135" t="s">
        <v>855</v>
      </c>
      <c r="K92" s="135" t="s">
        <v>82</v>
      </c>
      <c r="L92" s="135" t="s">
        <v>86</v>
      </c>
      <c r="M92" s="135" t="s">
        <v>787</v>
      </c>
      <c r="N92" s="135" t="s">
        <v>83</v>
      </c>
      <c r="O92" s="135" t="s">
        <v>856</v>
      </c>
      <c r="P92" s="135" t="s">
        <v>857</v>
      </c>
      <c r="Q92" s="135" t="s">
        <v>86</v>
      </c>
      <c r="R92" s="135" t="s">
        <v>858</v>
      </c>
      <c r="S92" s="135" t="s">
        <v>111</v>
      </c>
      <c r="T92" s="135" t="s">
        <v>1</v>
      </c>
      <c r="U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V92" s="146">
        <f>IF(T92="","",VALUE(LEFT(T92,SEARCH("/",T92)-1)))</f>
        <v/>
      </c>
      <c r="W92" s="146">
        <f>IF(T92="","",VALUE(MID(T92,SEARCH("/",T92)+1,LEN(T92))))</f>
        <v/>
      </c>
    </row>
    <row r="93" customFormat="false" ht="15" hidden="false" customHeight="false" outlineLevel="0" collapsed="false">
      <c r="A93" s="135" t="s">
        <v>859</v>
      </c>
      <c r="B93" s="135" t="s">
        <v>840</v>
      </c>
      <c r="C93" s="258" t="s">
        <v>46</v>
      </c>
      <c r="D93" s="135" t="s">
        <v>860</v>
      </c>
      <c r="E93" s="135" t="s">
        <v>861</v>
      </c>
      <c r="F93" s="135" t="s">
        <v>862</v>
      </c>
      <c r="G93" s="135" t="s">
        <v>863</v>
      </c>
      <c r="H93" s="135" t="s">
        <v>4</v>
      </c>
      <c r="I93" s="135" t="s">
        <v>4</v>
      </c>
      <c r="J93" s="135" t="s">
        <v>864</v>
      </c>
      <c r="K93" s="135" t="s">
        <v>82</v>
      </c>
      <c r="L93" s="135" t="s">
        <v>86</v>
      </c>
      <c r="M93" s="135" t="s">
        <v>787</v>
      </c>
      <c r="N93" s="135" t="s">
        <v>83</v>
      </c>
      <c r="O93" s="135" t="s">
        <v>865</v>
      </c>
      <c r="P93" s="135" t="s">
        <v>866</v>
      </c>
      <c r="Q93" s="135" t="s">
        <v>86</v>
      </c>
      <c r="R93" s="135" t="s">
        <v>867</v>
      </c>
      <c r="S93" s="135" t="s">
        <v>328</v>
      </c>
      <c r="T93" s="135" t="s">
        <v>1</v>
      </c>
      <c r="U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V93" s="146">
        <f>IF(T93="","",VALUE(LEFT(T93,SEARCH("/",T93)-1)))</f>
        <v/>
      </c>
      <c r="W93" s="146">
        <f>IF(T93="","",VALUE(MID(T93,SEARCH("/",T93)+1,LEN(T93))))</f>
        <v/>
      </c>
    </row>
    <row r="94" customFormat="false" ht="15" hidden="false" customHeight="false" outlineLevel="0" collapsed="false">
      <c r="A94" s="135" t="s">
        <v>868</v>
      </c>
      <c r="B94" s="135" t="s">
        <v>840</v>
      </c>
      <c r="C94" s="258" t="s">
        <v>46</v>
      </c>
      <c r="D94" s="135" t="s">
        <v>869</v>
      </c>
      <c r="E94" s="135" t="s">
        <v>870</v>
      </c>
      <c r="F94" s="135" t="s">
        <v>871</v>
      </c>
      <c r="G94" s="135" t="s">
        <v>872</v>
      </c>
      <c r="H94" s="135" t="s">
        <v>4</v>
      </c>
      <c r="I94" s="135" t="s">
        <v>4</v>
      </c>
      <c r="J94" s="135" t="s">
        <v>873</v>
      </c>
      <c r="K94" s="135" t="s">
        <v>82</v>
      </c>
      <c r="L94" s="135" t="s">
        <v>86</v>
      </c>
      <c r="M94" s="135" t="s">
        <v>787</v>
      </c>
      <c r="N94" s="135" t="s">
        <v>83</v>
      </c>
      <c r="O94" s="135" t="s">
        <v>874</v>
      </c>
      <c r="P94" s="135" t="s">
        <v>875</v>
      </c>
      <c r="Q94" s="135" t="s">
        <v>86</v>
      </c>
      <c r="R94" s="135" t="s">
        <v>876</v>
      </c>
      <c r="S94" s="135" t="s">
        <v>328</v>
      </c>
      <c r="T94" s="135" t="s">
        <v>1</v>
      </c>
      <c r="U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V94" s="146">
        <f>IF(T94="","",VALUE(LEFT(T94,SEARCH("/",T94)-1)))</f>
        <v/>
      </c>
      <c r="W94" s="146">
        <f>IF(T94="","",VALUE(MID(T94,SEARCH("/",T94)+1,LEN(T94))))</f>
        <v/>
      </c>
    </row>
    <row r="95" customFormat="false" ht="15" hidden="false" customHeight="false" outlineLevel="0" collapsed="false">
      <c r="A95" s="135" t="s">
        <v>877</v>
      </c>
      <c r="B95" s="135" t="s">
        <v>659</v>
      </c>
      <c r="C95" s="258" t="s">
        <v>46</v>
      </c>
      <c r="D95" s="135" t="s">
        <v>58</v>
      </c>
      <c r="E95" s="135" t="s">
        <v>878</v>
      </c>
      <c r="F95" s="135" t="s">
        <v>879</v>
      </c>
      <c r="G95" s="135" t="s">
        <v>880</v>
      </c>
      <c r="H95" s="135" t="s">
        <v>4</v>
      </c>
      <c r="I95" s="135" t="s">
        <v>881</v>
      </c>
      <c r="J95" s="135" t="s">
        <v>882</v>
      </c>
      <c r="K95" s="135" t="s">
        <v>188</v>
      </c>
      <c r="L95" s="135" t="s">
        <v>1</v>
      </c>
      <c r="M95" s="135" t="s">
        <v>1</v>
      </c>
      <c r="N95" s="135" t="s">
        <v>423</v>
      </c>
      <c r="O95" s="135" t="s">
        <v>883</v>
      </c>
      <c r="P95" s="135" t="s">
        <v>884</v>
      </c>
      <c r="Q95" s="135" t="s">
        <v>86</v>
      </c>
      <c r="R95" s="135" t="s">
        <v>885</v>
      </c>
      <c r="S95" s="135" t="s">
        <v>886</v>
      </c>
      <c r="T95" s="135" t="s">
        <v>1</v>
      </c>
      <c r="U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V95" s="146">
        <f>IF(T95="","",VALUE(LEFT(T95,SEARCH("/",T95)-1)))</f>
        <v/>
      </c>
      <c r="W95" s="146">
        <f>IF(T95="","",VALUE(MID(T95,SEARCH("/",T95)+1,LEN(T95))))</f>
        <v/>
      </c>
    </row>
    <row r="96" customFormat="false" ht="15" hidden="false" customHeight="false" outlineLevel="0" collapsed="false">
      <c r="A96" s="135" t="s">
        <v>887</v>
      </c>
      <c r="B96" s="135" t="s">
        <v>768</v>
      </c>
      <c r="C96" s="259" t="s">
        <v>27</v>
      </c>
      <c r="D96" s="135" t="s">
        <v>888</v>
      </c>
      <c r="E96" s="135" t="s">
        <v>889</v>
      </c>
      <c r="F96" s="135" t="s">
        <v>890</v>
      </c>
      <c r="G96" s="135" t="s">
        <v>891</v>
      </c>
      <c r="H96" s="135" t="s">
        <v>4</v>
      </c>
      <c r="I96" s="135" t="s">
        <v>4</v>
      </c>
      <c r="J96" s="135" t="s">
        <v>892</v>
      </c>
      <c r="K96" s="135" t="s">
        <v>82</v>
      </c>
      <c r="L96" s="135" t="s">
        <v>86</v>
      </c>
      <c r="M96" s="135" t="s">
        <v>893</v>
      </c>
      <c r="N96" s="135" t="s">
        <v>894</v>
      </c>
      <c r="O96" s="135" t="s">
        <v>895</v>
      </c>
      <c r="P96" s="135" t="s">
        <v>896</v>
      </c>
      <c r="Q96" s="135" t="s">
        <v>86</v>
      </c>
      <c r="R96" s="135" t="s">
        <v>897</v>
      </c>
      <c r="S96" s="135" t="s">
        <v>111</v>
      </c>
      <c r="T96" s="135" t="s">
        <v>1</v>
      </c>
      <c r="U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Done</v>
      </c>
      <c r="V96" s="146">
        <f>IF(T96="","",VALUE(LEFT(T96,SEARCH("/",T96)-1)))</f>
        <v/>
      </c>
      <c r="W96" s="146">
        <f>IF(T96="","",VALUE(MID(T96,SEARCH("/",T96)+1,LEN(T96))))</f>
        <v/>
      </c>
    </row>
    <row r="97" customFormat="false" ht="15" hidden="false" customHeight="false" outlineLevel="0" collapsed="false">
      <c r="A97" s="135" t="s">
        <v>898</v>
      </c>
      <c r="B97" s="135" t="s">
        <v>768</v>
      </c>
      <c r="C97" s="259" t="s">
        <v>27</v>
      </c>
      <c r="D97" s="135" t="s">
        <v>899</v>
      </c>
      <c r="E97" s="135" t="s">
        <v>900</v>
      </c>
      <c r="F97" s="135" t="s">
        <v>901</v>
      </c>
      <c r="G97" s="135" t="s">
        <v>902</v>
      </c>
      <c r="H97" s="135" t="s">
        <v>903</v>
      </c>
      <c r="I97" s="135" t="s">
        <v>904</v>
      </c>
      <c r="J97" s="135" t="s">
        <v>905</v>
      </c>
      <c r="K97" s="135" t="s">
        <v>82</v>
      </c>
      <c r="L97" s="135" t="s">
        <v>86</v>
      </c>
      <c r="M97" s="135" t="s">
        <v>893</v>
      </c>
      <c r="N97" s="135" t="s">
        <v>894</v>
      </c>
      <c r="O97" s="135" t="s">
        <v>906</v>
      </c>
      <c r="P97" s="135" t="s">
        <v>907</v>
      </c>
      <c r="Q97" s="135" t="s">
        <v>86</v>
      </c>
      <c r="R97" s="135" t="s">
        <v>908</v>
      </c>
      <c r="S97" s="135" t="s">
        <v>328</v>
      </c>
      <c r="T97" s="135" t="s">
        <v>1</v>
      </c>
      <c r="U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Done</v>
      </c>
      <c r="V97" s="146">
        <f>IF(T97="","",VALUE(LEFT(T97,SEARCH("/",T97)-1)))</f>
        <v/>
      </c>
      <c r="W97" s="146">
        <f>IF(T97="","",VALUE(MID(T97,SEARCH("/",T97)+1,LEN(T97))))</f>
        <v/>
      </c>
    </row>
    <row r="98" customFormat="false" ht="15" hidden="false" customHeight="false" outlineLevel="0" collapsed="false">
      <c r="A98" s="135" t="s">
        <v>909</v>
      </c>
      <c r="B98" s="135" t="s">
        <v>155</v>
      </c>
      <c r="C98" s="259" t="s">
        <v>27</v>
      </c>
      <c r="D98" s="135" t="s">
        <v>910</v>
      </c>
      <c r="E98" s="135" t="s">
        <v>911</v>
      </c>
      <c r="F98" s="135" t="s">
        <v>912</v>
      </c>
      <c r="G98" s="135" t="s">
        <v>913</v>
      </c>
      <c r="H98" s="135" t="s">
        <v>4</v>
      </c>
      <c r="I98" s="135" t="s">
        <v>914</v>
      </c>
      <c r="J98" s="135" t="s">
        <v>915</v>
      </c>
      <c r="K98" s="135" t="s">
        <v>82</v>
      </c>
      <c r="L98" s="135" t="s">
        <v>86</v>
      </c>
      <c r="M98" s="135" t="s">
        <v>893</v>
      </c>
      <c r="N98" s="135" t="s">
        <v>894</v>
      </c>
      <c r="O98" s="135" t="s">
        <v>916</v>
      </c>
      <c r="P98" s="135" t="s">
        <v>917</v>
      </c>
      <c r="Q98" s="135" t="s">
        <v>86</v>
      </c>
      <c r="R98" s="135" t="s">
        <v>918</v>
      </c>
      <c r="S98" s="135" t="s">
        <v>248</v>
      </c>
      <c r="T98" s="135" t="s">
        <v>1</v>
      </c>
      <c r="U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Done</v>
      </c>
      <c r="V98" s="146">
        <f>IF(T98="","",VALUE(LEFT(T98,SEARCH("/",T98)-1)))</f>
        <v/>
      </c>
      <c r="W98" s="146">
        <f>IF(T98="","",VALUE(MID(T98,SEARCH("/",T98)+1,LEN(T98))))</f>
        <v/>
      </c>
    </row>
    <row r="99" customFormat="false" ht="15" hidden="false" customHeight="false" outlineLevel="0" collapsed="false">
      <c r="A99" s="136" t="s">
        <v>919</v>
      </c>
      <c r="B99" s="136" t="s">
        <v>155</v>
      </c>
      <c r="C99" s="259" t="s">
        <v>27</v>
      </c>
      <c r="D99" s="136" t="s">
        <v>920</v>
      </c>
      <c r="E99" s="136" t="s">
        <v>921</v>
      </c>
      <c r="F99" s="136" t="s">
        <v>922</v>
      </c>
      <c r="G99" s="136" t="s">
        <v>923</v>
      </c>
      <c r="H99" s="136" t="s">
        <v>4</v>
      </c>
      <c r="I99" s="136" t="s">
        <v>924</v>
      </c>
      <c r="J99" s="136" t="s">
        <v>925</v>
      </c>
      <c r="K99" s="136" t="s">
        <v>926</v>
      </c>
      <c r="L99" s="136" t="s">
        <v>1</v>
      </c>
      <c r="M99" s="136" t="s">
        <v>1</v>
      </c>
      <c r="N99" s="136" t="s">
        <v>894</v>
      </c>
      <c r="O99" s="136" t="s">
        <v>927</v>
      </c>
      <c r="P99" s="136" t="s">
        <v>928</v>
      </c>
      <c r="Q99" s="136" t="s">
        <v>1</v>
      </c>
      <c r="R99" s="136" t="s">
        <v>929</v>
      </c>
      <c r="S99" s="136" t="s">
        <v>930</v>
      </c>
      <c r="T99" s="136" t="s">
        <v>931</v>
      </c>
      <c r="U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Pending</v>
      </c>
      <c r="V99" s="146">
        <f>IF(T99="","",VALUE(LEFT(T99,SEARCH("/",T99)-1)))</f>
        <v>105</v>
      </c>
      <c r="W99" s="146">
        <f>IF(T99="","",VALUE(MID(T99,SEARCH("/",T99)+1,LEN(T99))))</f>
        <v>250</v>
      </c>
    </row>
    <row r="100" customFormat="false" ht="15" hidden="false" customHeight="false" outlineLevel="0" collapsed="false">
      <c r="A100" s="136" t="s">
        <v>932</v>
      </c>
      <c r="B100" s="136" t="s">
        <v>180</v>
      </c>
      <c r="C100" s="259" t="s">
        <v>27</v>
      </c>
      <c r="D100" s="136" t="s">
        <v>933</v>
      </c>
      <c r="E100" s="136" t="s">
        <v>934</v>
      </c>
      <c r="F100" s="136" t="s">
        <v>935</v>
      </c>
      <c r="G100" s="136" t="s">
        <v>936</v>
      </c>
      <c r="H100" s="136" t="s">
        <v>937</v>
      </c>
      <c r="I100" s="136" t="s">
        <v>938</v>
      </c>
      <c r="J100" s="136" t="s">
        <v>939</v>
      </c>
      <c r="K100" s="136" t="s">
        <v>940</v>
      </c>
      <c r="L100" s="136" t="s">
        <v>1</v>
      </c>
      <c r="M100" s="136" t="s">
        <v>1</v>
      </c>
      <c r="N100" s="136" t="s">
        <v>941</v>
      </c>
      <c r="O100" s="136" t="s">
        <v>942</v>
      </c>
      <c r="P100" s="136" t="s">
        <v>943</v>
      </c>
      <c r="Q100" s="136" t="s">
        <v>1</v>
      </c>
      <c r="R100" s="136" t="s">
        <v>944</v>
      </c>
      <c r="S100" s="136" t="s">
        <v>88</v>
      </c>
      <c r="T100" s="136" t="s">
        <v>945</v>
      </c>
      <c r="U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Pending</v>
      </c>
      <c r="V100" s="146">
        <f>IF(T100="","",VALUE(LEFT(T100,SEARCH("/",T100)-1)))</f>
        <v>150</v>
      </c>
      <c r="W100" s="146">
        <f>IF(T100="","",VALUE(MID(T100,SEARCH("/",T100)+1,LEN(T100))))</f>
        <v>355</v>
      </c>
    </row>
    <row r="101" customFormat="false" ht="15" hidden="false" customHeight="false" outlineLevel="0" collapsed="false">
      <c r="A101" s="135" t="s">
        <v>946</v>
      </c>
      <c r="B101" s="135" t="s">
        <v>155</v>
      </c>
      <c r="C101" s="259" t="s">
        <v>27</v>
      </c>
      <c r="D101" s="135" t="s">
        <v>947</v>
      </c>
      <c r="E101" s="135" t="s">
        <v>948</v>
      </c>
      <c r="F101" s="135" t="s">
        <v>949</v>
      </c>
      <c r="G101" s="135" t="s">
        <v>950</v>
      </c>
      <c r="H101" s="135" t="s">
        <v>4</v>
      </c>
      <c r="I101" s="135" t="s">
        <v>951</v>
      </c>
      <c r="J101" s="135" t="s">
        <v>952</v>
      </c>
      <c r="K101" s="135" t="s">
        <v>82</v>
      </c>
      <c r="L101" s="135" t="s">
        <v>86</v>
      </c>
      <c r="M101" s="135" t="s">
        <v>86</v>
      </c>
      <c r="N101" s="135" t="s">
        <v>953</v>
      </c>
      <c r="O101" s="135" t="s">
        <v>954</v>
      </c>
      <c r="P101" s="135" t="s">
        <v>955</v>
      </c>
      <c r="Q101" s="135" t="s">
        <v>86</v>
      </c>
      <c r="R101" s="135" t="s">
        <v>956</v>
      </c>
      <c r="S101" s="135" t="s">
        <v>248</v>
      </c>
      <c r="T101" s="135" t="s">
        <v>1</v>
      </c>
      <c r="U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Done</v>
      </c>
      <c r="V101" s="146">
        <f>IF(T101="","",VALUE(LEFT(T101,SEARCH("/",T101)-1)))</f>
        <v/>
      </c>
      <c r="W101" s="146">
        <f>IF(T101="","",VALUE(MID(T101,SEARCH("/",T101)+1,LEN(T101))))</f>
        <v/>
      </c>
    </row>
    <row r="102" customFormat="false" ht="15" hidden="false" customHeight="false" outlineLevel="0" collapsed="false">
      <c r="A102" s="135" t="s">
        <v>957</v>
      </c>
      <c r="B102" s="135" t="s">
        <v>180</v>
      </c>
      <c r="C102" s="261" t="s">
        <v>33</v>
      </c>
      <c r="D102" s="135" t="s">
        <v>958</v>
      </c>
      <c r="E102" s="135" t="s">
        <v>959</v>
      </c>
      <c r="F102" s="135" t="s">
        <v>4</v>
      </c>
      <c r="G102" s="135" t="s">
        <v>4</v>
      </c>
      <c r="H102" s="135" t="s">
        <v>4</v>
      </c>
      <c r="I102" s="135" t="s">
        <v>4</v>
      </c>
      <c r="J102" s="135" t="s">
        <v>960</v>
      </c>
      <c r="K102" s="135" t="s">
        <v>685</v>
      </c>
      <c r="L102" s="135" t="s">
        <v>1</v>
      </c>
      <c r="M102" s="135" t="s">
        <v>1</v>
      </c>
      <c r="N102" s="135" t="s">
        <v>423</v>
      </c>
      <c r="O102" s="135" t="s">
        <v>961</v>
      </c>
      <c r="P102" s="135" t="s">
        <v>962</v>
      </c>
      <c r="Q102" s="135" t="s">
        <v>86</v>
      </c>
      <c r="R102" s="135" t="s">
        <v>963</v>
      </c>
      <c r="S102" s="135" t="s">
        <v>248</v>
      </c>
      <c r="T102" s="135" t="s">
        <v>1</v>
      </c>
      <c r="U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Done</v>
      </c>
      <c r="V102" s="146">
        <f>IF(T102="","",VALUE(LEFT(T102,SEARCH("/",T102)-1)))</f>
        <v/>
      </c>
      <c r="W102" s="146">
        <f>IF(T102="","",VALUE(MID(T102,SEARCH("/",T102)+1,LEN(T102))))</f>
        <v/>
      </c>
    </row>
    <row r="103" customFormat="false" ht="15" hidden="false" customHeight="false" outlineLevel="0" collapsed="false">
      <c r="A103" s="135" t="s">
        <v>964</v>
      </c>
      <c r="B103" s="135" t="s">
        <v>180</v>
      </c>
      <c r="C103" s="261" t="s">
        <v>33</v>
      </c>
      <c r="D103" s="135" t="s">
        <v>965</v>
      </c>
      <c r="E103" s="135" t="s">
        <v>966</v>
      </c>
      <c r="F103" s="135" t="s">
        <v>4</v>
      </c>
      <c r="G103" s="135" t="s">
        <v>4</v>
      </c>
      <c r="H103" s="135" t="s">
        <v>4</v>
      </c>
      <c r="I103" s="135" t="s">
        <v>4</v>
      </c>
      <c r="J103" s="135" t="s">
        <v>967</v>
      </c>
      <c r="K103" s="135" t="s">
        <v>685</v>
      </c>
      <c r="L103" s="135" t="s">
        <v>1</v>
      </c>
      <c r="M103" s="135" t="s">
        <v>1</v>
      </c>
      <c r="N103" s="135" t="s">
        <v>423</v>
      </c>
      <c r="O103" s="135" t="s">
        <v>968</v>
      </c>
      <c r="P103" s="135" t="s">
        <v>969</v>
      </c>
      <c r="Q103" s="135" t="s">
        <v>86</v>
      </c>
      <c r="R103" s="135" t="s">
        <v>970</v>
      </c>
      <c r="S103" s="135" t="s">
        <v>317</v>
      </c>
      <c r="T103" s="135" t="s">
        <v>1</v>
      </c>
      <c r="U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Done</v>
      </c>
      <c r="V103" s="146">
        <f>IF(T103="","",VALUE(LEFT(T103,SEARCH("/",T103)-1)))</f>
        <v/>
      </c>
      <c r="W103" s="146">
        <f>IF(T103="","",VALUE(MID(T103,SEARCH("/",T103)+1,LEN(T103))))</f>
        <v/>
      </c>
    </row>
    <row r="104" customFormat="false" ht="15" hidden="false" customHeight="false" outlineLevel="0" collapsed="false">
      <c r="A104" s="135" t="s">
        <v>971</v>
      </c>
      <c r="B104" s="135" t="s">
        <v>155</v>
      </c>
      <c r="C104" s="261" t="s">
        <v>33</v>
      </c>
      <c r="D104" s="135" t="s">
        <v>972</v>
      </c>
      <c r="E104" s="135" t="s">
        <v>973</v>
      </c>
      <c r="F104" s="135" t="s">
        <v>974</v>
      </c>
      <c r="G104" s="135" t="s">
        <v>975</v>
      </c>
      <c r="H104" s="135" t="s">
        <v>4</v>
      </c>
      <c r="I104" s="135" t="s">
        <v>4</v>
      </c>
      <c r="J104" s="135" t="s">
        <v>976</v>
      </c>
      <c r="K104" s="135" t="s">
        <v>82</v>
      </c>
      <c r="L104" s="135" t="s">
        <v>86</v>
      </c>
      <c r="M104" s="135" t="s">
        <v>86</v>
      </c>
      <c r="N104" s="135" t="s">
        <v>953</v>
      </c>
      <c r="O104" s="135" t="s">
        <v>977</v>
      </c>
      <c r="P104" s="135" t="s">
        <v>978</v>
      </c>
      <c r="Q104" s="135" t="s">
        <v>86</v>
      </c>
      <c r="R104" s="135" t="s">
        <v>979</v>
      </c>
      <c r="S104" s="135" t="s">
        <v>980</v>
      </c>
      <c r="T104" s="135" t="s">
        <v>1</v>
      </c>
      <c r="U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Done</v>
      </c>
      <c r="V104" s="146">
        <f>IF(T104="","",VALUE(LEFT(T104,SEARCH("/",T104)-1)))</f>
        <v/>
      </c>
      <c r="W104" s="146">
        <f>IF(T104="","",VALUE(MID(T104,SEARCH("/",T104)+1,LEN(T104))))</f>
        <v/>
      </c>
    </row>
    <row r="105" customFormat="false" ht="15" hidden="false" customHeight="false" outlineLevel="0" collapsed="false">
      <c r="A105" s="138" t="s">
        <v>981</v>
      </c>
      <c r="B105" s="138" t="s">
        <v>155</v>
      </c>
      <c r="C105" s="255" t="s">
        <v>38</v>
      </c>
      <c r="D105" s="138" t="s">
        <v>982</v>
      </c>
      <c r="E105" s="138" t="s">
        <v>983</v>
      </c>
      <c r="F105" s="138" t="s">
        <v>984</v>
      </c>
      <c r="G105" s="138" t="s">
        <v>985</v>
      </c>
      <c r="H105" s="138" t="s">
        <v>4</v>
      </c>
      <c r="I105" s="138" t="s">
        <v>986</v>
      </c>
      <c r="J105" s="138" t="s">
        <v>987</v>
      </c>
      <c r="K105" s="138" t="s">
        <v>988</v>
      </c>
      <c r="L105" s="138" t="s">
        <v>1</v>
      </c>
      <c r="M105" s="138" t="s">
        <v>1</v>
      </c>
      <c r="N105" s="138" t="s">
        <v>1</v>
      </c>
      <c r="O105" s="138" t="s">
        <v>989</v>
      </c>
      <c r="P105" s="138" t="s">
        <v>990</v>
      </c>
      <c r="Q105" s="138" t="s">
        <v>1</v>
      </c>
      <c r="R105" s="138" t="s">
        <v>991</v>
      </c>
      <c r="S105" s="138" t="s">
        <v>111</v>
      </c>
      <c r="T105" s="138" t="s">
        <v>992</v>
      </c>
      <c r="U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Not started</v>
      </c>
      <c r="V105" s="146">
        <f>IF(T105="","",VALUE(LEFT(T105,SEARCH("/",T105)-1)))</f>
        <v>100</v>
      </c>
      <c r="W105" s="146">
        <f>IF(T105="","",VALUE(MID(T105,SEARCH("/",T105)+1,LEN(T105))))</f>
        <v>235</v>
      </c>
    </row>
    <row r="106" customFormat="false" ht="15" hidden="false" customHeight="false" outlineLevel="0" collapsed="false">
      <c r="A106" s="136" t="s">
        <v>993</v>
      </c>
      <c r="B106" s="136" t="s">
        <v>155</v>
      </c>
      <c r="C106" s="255" t="s">
        <v>38</v>
      </c>
      <c r="D106" s="136" t="s">
        <v>994</v>
      </c>
      <c r="E106" s="136" t="s">
        <v>995</v>
      </c>
      <c r="F106" s="136" t="s">
        <v>996</v>
      </c>
      <c r="G106" s="136" t="s">
        <v>997</v>
      </c>
      <c r="H106" s="136" t="s">
        <v>998</v>
      </c>
      <c r="I106" s="136" t="s">
        <v>999</v>
      </c>
      <c r="J106" s="136" t="s">
        <v>1000</v>
      </c>
      <c r="K106" s="136" t="s">
        <v>1001</v>
      </c>
      <c r="L106" s="136" t="s">
        <v>1</v>
      </c>
      <c r="M106" s="136" t="s">
        <v>1</v>
      </c>
      <c r="N106" s="136" t="s">
        <v>189</v>
      </c>
      <c r="O106" s="136" t="s">
        <v>1002</v>
      </c>
      <c r="P106" s="136" t="s">
        <v>1003</v>
      </c>
      <c r="Q106" s="136" t="s">
        <v>1004</v>
      </c>
      <c r="R106" s="136" t="s">
        <v>1005</v>
      </c>
      <c r="S106" s="136" t="s">
        <v>260</v>
      </c>
      <c r="T106" s="136" t="s">
        <v>1006</v>
      </c>
      <c r="U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Pending</v>
      </c>
      <c r="V106" s="146">
        <f>IF(T106="","",VALUE(LEFT(T106,SEARCH("/",T106)-1)))</f>
        <v>55</v>
      </c>
      <c r="W106" s="146">
        <f>IF(T106="","",VALUE(MID(T106,SEARCH("/",T106)+1,LEN(T106))))</f>
        <v>130</v>
      </c>
    </row>
    <row r="107" customFormat="false" ht="15" hidden="false" customHeight="false" outlineLevel="0" collapsed="false">
      <c r="A107" s="136" t="s">
        <v>1007</v>
      </c>
      <c r="B107" s="136" t="s">
        <v>169</v>
      </c>
      <c r="C107" s="255" t="s">
        <v>38</v>
      </c>
      <c r="D107" s="136" t="s">
        <v>1008</v>
      </c>
      <c r="E107" s="136" t="s">
        <v>1009</v>
      </c>
      <c r="F107" s="136" t="s">
        <v>4</v>
      </c>
      <c r="G107" s="136" t="s">
        <v>1010</v>
      </c>
      <c r="H107" s="136" t="s">
        <v>4</v>
      </c>
      <c r="I107" s="136" t="s">
        <v>8</v>
      </c>
      <c r="J107" s="136" t="s">
        <v>1011</v>
      </c>
      <c r="K107" s="136" t="s">
        <v>1012</v>
      </c>
      <c r="L107" s="136" t="s">
        <v>1</v>
      </c>
      <c r="M107" s="136" t="s">
        <v>1</v>
      </c>
      <c r="N107" s="136" t="s">
        <v>1013</v>
      </c>
      <c r="O107" s="136" t="s">
        <v>1014</v>
      </c>
      <c r="P107" s="136" t="s">
        <v>1015</v>
      </c>
      <c r="Q107" s="136" t="s">
        <v>1004</v>
      </c>
      <c r="R107" s="136" t="s">
        <v>1016</v>
      </c>
      <c r="S107" s="136" t="s">
        <v>827</v>
      </c>
      <c r="T107" s="136" t="s">
        <v>1017</v>
      </c>
      <c r="U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Pending</v>
      </c>
      <c r="V107" s="146">
        <f>IF(T107="","",VALUE(LEFT(T107,SEARCH("/",T107)-1)))</f>
        <v>20</v>
      </c>
      <c r="W107" s="146">
        <f>IF(T107="","",VALUE(MID(T107,SEARCH("/",T107)+1,LEN(T107))))</f>
        <v>65</v>
      </c>
    </row>
    <row r="108" customFormat="false" ht="15" hidden="false" customHeight="false" outlineLevel="0" collapsed="false">
      <c r="A108" s="136" t="s">
        <v>1018</v>
      </c>
      <c r="B108" s="136" t="s">
        <v>155</v>
      </c>
      <c r="C108" s="255" t="s">
        <v>38</v>
      </c>
      <c r="D108" s="136" t="s">
        <v>1019</v>
      </c>
      <c r="E108" s="136" t="s">
        <v>1020</v>
      </c>
      <c r="F108" s="136" t="s">
        <v>1021</v>
      </c>
      <c r="G108" s="136" t="s">
        <v>1022</v>
      </c>
      <c r="H108" s="136" t="s">
        <v>4</v>
      </c>
      <c r="I108" s="136" t="s">
        <v>1023</v>
      </c>
      <c r="J108" s="136" t="s">
        <v>1024</v>
      </c>
      <c r="K108" s="136" t="s">
        <v>1001</v>
      </c>
      <c r="L108" s="136" t="s">
        <v>1</v>
      </c>
      <c r="M108" s="136" t="s">
        <v>1</v>
      </c>
      <c r="N108" s="136" t="s">
        <v>189</v>
      </c>
      <c r="O108" s="136" t="s">
        <v>1025</v>
      </c>
      <c r="P108" s="136" t="s">
        <v>1026</v>
      </c>
      <c r="Q108" s="136" t="s">
        <v>1004</v>
      </c>
      <c r="R108" s="136" t="s">
        <v>1027</v>
      </c>
      <c r="S108" s="136" t="s">
        <v>328</v>
      </c>
      <c r="T108" s="136" t="s">
        <v>1028</v>
      </c>
      <c r="U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Pending</v>
      </c>
      <c r="V108" s="146">
        <f>IF(T108="","",VALUE(LEFT(T108,SEARCH("/",T108)-1)))</f>
        <v>80</v>
      </c>
      <c r="W108" s="146">
        <f>IF(T108="","",VALUE(MID(T108,SEARCH("/",T108)+1,LEN(T108))))</f>
        <v>190</v>
      </c>
    </row>
    <row r="109" customFormat="false" ht="15" hidden="false" customHeight="false" outlineLevel="0" collapsed="false">
      <c r="A109" s="138" t="s">
        <v>1029</v>
      </c>
      <c r="B109" s="138" t="s">
        <v>155</v>
      </c>
      <c r="C109" s="255" t="s">
        <v>38</v>
      </c>
      <c r="D109" s="138" t="s">
        <v>1030</v>
      </c>
      <c r="E109" s="138" t="s">
        <v>1031</v>
      </c>
      <c r="F109" s="138" t="s">
        <v>1032</v>
      </c>
      <c r="G109" s="138" t="s">
        <v>1033</v>
      </c>
      <c r="H109" s="138" t="s">
        <v>4</v>
      </c>
      <c r="I109" s="138" t="s">
        <v>1034</v>
      </c>
      <c r="J109" s="138" t="s">
        <v>1035</v>
      </c>
      <c r="K109" s="138" t="s">
        <v>988</v>
      </c>
      <c r="L109" s="138" t="s">
        <v>1</v>
      </c>
      <c r="M109" s="138" t="s">
        <v>1</v>
      </c>
      <c r="N109" s="138" t="s">
        <v>1</v>
      </c>
      <c r="O109" s="138" t="s">
        <v>1036</v>
      </c>
      <c r="P109" s="138" t="s">
        <v>1037</v>
      </c>
      <c r="Q109" s="138" t="s">
        <v>1</v>
      </c>
      <c r="R109" s="138" t="s">
        <v>1038</v>
      </c>
      <c r="S109" s="138" t="s">
        <v>88</v>
      </c>
      <c r="T109" s="138" t="s">
        <v>1039</v>
      </c>
      <c r="U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Not started</v>
      </c>
      <c r="V109" s="146">
        <f>IF(T109="","",VALUE(LEFT(T109,SEARCH("/",T109)-1)))</f>
        <v>110</v>
      </c>
      <c r="W109" s="146">
        <f>IF(T109="","",VALUE(MID(T109,SEARCH("/",T109)+1,LEN(T109))))</f>
        <v>260</v>
      </c>
    </row>
    <row r="110" customFormat="false" ht="15" hidden="false" customHeight="false" outlineLevel="0" collapsed="false">
      <c r="A110" s="136" t="s">
        <v>1040</v>
      </c>
      <c r="B110" s="136" t="s">
        <v>1041</v>
      </c>
      <c r="C110" s="255" t="s">
        <v>38</v>
      </c>
      <c r="D110" s="136" t="s">
        <v>1042</v>
      </c>
      <c r="E110" s="136" t="s">
        <v>1043</v>
      </c>
      <c r="F110" s="136" t="s">
        <v>4</v>
      </c>
      <c r="G110" s="136" t="s">
        <v>4</v>
      </c>
      <c r="H110" s="136" t="s">
        <v>4</v>
      </c>
      <c r="I110" s="136" t="s">
        <v>1044</v>
      </c>
      <c r="J110" s="136" t="s">
        <v>1045</v>
      </c>
      <c r="K110" s="136" t="s">
        <v>1046</v>
      </c>
      <c r="L110" s="136" t="s">
        <v>1</v>
      </c>
      <c r="M110" s="136" t="s">
        <v>1</v>
      </c>
      <c r="N110" s="136" t="s">
        <v>189</v>
      </c>
      <c r="O110" s="136" t="s">
        <v>1047</v>
      </c>
      <c r="P110" s="136" t="s">
        <v>1048</v>
      </c>
      <c r="Q110" s="136" t="s">
        <v>1049</v>
      </c>
      <c r="R110" s="136" t="s">
        <v>1050</v>
      </c>
      <c r="S110" s="136" t="s">
        <v>1051</v>
      </c>
      <c r="T110" s="136" t="s">
        <v>1052</v>
      </c>
      <c r="U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Pending</v>
      </c>
      <c r="V110" s="146">
        <f>IF(T110="","",VALUE(LEFT(T110,SEARCH("/",T110)-1)))</f>
        <v>45</v>
      </c>
      <c r="W110" s="146">
        <f>IF(T110="","",VALUE(MID(T110,SEARCH("/",T110)+1,LEN(T110))))</f>
        <v>115</v>
      </c>
    </row>
    <row r="111" customFormat="false" ht="15" hidden="false" customHeight="false" outlineLevel="0" collapsed="false">
      <c r="A111" s="135" t="s">
        <v>1053</v>
      </c>
      <c r="B111" s="135" t="s">
        <v>1054</v>
      </c>
      <c r="C111" s="263" t="s">
        <v>43</v>
      </c>
      <c r="D111" s="135" t="s">
        <v>58</v>
      </c>
      <c r="E111" s="135" t="s">
        <v>1055</v>
      </c>
      <c r="F111" s="135" t="s">
        <v>1056</v>
      </c>
      <c r="G111" s="135" t="s">
        <v>4</v>
      </c>
      <c r="H111" s="135" t="s">
        <v>4</v>
      </c>
      <c r="I111" s="135" t="s">
        <v>4</v>
      </c>
      <c r="J111" s="135" t="s">
        <v>4</v>
      </c>
      <c r="K111" s="135" t="s">
        <v>685</v>
      </c>
      <c r="L111" s="135" t="s">
        <v>1</v>
      </c>
      <c r="M111" s="135" t="s">
        <v>1</v>
      </c>
      <c r="N111" s="135" t="s">
        <v>189</v>
      </c>
      <c r="O111" s="135" t="s">
        <v>1057</v>
      </c>
      <c r="P111" s="135" t="s">
        <v>1058</v>
      </c>
      <c r="Q111" s="135" t="s">
        <v>86</v>
      </c>
      <c r="R111" s="135" t="s">
        <v>1059</v>
      </c>
      <c r="S111" s="135" t="s">
        <v>1060</v>
      </c>
      <c r="T111" s="135" t="s">
        <v>1</v>
      </c>
      <c r="U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Done</v>
      </c>
      <c r="V111" s="146">
        <f>IF(T111="","",VALUE(LEFT(T111,SEARCH("/",T111)-1)))</f>
        <v/>
      </c>
      <c r="W111" s="146">
        <f>IF(T111="","",VALUE(MID(T111,SEARCH("/",T111)+1,LEN(T111))))</f>
        <v/>
      </c>
    </row>
    <row r="112" customFormat="false" ht="15" hidden="false" customHeight="false" outlineLevel="0" collapsed="false">
      <c r="A112" s="138" t="s">
        <v>1061</v>
      </c>
      <c r="B112" s="138" t="s">
        <v>155</v>
      </c>
      <c r="C112" s="263" t="s">
        <v>43</v>
      </c>
      <c r="D112" s="138" t="s">
        <v>1062</v>
      </c>
      <c r="E112" s="138" t="s">
        <v>1063</v>
      </c>
      <c r="F112" s="138" t="s">
        <v>1064</v>
      </c>
      <c r="G112" s="138" t="s">
        <v>1065</v>
      </c>
      <c r="H112" s="138" t="s">
        <v>1066</v>
      </c>
      <c r="I112" s="138" t="s">
        <v>1067</v>
      </c>
      <c r="J112" s="138" t="s">
        <v>1068</v>
      </c>
      <c r="K112" s="138" t="s">
        <v>988</v>
      </c>
      <c r="L112" s="138" t="s">
        <v>1</v>
      </c>
      <c r="M112" s="138" t="s">
        <v>1</v>
      </c>
      <c r="N112" s="138" t="s">
        <v>1</v>
      </c>
      <c r="O112" s="138" t="s">
        <v>1069</v>
      </c>
      <c r="P112" s="138" t="s">
        <v>1070</v>
      </c>
      <c r="Q112" s="138" t="s">
        <v>1</v>
      </c>
      <c r="R112" s="138" t="s">
        <v>1071</v>
      </c>
      <c r="S112" s="138" t="s">
        <v>248</v>
      </c>
      <c r="T112" s="138" t="s">
        <v>1072</v>
      </c>
      <c r="U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Not started</v>
      </c>
      <c r="V112" s="146">
        <f>IF(T112="","",VALUE(LEFT(T112,SEARCH("/",T112)-1)))</f>
        <v>75</v>
      </c>
      <c r="W112" s="146">
        <f>IF(T112="","",VALUE(MID(T112,SEARCH("/",T112)+1,LEN(T112))))</f>
        <v>180</v>
      </c>
    </row>
    <row r="113" customFormat="false" ht="15" hidden="false" customHeight="false" outlineLevel="0" collapsed="false">
      <c r="A113" s="136" t="s">
        <v>1073</v>
      </c>
      <c r="B113" s="136" t="s">
        <v>155</v>
      </c>
      <c r="C113" s="263" t="s">
        <v>43</v>
      </c>
      <c r="D113" s="136" t="s">
        <v>1074</v>
      </c>
      <c r="E113" s="136" t="s">
        <v>1075</v>
      </c>
      <c r="F113" s="136" t="s">
        <v>1076</v>
      </c>
      <c r="G113" s="136" t="s">
        <v>1077</v>
      </c>
      <c r="H113" s="136" t="s">
        <v>1078</v>
      </c>
      <c r="I113" s="136" t="s">
        <v>1079</v>
      </c>
      <c r="J113" s="136" t="s">
        <v>1080</v>
      </c>
      <c r="K113" s="136" t="s">
        <v>1001</v>
      </c>
      <c r="L113" s="136" t="s">
        <v>1</v>
      </c>
      <c r="M113" s="136" t="s">
        <v>1</v>
      </c>
      <c r="N113" s="136" t="s">
        <v>189</v>
      </c>
      <c r="O113" s="136" t="s">
        <v>1081</v>
      </c>
      <c r="P113" s="136" t="s">
        <v>1082</v>
      </c>
      <c r="Q113" s="136" t="s">
        <v>1004</v>
      </c>
      <c r="R113" s="136" t="s">
        <v>1083</v>
      </c>
      <c r="S113" s="136" t="s">
        <v>1084</v>
      </c>
      <c r="T113" s="136" t="s">
        <v>1085</v>
      </c>
      <c r="U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Pending</v>
      </c>
      <c r="V113" s="146">
        <f>IF(T113="","",VALUE(LEFT(T113,SEARCH("/",T113)-1)))</f>
        <v>60</v>
      </c>
      <c r="W113" s="146">
        <f>IF(T113="","",VALUE(MID(T113,SEARCH("/",T113)+1,LEN(T113))))</f>
        <v>145</v>
      </c>
    </row>
    <row r="114" customFormat="false" ht="15" hidden="false" customHeight="false" outlineLevel="0" collapsed="false">
      <c r="A114" s="138" t="s">
        <v>1086</v>
      </c>
      <c r="B114" s="138" t="s">
        <v>155</v>
      </c>
      <c r="C114" s="263" t="s">
        <v>43</v>
      </c>
      <c r="D114" s="138" t="s">
        <v>1087</v>
      </c>
      <c r="E114" s="138" t="s">
        <v>1088</v>
      </c>
      <c r="F114" s="138" t="s">
        <v>1089</v>
      </c>
      <c r="G114" s="138" t="s">
        <v>1090</v>
      </c>
      <c r="H114" s="138" t="s">
        <v>1091</v>
      </c>
      <c r="I114" s="138" t="s">
        <v>1092</v>
      </c>
      <c r="J114" s="138" t="s">
        <v>1093</v>
      </c>
      <c r="K114" s="138" t="s">
        <v>988</v>
      </c>
      <c r="L114" s="138" t="s">
        <v>1</v>
      </c>
      <c r="M114" s="138" t="s">
        <v>1</v>
      </c>
      <c r="N114" s="138" t="s">
        <v>1</v>
      </c>
      <c r="O114" s="138" t="s">
        <v>1094</v>
      </c>
      <c r="P114" s="138" t="s">
        <v>1095</v>
      </c>
      <c r="Q114" s="138" t="s">
        <v>1</v>
      </c>
      <c r="R114" s="138" t="s">
        <v>1096</v>
      </c>
      <c r="S114" s="138" t="s">
        <v>1097</v>
      </c>
      <c r="T114" s="138" t="s">
        <v>1098</v>
      </c>
      <c r="U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Not started</v>
      </c>
      <c r="V114" s="146">
        <f>IF(T114="","",VALUE(LEFT(T114,SEARCH("/",T114)-1)))</f>
        <v>130</v>
      </c>
      <c r="W114" s="146">
        <f>IF(T114="","",VALUE(MID(T114,SEARCH("/",T114)+1,LEN(T114))))</f>
        <v>310</v>
      </c>
    </row>
    <row r="115" customFormat="false" ht="15" hidden="false" customHeight="false" outlineLevel="0" collapsed="false">
      <c r="A115" s="138" t="s">
        <v>1099</v>
      </c>
      <c r="B115" s="138" t="s">
        <v>155</v>
      </c>
      <c r="C115" s="243" t="s">
        <v>49</v>
      </c>
      <c r="D115" s="138" t="s">
        <v>1100</v>
      </c>
      <c r="E115" s="138" t="s">
        <v>1101</v>
      </c>
      <c r="F115" s="138" t="s">
        <v>4</v>
      </c>
      <c r="G115" s="138" t="s">
        <v>1102</v>
      </c>
      <c r="H115" s="138" t="s">
        <v>4</v>
      </c>
      <c r="I115" s="138" t="s">
        <v>1103</v>
      </c>
      <c r="J115" s="138" t="s">
        <v>1104</v>
      </c>
      <c r="K115" s="138" t="s">
        <v>988</v>
      </c>
      <c r="L115" s="138" t="s">
        <v>1</v>
      </c>
      <c r="M115" s="138" t="s">
        <v>1</v>
      </c>
      <c r="N115" s="138" t="s">
        <v>1</v>
      </c>
      <c r="O115" s="138" t="s">
        <v>1105</v>
      </c>
      <c r="P115" s="138" t="s">
        <v>1106</v>
      </c>
      <c r="Q115" s="138" t="s">
        <v>1</v>
      </c>
      <c r="R115" s="138" t="s">
        <v>1107</v>
      </c>
      <c r="S115" s="138" t="s">
        <v>88</v>
      </c>
      <c r="T115" s="138" t="s">
        <v>1085</v>
      </c>
      <c r="U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Not started</v>
      </c>
      <c r="V115" s="146">
        <f>IF(T115="","",VALUE(LEFT(T115,SEARCH("/",T115)-1)))</f>
        <v>60</v>
      </c>
      <c r="W115" s="146">
        <f>IF(T115="","",VALUE(MID(T115,SEARCH("/",T115)+1,LEN(T115))))</f>
        <v>145</v>
      </c>
    </row>
    <row r="116" customFormat="false" ht="15" hidden="false" customHeight="false" outlineLevel="0" collapsed="false">
      <c r="A116" s="138" t="s">
        <v>1108</v>
      </c>
      <c r="B116" s="138" t="s">
        <v>155</v>
      </c>
      <c r="C116" s="243" t="s">
        <v>49</v>
      </c>
      <c r="D116" s="138" t="s">
        <v>1109</v>
      </c>
      <c r="E116" s="138" t="s">
        <v>1110</v>
      </c>
      <c r="F116" s="138" t="s">
        <v>1111</v>
      </c>
      <c r="G116" s="138" t="s">
        <v>1112</v>
      </c>
      <c r="H116" s="138" t="s">
        <v>1113</v>
      </c>
      <c r="I116" s="138" t="s">
        <v>1114</v>
      </c>
      <c r="J116" s="138" t="s">
        <v>1115</v>
      </c>
      <c r="K116" s="138" t="s">
        <v>988</v>
      </c>
      <c r="L116" s="138" t="s">
        <v>1</v>
      </c>
      <c r="M116" s="138" t="s">
        <v>1</v>
      </c>
      <c r="N116" s="138" t="s">
        <v>1</v>
      </c>
      <c r="O116" s="138" t="s">
        <v>1116</v>
      </c>
      <c r="P116" s="138" t="s">
        <v>1117</v>
      </c>
      <c r="Q116" s="138" t="s">
        <v>1</v>
      </c>
      <c r="R116" s="138" t="s">
        <v>1118</v>
      </c>
      <c r="S116" s="138" t="s">
        <v>88</v>
      </c>
      <c r="T116" s="138" t="s">
        <v>1072</v>
      </c>
      <c r="U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Not started</v>
      </c>
      <c r="V116" s="146">
        <f>IF(T116="","",VALUE(LEFT(T116,SEARCH("/",T116)-1)))</f>
        <v>75</v>
      </c>
      <c r="W116" s="146">
        <f>IF(T116="","",VALUE(MID(T116,SEARCH("/",T116)+1,LEN(T116))))</f>
        <v>180</v>
      </c>
    </row>
    <row r="117" customFormat="false" ht="15" hidden="false" customHeight="false" outlineLevel="0" collapsed="false">
      <c r="A117" s="138" t="s">
        <v>1119</v>
      </c>
      <c r="B117" s="138" t="s">
        <v>155</v>
      </c>
      <c r="C117" s="243" t="s">
        <v>49</v>
      </c>
      <c r="D117" s="138" t="s">
        <v>1120</v>
      </c>
      <c r="E117" s="138" t="s">
        <v>1121</v>
      </c>
      <c r="F117" s="138" t="s">
        <v>4</v>
      </c>
      <c r="G117" s="138" t="s">
        <v>1122</v>
      </c>
      <c r="H117" s="138" t="s">
        <v>4</v>
      </c>
      <c r="I117" s="138" t="s">
        <v>1123</v>
      </c>
      <c r="J117" s="138" t="s">
        <v>1124</v>
      </c>
      <c r="K117" s="138" t="s">
        <v>988</v>
      </c>
      <c r="L117" s="138" t="s">
        <v>1</v>
      </c>
      <c r="M117" s="138" t="s">
        <v>1</v>
      </c>
      <c r="N117" s="138" t="s">
        <v>1</v>
      </c>
      <c r="O117" s="138" t="s">
        <v>1125</v>
      </c>
      <c r="P117" s="138" t="s">
        <v>1126</v>
      </c>
      <c r="Q117" s="138" t="s">
        <v>1</v>
      </c>
      <c r="R117" s="138" t="s">
        <v>1127</v>
      </c>
      <c r="S117" s="138" t="s">
        <v>111</v>
      </c>
      <c r="T117" s="138" t="s">
        <v>1128</v>
      </c>
      <c r="U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Not started</v>
      </c>
      <c r="V117" s="146">
        <f>IF(T117="","",VALUE(LEFT(T117,SEARCH("/",T117)-1)))</f>
        <v>30</v>
      </c>
      <c r="W117" s="146">
        <f>IF(T117="","",VALUE(MID(T117,SEARCH("/",T117)+1,LEN(T117))))</f>
        <v>80</v>
      </c>
    </row>
    <row r="118" customFormat="false" ht="15" hidden="false" customHeight="false" outlineLevel="0" collapsed="false">
      <c r="A118" s="138" t="s">
        <v>1129</v>
      </c>
      <c r="B118" s="138" t="s">
        <v>155</v>
      </c>
      <c r="C118" s="243" t="s">
        <v>49</v>
      </c>
      <c r="D118" s="138" t="s">
        <v>1130</v>
      </c>
      <c r="E118" s="138" t="s">
        <v>1131</v>
      </c>
      <c r="F118" s="138" t="s">
        <v>1132</v>
      </c>
      <c r="G118" s="138" t="s">
        <v>1133</v>
      </c>
      <c r="H118" s="138" t="s">
        <v>4</v>
      </c>
      <c r="I118" s="138" t="s">
        <v>1134</v>
      </c>
      <c r="J118" s="138" t="s">
        <v>1135</v>
      </c>
      <c r="K118" s="138" t="s">
        <v>988</v>
      </c>
      <c r="L118" s="138" t="s">
        <v>1</v>
      </c>
      <c r="M118" s="138" t="s">
        <v>1</v>
      </c>
      <c r="N118" s="138" t="s">
        <v>1</v>
      </c>
      <c r="O118" s="138" t="s">
        <v>1136</v>
      </c>
      <c r="P118" s="138" t="s">
        <v>1137</v>
      </c>
      <c r="Q118" s="138" t="s">
        <v>1</v>
      </c>
      <c r="R118" s="138" t="s">
        <v>1138</v>
      </c>
      <c r="S118" s="138" t="s">
        <v>980</v>
      </c>
      <c r="T118" s="138" t="s">
        <v>1128</v>
      </c>
      <c r="U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Not started</v>
      </c>
      <c r="V118" s="146">
        <f>IF(T118="","",VALUE(LEFT(T118,SEARCH("/",T118)-1)))</f>
        <v>30</v>
      </c>
      <c r="W118" s="146">
        <f>IF(T118="","",VALUE(MID(T118,SEARCH("/",T118)+1,LEN(T118))))</f>
        <v>80</v>
      </c>
    </row>
  </sheetData>
  <mergeCells count="28">
    <mergeCell ref="A1:B1"/>
    <mergeCell ref="A6:T6"/>
    <mergeCell ref="A7:B7"/>
    <mergeCell ref="D7:E7"/>
    <mergeCell ref="F7:G7"/>
    <mergeCell ref="I7:J7"/>
    <mergeCell ref="A8:B8"/>
    <mergeCell ref="D8:E8"/>
    <mergeCell ref="F8:G8"/>
    <mergeCell ref="I8:J8"/>
    <mergeCell ref="A9:B9"/>
    <mergeCell ref="D9:E9"/>
    <mergeCell ref="F9:G9"/>
    <mergeCell ref="I9:J9"/>
    <mergeCell ref="A10:B10"/>
    <mergeCell ref="D10:E10"/>
    <mergeCell ref="F10:G10"/>
    <mergeCell ref="I10:J10"/>
    <mergeCell ref="A11:B11"/>
    <mergeCell ref="D11:E11"/>
    <mergeCell ref="F11:G11"/>
    <mergeCell ref="I11:J11"/>
    <mergeCell ref="A12:B12"/>
    <mergeCell ref="D12:E12"/>
    <mergeCell ref="F12:G12"/>
    <mergeCell ref="I12:J12"/>
    <mergeCell ref="A13:T13"/>
    <mergeCell ref="L14:M14"/>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