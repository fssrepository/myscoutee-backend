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<sst xmlns="http://schemas.openxmlformats.org/spreadsheetml/2006/main" count="2380" uniqueCount="1149">
  <si>
    <t>EFFECT / SCOPE MARKERS</t>
  </si>
  <si>
    <t/>
  </si>
  <si>
    <t>Done</t>
  </si>
  <si>
    <t>94 (90%)</t>
  </si>
  <si>
    <t>X</t>
  </si>
  <si>
    <t>No expected effect — An unchanged X cell is PASS</t>
  </si>
  <si>
    <t>Pending</t>
  </si>
  <si>
    <t>5</t>
  </si>
  <si>
    <t>DELTA</t>
  </si>
  <si>
    <t>Required direct effect — Record before/after count and direction</t>
  </si>
  <si>
    <t>Not started</t>
  </si>
  <si>
    <t>INDIRECT</t>
  </si>
  <si>
    <t>Conditional effect — State the condition and prove it occurred</t>
  </si>
  <si>
    <t>Failed</t>
  </si>
  <si>
    <t>0</t>
  </si>
  <si>
    <t>GAP</t>
  </si>
  <si>
    <t>Known observability gap — Record FAIL/GAP separately from domain PASS</t>
  </si>
  <si>
    <t>Total</t>
  </si>
  <si>
    <t>104</t>
  </si>
  <si>
    <t>DOMAIN PRIORITY</t>
  </si>
  <si>
    <t>QA domain</t>
  </si>
  <si>
    <t>Priority</t>
  </si>
  <si>
    <t>Progress / remaining min/max</t>
  </si>
  <si>
    <t>QA infrastructure</t>
  </si>
  <si>
    <t>14</t>
  </si>
  <si>
    <t>2 passed / 2 total (100%) · 0/0</t>
  </si>
  <si>
    <t>Asset</t>
  </si>
  <si>
    <t>9</t>
  </si>
  <si>
    <t>5 passed / 7 total (71%) · 135/320</t>
  </si>
  <si>
    <t>Identity &amp; access</t>
  </si>
  <si>
    <t>13</t>
  </si>
  <si>
    <t>8 passed / 8 total (100%) · 0/0</t>
  </si>
  <si>
    <t>Content</t>
  </si>
  <si>
    <t>8</t>
  </si>
  <si>
    <t>3 passed / 3 total (100%) · 0/0</t>
  </si>
  <si>
    <t>Event</t>
  </si>
  <si>
    <t>12</t>
  </si>
  <si>
    <t>49 passed / 49 total (100%) · 0/0</t>
  </si>
  <si>
    <t>Notifications</t>
  </si>
  <si>
    <t>7</t>
  </si>
  <si>
    <t>5 passed / 6 total (83%) · 55/130</t>
  </si>
  <si>
    <t>Tournament</t>
  </si>
  <si>
    <t>11</t>
  </si>
  <si>
    <t>15 passed / 15 total (100%) · 0/0</t>
  </si>
  <si>
    <t>Administration</t>
  </si>
  <si>
    <t>1 passed / 4 total (25%) · 265/635</t>
  </si>
  <si>
    <t>Chat</t>
  </si>
  <si>
    <t>10</t>
  </si>
  <si>
    <t>6 passed / 6 total (100%) · 0/0</t>
  </si>
  <si>
    <t>Operator</t>
  </si>
  <si>
    <t>3</t>
  </si>
  <si>
    <t>0 passed / 4 total (0%) · 195/485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</si>
  <si>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</si>
  <si>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</si>
  <si>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</si>
  <si>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</si>
  <si>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</si>
  <si>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</si>
  <si>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</si>
  <si>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</si>
  <si>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</si>
  <si>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</si>
  <si>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</si>
  <si>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</si>
  <si>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</si>
  <si>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</si>
  <si>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</si>
  <si>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</si>
  <si>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</si>
  <si>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</si>
  <si>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</si>
  <si>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</si>
  <si>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Remaining QA complexity (min/max)</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</si>
  <si>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</si>
  <si>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</si>
  <si>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</si>
  <si>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</si>
  <si>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</si>
  <si>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</si>
  <si>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</si>
  <si>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</si>
  <si>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</si>
  <si>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PASS / CLOSED</t>
  </si>
  <si>
    <t>2026-08-30</t>
  </si>
  <si>
    <t>Versioned admin-job and manual-QA read-only status guards; deployment schema-v4 safety marker</t>
  </si>
  <si>
    <t>Closed; repeat the read-only gate at the start of a new session or after an interrupted fixture</t>
  </si>
  <si>
    <t>PASS</t>
  </si>
  <si>
    <t>Both snapshot collections were empty. event-random-groups reported prepared=false, pending=0 and no fixture event, generated room, chat, message, outbox or bell artifact. stat-012 reported phase=not-staged, prepared=false and pending=0. Two legacy schema-v3 marker guards were aligned with the current deployment schema v4 before the successful status replay; no fixture/reset mutation was performed.</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</si>
  <si>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</si>
  <si>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</si>
  <si>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</si>
  <si>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</si>
  <si>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</si>
  <si>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</si>
  <si>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STAT-012 helper snapshots/restores both selected users' activity projections; schema-v4 deployment guard; managed Nova browser plus independent terminal Mongo oracle</t>
  </si>
  <si>
    <t>Closed; replay only after reset projection ownership or the STAT-012 helper changes</t>
  </si>
  <si>
    <t>After one explicit Nova reload, the user confirmed Invitations and Notifications both had no red badge and empty lists. The independent terminal oracle returned stat-012 phase=not-staged, prepared=false, pending=0, snapshot count 0; Nova activities.invitations, activities.event.all, activities.event.invitations and activities.notifications were all 0, with zero pending event memberships and zero live notifications.</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</si>
  <si>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</si>
  <si>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</si>
  <si>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</si>
  <si>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</si>
  <si>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</si>
  <si>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</si>
  <si>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</si>
  <si>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</si>
  <si>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</si>
  <si>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</si>
  <si>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</si>
  <si>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</si>
  <si>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</si>
  <si>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</si>
  <si>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</si>
  <si>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</si>
  <si>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</si>
  <si>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</si>
  <si>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</si>
  <si>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</si>
  <si>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</si>
  <si>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</si>
  <si>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</si>
  <si>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</si>
  <si>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</si>
  <si>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</si>
  <si>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</si>
  <si>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</si>
  <si>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</si>
  <si>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</si>
  <si>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</si>
  <si>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</si>
  <si>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</si>
  <si>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</si>
  <si>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</si>
  <si>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</si>
  <si>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</si>
  <si>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</si>
  <si>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</si>
  <si>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</si>
  <si>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</si>
  <si>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</si>
  <si>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</si>
  <si>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</si>
  <si>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</si>
  <si>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</si>
  <si>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</si>
  <si>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</si>
  <si>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</si>
  <si>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</si>
  <si>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</si>
  <si>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</si>
  <si>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</si>
  <si>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</si>
  <si>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t>
  </si>
  <si>
    <t>Closed: replay only if regional eligibility, permission handling, stale-coordinate isolation or demo-entry partition behavior changes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</si>
  <si>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Verified Firebase login/profile partition retention is owned by external CP04 ENTRY-FIREBASE-REG-001.</t>
  </si>
  <si>
    <t>ROLE-TRIAD-CORE-001</t>
  </si>
  <si>
    <t>Consolidated journey</t>
  </si>
  <si>
    <t>Three-role authorization, configuration and moderation</t>
  </si>
  <si>
    <t>Keep exactly one member, admin and operator session open; prove route boundaries, persist one branding revision, then execute warn/report/feedback/support/block/unblock as one lifecycle</t>
  </si>
  <si>
    <t>INDIRECT role-scoped counters; X; INDIRECT member access state; INDIRECT warning count; INDIRECT active user/access state; INDIRECT moderation count; INDIRECT pending feedback count; Moderation timeline/item and attention change</t>
  </si>
  <si>
    <t>DELTA denied access audit where defined; DELTA one public revision; DELTA moderation audit; DELTA denial audit where defined; DELTA warning/audit/target notification; DELTA block/unblock audit and session policy; DELTA report resolution and target policy effect; DELTA feedback moderation state; DELTA time/actor/scope-bound capability audit; Users/Jobs or relevant domain delta</t>
  </si>
  <si>
    <t>X; DELTA one notification delivery when policy requires; CONDITIONAL target notification only if policy names it; CONDITIONAL creator effect only if policy names it</t>
  </si>
  <si>
    <t>Each role sees only its capabilities and direct cross-role calls are denied without state mutation; The authorized branding revision persists; already-open consumers may require explicit reload and automatic refresh is not required; neither can edit operator config; Member access closes per policy; operator network/session remains intact and admin cannot alter operator authority; Admin succeeds within policy; operator/member direct calls are denied without data leakage or mutation; One target warning/notification occurs; admin receives no self-notification and replay is deduped; Protected requests fail per policy; operator/admin remain usable and unblock restores only authorized access; Exact report records actor/time/reason once; adjacent control remains unchanged; Creator-facing effect matches policy and unrelated impression/rating/report is unchanged; Sensitive actions remain separately authorized and expiry/revoke immediately denies reuse; Bell/moderation state correct</t>
  </si>
  <si>
    <t>MANUAL UI + PERSISTED ORACLE PASS / CLOSED</t>
  </si>
  <si>
    <t>2026-08-31</t>
  </si>
  <si>
    <t>Consolidated role/security, configuration, moderation, notification and support-session sources; running backend owner compile/classes and frontend owner watcher builds passed during defect correction; versioned role-triad Mongo checkpoint oracle supplied persisted boundary evidence without launching a parallel test/build process</t>
  </si>
  <si>
    <t>Closed; retain the complete three-role journey as a release-change regression sample</t>
  </si>
  <si>
    <t>The user accepted all 22 visual/interaction checkpoints after the full run and focused correction replays. Persisted boundary oracles covered branding save/restore, one warning, the shared support thread, live support-status bucket transitions, one report resolution, notification-only feedback resolution, block/unblock and access restoration. Final broad oracle: actor roles intact; Kai unblocked as host only; branding restored to revision 0; feedback 690000000000000000000202 resolved by admin-demo-ava at 2026-08-31T11:07:11.199156350Z; canonical feedback notification/outbox 1/1; moderation and legacy feedback chat/message/notification/outbox/support-case counts all 0; Ava support buckets and affinity residue 0. Versioned resets intentionally removed earlier transaction artifacts only after their evidence was recorded.</t>
  </si>
  <si>
    <t>P1 94</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</si>
  <si>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</si>
  <si>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</si>
  <si>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</si>
  <si>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</si>
  <si>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</si>
  <si>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</si>
  <si>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</si>
  <si>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</si>
  <si>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Versioned snapshot-protected account-purge fixture; real scheduler; exact terminal Mongo oracle; running frontend watcher compilation</t>
  </si>
  <si>
    <t>Closed; repeat only after deleted-account purge eligibility, cascade cleanup, scheduler runtime, pending counter or Jobs timing editor changes</t>
  </si>
  <si>
    <t>The dynamic Jobs table/detail visibly moved from one eligible item to Completed with affected 1 and pending 0 without manual Run. The exact oracle proved the fixture user and its userRates reference absent, and the terminal purge job Completed with cleared userId, completion timestamp, retry count 0 and no error. Snapshot-safe reset restored the original 86400-second rule and proved prepared:false. The same pass corrected Timing-popup X cancellation, unchanged-checkmark dirty behavior, duplicate header Quartz text and the redundant Timing Edit dirty dot; the existing frontend watcher compiled successfully.</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</si>
  <si>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</si>
  <si>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</si>
  <si>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</si>
  <si>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</si>
  <si>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</si>
  <si>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</si>
  <si>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</si>
  <si>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</si>
  <si>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</si>
  <si>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</si>
  <si>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2026-08-04</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</si>
  <si>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</si>
  <si>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</si>
  <si>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</si>
  <si>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</si>
  <si>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</si>
  <si>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</si>
  <si>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</si>
  <si>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</si>
  <si>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</si>
  <si>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</si>
  <si>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</si>
  <si>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</si>
  <si>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</si>
  <si>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</si>
  <si>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</si>
  <si>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</si>
  <si>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</si>
  <si>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</si>
  <si>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</si>
  <si>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</si>
  <si>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</si>
  <si>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</si>
  <si>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</si>
  <si>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</si>
  <si>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</si>
  <si>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</si>
  <si>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</si>
  <si>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</si>
  <si>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</si>
  <si>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</si>
  <si>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</si>
  <si>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</si>
  <si>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</si>
  <si>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</si>
  <si>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</si>
  <si>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</si>
  <si>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</si>
  <si>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</si>
  <si>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</si>
  <si>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</si>
  <si>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</si>
  <si>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</si>
  <si>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</si>
  <si>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</si>
  <si>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</si>
  <si>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</si>
  <si>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</si>
  <si>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</si>
  <si>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</si>
  <si>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</si>
  <si>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</si>
  <si>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</si>
  <si>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</si>
  <si>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</si>
  <si>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</si>
  <si>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</si>
  <si>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</si>
  <si>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</si>
  <si>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</si>
  <si>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</si>
  <si>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</si>
  <si>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</si>
  <si>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</si>
  <si>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</si>
  <si>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</si>
  <si>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</si>
  <si>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</si>
  <si>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</si>
  <si>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</si>
  <si>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</si>
  <si>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</si>
  <si>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</si>
  <si>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</si>
  <si>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</si>
  <si>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</si>
  <si>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</si>
  <si>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</si>
  <si>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</si>
  <si>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</si>
  <si>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</si>
  <si>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</si>
  <si>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</si>
  <si>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</si>
  <si>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</si>
  <si>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</si>
  <si>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</si>
  <si>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</si>
  <si>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</si>
  <si>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</si>
  <si>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</si>
  <si>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</si>
  <si>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</si>
  <si>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</si>
  <si>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EVENT-SLOT-TOURNAMENT-001</t>
  </si>
  <si>
    <t>Tournament definition and recurring-slot lifecycle</t>
  </si>
  <si>
    <t>Save/reopen one tournament definition with a weekly template and two occurrences, inspect host/participant action gating, then close an ended stage and edit one past leaderboard score</t>
  </si>
  <si>
    <t>INDIRECT event activity; INDIRECT event inventory after Save; X; INDIRECT stage activity; INDIRECT score activity</t>
  </si>
  <si>
    <t>DELTA event write and recompute; DELTA parent event write and recompute; X; DELTA slot-scoped runtime mutation and recompute; DELTA score row and tournament-input recompute</t>
  </si>
  <si>
    <t>INDIRECT after recompute; INDIRECT after event recompute; X</t>
  </si>
  <si>
    <t>Tournament review/grouping X until explicitly armed; X unless a named downstream job becomes eligible; X; Tournament review X until separately armed; Review scheduler X until separately armed</t>
  </si>
  <si>
    <t>Stages, capacities and group definition survive reopen; Upcoming list shows multiple dated sections with the same two definitions once each; Only role/mode/time-valid member, resource and runtime actions are visible; Only selected slot/stage changes RS or A to SR with stage-closed reason; Group members and changed score remain scoped to one slot/stage/group</t>
  </si>
  <si>
    <t>2026-09-01</t>
  </si>
  <si>
    <t>Consolidates EVENT-EDITOR-004, EVENT-SLOT-001, EVENT-SLOT-002, EVENT-SLOT-003, EVENT-SLOT-004; focused regression sources cover slot-owner leaderboard loading and same-ID generated/manual group overlay; running frontend/backend hot-deploy owner builds PASS</t>
  </si>
  <si>
    <t>Closed; proceed to EVENT-EDIT-RUNTIME-001. Retain definition/template/occurrence identity, unique group merge, stage Close and slot score/history as regression controls</t>
  </si>
  <si>
    <t>All five sources PASS. Save/reopen retained ordered Qualifier/Final definitions; save completion reloaded the mounted Sub Events list and six weekly occurrences remained identity-stable. Future host/participant menus were read-only and role/time gated. Clean Close changed one full slot runtime RS-&gt;SR/stage-closed with groupsCount 2-&gt;2, stable 7/4 scores, one EVENT_CHANGED recompute and no tournament review/group generation. EVENT-SLOT-004 returned Group A once with Nova/Riley, saved exactly one Nova +3 note under the September 1 slot for total 10/2 updates, retained Riley 4/1 and left the September 8 occurrence empty. Frontend snapshot slot scope, same-ID group overlay/counting, raw template _id fixture shape and list-card mode/slots/avatar projection defects were repaired. User confirmed the manual UI; independent API/Mongo oracles proved exact scope and side effects. All retained fixtures reset/not-staged.</t>
  </si>
  <si>
    <t>EVENT-EDIT-RUNTIME-001</t>
  </si>
  <si>
    <t>Event creation, runtime view switching and active edit</t>
  </si>
  <si>
    <t>Create one normal childless Draft through the UI; prove its root MAIN_EVENT; assign root Transport; save exactly two Slots and prove one slot-scoped MAIN_EVENT per Slot replaces the root view; isolate first-Slot Accommodation and second-Slot Supplies; remove both Slots and prove the same root MAIN_EVENT and Transport return; publish; edit capacity; execute scoped root-Transport Invite/Delete; then remove and reassign the Transport</t>
  </si>
  <si>
    <t>INDIRECT after each owning create/edit/publish delta; every View/reload X</t>
  </si>
  <si>
    <t>DELTA Event create/edit/publish and normal recompute; DELTA root MAIN_EVENT active -&gt; D -&gt; active on childless/two-Slot switching without identity replacement; DELTA independently scoped Slot resources; DELTA root resource assignment and scoped invite/delete write; every View/reload X</t>
  </si>
  <si>
    <t>INDIRECT only after documented owning Event/resource recompute</t>
  </si>
  <si>
    <t>DELTA normal Event recompute for changed Saves; other consumers conditional; scoped Invite/Delete and Remove/Reassign enqueue deduplicated Asset recomputes; no unchanged Event participation rewrite</t>
  </si>
  <si>
    <t>First Save shows one root MAIN_EVENT card; the two-Slot Save shows exactly one MAIN_EVENT in each Slot and no third root card; removing both Slots restores the original root document/record/sync identity and Transport; Publish and capacity 2/8 -&gt; 2/9 preserve it; Event Members contains Casey Admin and Nova Member once each; root Transport occupancy 1/0-4 has no red badge; scoped Nova invite changes pending badge 0 -&gt; 1 and Delete restores it to absent; Remove/Reassign changes accepted 1 -&gt; 0 -&gt; 1 across reopen/reload; no empty list, duplicate parent, global Asset member, synthetic :default child or tournament-only action</t>
  </si>
  <si>
    <t>MANUAL UI + FUNCTIONAL PASS; FIX VERIFIED; CLOSED</t>
  </si>
  <si>
    <t>2026-09-02</t>
  </si>
  <si>
    <t>Consolidates EVENT-EDITOR-005 and EVENT-RUNTIME-001. Existing backend/frontend regression sources cover childless materialization, empty enabled-collection canonicalization and per-Slot MAIN_EVENT mapping; existing MAIN_EVENT resource-scope controls passed. The running frontend/backend hot-deploy owner builds passed; no duplicate build or test process was launched beside the watchers.</t>
  </si>
  <si>
    <t>Closed. Preserve the captured post-create boundary only for the focused Delete replay; otherwise reset through the versioned harness before selecting the next Pair-QA testcase.</t>
  </si>
  <si>
    <t>Complete English checklist PASS through step 62. Casey created Event h1788317751991 through the UI and proved the root MAIN_EVENT, two independent Slot MAIN_EVENT scopes, isolated Accommodation/Supplies, then restoration of the same root runtime document 6a9790503071603425ae103d, recordId main-event:h1788317751991 and syncKey 0e21c605-865c-4e49-bd89-b5288cf3df82. Publish, fixture-provided accepted Nova membership, capacity 2/8 -&gt; 2/9, Members and presentation checks passed. Root Transport invite/delete ended with one Casey accepted request/projection, no Nova pending request/projection or Transport member row, and accepted=1/pending=0/capacityMax=4. Remove at 05:38:05 deleted the accepted root request and saved the runtime; backend reads at 05:38:10 and 05:38:12 preceded reassign at 05:38:14, corroborating the user's step-57 reopen/reload PASS. Reassign restored exactly one root Transport; the final task completed at 2026-09-02T03:39:01.795480583Z with no error. Dev-only platform seed debounce is 15s while Java and production behavior remain unchanged.</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</si>
  <si>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</si>
  <si>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</si>
  <si>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</si>
  <si>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</si>
  <si>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</si>
  <si>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</si>
  <si>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</si>
  <si>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</si>
  <si>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</si>
  <si>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</si>
  <si>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</si>
  <si>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</si>
  <si>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</si>
  <si>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</si>
  <si>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</si>
  <si>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</si>
  <si>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</si>
  <si>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</si>
  <si>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</si>
  <si>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</si>
  <si>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</si>
  <si>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</si>
  <si>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</si>
  <si>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</si>
  <si>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</si>
  <si>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</si>
  <si>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</si>
  <si>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</si>
  <si>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</si>
  <si>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</si>
  <si>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</si>
  <si>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</si>
  <si>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</si>
  <si>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</si>
  <si>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</si>
  <si>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</si>
  <si>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</si>
  <si>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</si>
  <si>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</si>
  <si>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</si>
  <si>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</si>
  <si>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</si>
  <si>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</si>
  <si>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</si>
  <si>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</si>
  <si>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</si>
  <si>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</si>
  <si>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</si>
  <si>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</si>
  <si>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</si>
  <si>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</si>
  <si>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</si>
  <si>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</si>
  <si>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</si>
  <si>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</si>
  <si>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</si>
  <si>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</si>
  <si>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</si>
  <si>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</si>
  <si>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</si>
  <si>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</si>
  <si>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Pending invitation privacy and authorization</t>
  </si>
  <si>
    <t>With owner, invited target and unrelated control isolated, inspect one pending invitation before acceptance through list and detail paths</t>
  </si>
  <si>
    <t>Accepted-only controls, chat and resources are hidden; Firebase-authenticated direct/deep-link denial is external</t>
  </si>
  <si>
    <t>MANUAL UI PASS; LOCAL EVENT GATE CLOSED</t>
  </si>
  <si>
    <t>Local demo UI/privacy branch PASS; authenticated policy denial is owned by DEPLOY-FIREBASE-LIFECYCLE-001</t>
  </si>
  <si>
    <t>Closed locally; replay only the production-authenticated direct/deep-link denial as an assertion inside DEPLOY-FIREBASE-LIFECYCLE-001</t>
  </si>
  <si>
    <t>Riley opened the invitation and read-only event view. Fields were disabled; invitation-specific View, Accept and Reject actions were present; no event chat or participant resources were visible. Members remained visible because Open Event allows preview. The demo session cannot prove the production policy denial, so that one assertion moved to the production-like Firebase deployment journey and no longer gates Event. The Members screen separately exposed EVENT-MEMBER-CREATOR-001. No acceptance action belongs to this case.</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</si>
  <si>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</si>
  <si>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</si>
  <si>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</si>
  <si>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</si>
  <si>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</si>
  <si>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</si>
  <si>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</si>
  <si>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</si>
  <si>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</si>
  <si>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</si>
  <si>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</si>
  <si>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</si>
  <si>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</si>
  <si>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</si>
  <si>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</si>
  <si>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</si>
  <si>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</si>
  <si>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</si>
  <si>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</si>
  <si>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</si>
  <si>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</si>
  <si>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</si>
  <si>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</si>
  <si>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</si>
  <si>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</si>
  <si>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</si>
  <si>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</si>
  <si>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</si>
  <si>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</si>
  <si>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</si>
  <si>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</si>
  <si>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</si>
  <si>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</si>
  <si>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</si>
  <si>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</si>
  <si>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</si>
  <si>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</si>
  <si>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</si>
  <si>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</si>
  <si>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</si>
  <si>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</si>
  <si>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</si>
  <si>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</si>
  <si>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</si>
  <si>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</si>
  <si>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</si>
  <si>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</si>
  <si>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</si>
  <si>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</si>
  <si>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</si>
  <si>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</si>
  <si>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</si>
  <si>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</si>
  <si>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</si>
  <si>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</si>
  <si>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</si>
  <si>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</si>
  <si>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</si>
  <si>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</si>
  <si>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</si>
  <si>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</si>
  <si>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</si>
  <si>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</si>
  <si>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</si>
  <si>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</si>
  <si>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</si>
  <si>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</si>
  <si>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</si>
  <si>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</si>
  <si>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</si>
  <si>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</si>
  <si>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</si>
  <si>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</si>
  <si>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</si>
  <si>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</si>
  <si>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</si>
  <si>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</si>
  <si>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</si>
  <si>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</si>
  <si>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</si>
  <si>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</si>
  <si>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</si>
  <si>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</si>
  <si>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</si>
  <si>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</si>
  <si>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</si>
  <si>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</si>
  <si>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</si>
  <si>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</si>
  <si>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</si>
  <si>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</si>
  <si>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</si>
  <si>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</si>
  <si>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EVENT-CHECKOUT-001</t>
  </si>
  <si>
    <t>Event Explore Stripe checkout and Cash-only control</t>
  </si>
  <si>
    <t>From Event Explore traverse paid review, resumable basket, Cancel and one successful Stripe payment, then compare free, approval-required and waitlist action states</t>
  </si>
  <si>
    <t>INDIRECT one Event participation delta after successful Stripe payment; draft/cancel/summary reads X</t>
  </si>
  <si>
    <t>DELTA one basket/payment/membership chain for success and one closed Cancel audit; every reload/summary read X</t>
  </si>
  <si>
    <t>INDIRECT only after accepted membership evidence/recompute</t>
  </si>
  <si>
    <t>CONDITIONAL normal member/chat/affinity/outbox and simulator callback work for the selected demo branch</t>
  </si>
  <si>
    <t>Fresh paid: Book Event -&gt; Join -&gt; Stripe card/Payment; saved pre-pay: Continue booking plus Back/Cancel payment/Payment; assign orders selectable cards before provider-mismatched Reconnect cards and Expired cards, which remain unselectable while their badge menus remain usable without closing checkout; provider-change response names and carries the current provider, updates the open provider badge directly with no second request, and retains the selected card under a static Update needed badge; success: one accepted Activity Events Active/All row with View Event, Payment summary and Leave Event; free/approval/waitlist controls never expose Payment in an ineligible state; no freeze, duplicate popup, payment, membership, chat or counter</t>
  </si>
  <si>
    <t>2026-09-06</t>
  </si>
  <si>
    <t>User-controlled 81-step journey, named rollback checkpoints and final persisted oracle; backend/frontend hot-deploy builds passed; Watchlist visibility and recipient-scope regression specifications added</t>
  </si>
  <si>
    <t>Closed; repeat only after further Event checkout, payment, multi-Slot participation, Watchlist availability or leave-notification behavior changes</t>
  </si>
  <si>
    <t>All UI blocks passed. Final oracle retained exactly two authorized joined Stripe payments and no active basket, left Casey as the sole root/Slot member with one free place in each Slot, removed Nova/Riley membership and Watchlist state, and proved the expected availability/member notifications, outbox rows and two voluntary-leave chat messages exactly once. The later extra Add-to-watchlist action was isolated and cleaned through the versioned fixture before the final PASS. The accepted post-close copy/privacy follow-up uses left for self-leave, neutral new-spot copy, hides no-longer-visible watched Events, rejects hidden-event Watchlist writes/availability notices and sends generic republish or public-definition-change notifications only to outside watchers who can still view the Event.</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</si>
  <si>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</si>
  <si>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</si>
  <si>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</si>
  <si>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</si>
  <si>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</si>
  <si>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</si>
  <si>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</si>
  <si>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</si>
  <si>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</si>
  <si>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</si>
  <si>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</si>
  <si>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</si>
  <si>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</si>
  <si>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</si>
  <si>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</si>
  <si>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</si>
  <si>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</si>
  <si>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</si>
  <si>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</si>
  <si>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</si>
  <si>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</si>
  <si>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</si>
  <si>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</si>
  <si>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</si>
  <si>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</si>
  <si>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</si>
  <si>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</si>
  <si>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</si>
  <si>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</si>
  <si>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</si>
  <si>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</si>
  <si>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</si>
  <si>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</si>
  <si>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</si>
  <si>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</si>
  <si>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</si>
  <si>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</si>
  <si>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</si>
  <si>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</si>
  <si>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</si>
  <si>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</si>
  <si>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</si>
  <si>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</si>
  <si>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</si>
  <si>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</si>
  <si>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</si>
  <si>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</si>
  <si>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</si>
  <si>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</si>
  <si>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</si>
  <si>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</si>
  <si>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</si>
  <si>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</si>
  <si>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</si>
  <si>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</si>
  <si>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</si>
  <si>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</si>
  <si>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</si>
  <si>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</si>
  <si>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</si>
  <si>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</si>
  <si>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</si>
  <si>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</si>
  <si>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</si>
  <si>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</si>
  <si>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</si>
  <si>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</si>
  <si>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</si>
  <si>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</si>
  <si>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</si>
  <si>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</si>
  <si>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</si>
  <si>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</si>
  <si>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</si>
  <si>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</si>
  <si>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</si>
  <si>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</si>
  <si>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</si>
  <si>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</si>
  <si>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</si>
  <si>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</si>
  <si>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</si>
  <si>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</si>
  <si>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</si>
  <si>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</si>
  <si>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</si>
  <si>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</si>
  <si>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</si>
  <si>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</si>
  <si>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</si>
  <si>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</si>
  <si>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</si>
  <si>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</si>
  <si>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</si>
  <si>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</si>
  <si>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</si>
  <si>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</si>
  <si>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</si>
  <si>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</si>
  <si>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</si>
  <si>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</si>
  <si>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</si>
  <si>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</si>
  <si>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</si>
  <si>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</si>
  <si>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</si>
  <si>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</si>
  <si>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</si>
  <si>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</si>
  <si>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</si>
  <si>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</si>
  <si>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</si>
  <si>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</si>
  <si>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</si>
  <si>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</si>
  <si>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</si>
  <si>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</si>
  <si>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</si>
  <si>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</si>
  <si>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</si>
  <si>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</si>
  <si>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</si>
  <si>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</si>
  <si>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</si>
  <si>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</si>
  <si>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</si>
  <si>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</si>
  <si>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</si>
  <si>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</si>
  <si>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</si>
  <si>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</si>
  <si>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</si>
  <si>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</si>
  <si>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</si>
  <si>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</si>
  <si>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</si>
  <si>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</si>
  <si>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</si>
  <si>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</si>
  <si>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</si>
  <si>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</si>
  <si>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</si>
  <si>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</si>
  <si>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</si>
  <si>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</si>
  <si>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</si>
  <si>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</si>
  <si>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</si>
  <si>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</si>
  <si>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</si>
  <si>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</si>
  <si>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</si>
  <si>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</si>
  <si>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</si>
  <si>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</si>
  <si>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</si>
  <si>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EVENT-SCHEDULERS-001</t>
  </si>
  <si>
    <t>Event background-worker lifecycle</t>
  </si>
  <si>
    <t>Prepare bounded random-group, counter/ticket-expiry and checkout-basket-purge inputs and let each real scheduler process its exact work once</t>
  </si>
  <si>
    <t>DELTA scheduler/audit; INDIRECT Chat/outbox; DELTA scheduler/audit for zero/success/failure; INDIRECT domain event when non-empty; DELTA scheduler/audit</t>
  </si>
  <si>
    <t>DELTA status/count/duration/history; DELTA</t>
  </si>
  <si>
    <t>DELTA rooms/members/chats/system messages/counters; DELTA expired counters/tickets/user counters; DELTA basket resultState deleted and pending count</t>
  </si>
  <si>
    <t>Consolidates JOB-RANDOM, JOB-COUNTER, JOB-BASKET. Extensive fixture/self-tests; common lifecycle tests; Fixture/service/common lifecycle tests</t>
  </si>
  <si>
    <t>Closed; repeat only after Event scheduler, Job Detail polling, generated-room runtime, counter-expiry or checkout-basket reconciliation changes</t>
  </si>
  <si>
    <t>All three reset-isolated branches passed through the already-running scheduler without UI Run or direct worker calls. Random groups produced the exact six-user rooms/runtime/chat result; counter expiry passed one-work and zero-work with an unchanged second-pass domain fingerprint; basket purge ran exactly once at 2026-09-02T08:18:21Z, moved Metrics 1186/1186 to 1187/1187, deleted only the expired basket, preserved the future control and Event, and disappeared from the still-open Explore Basket while the menu returned to Book Event. Final fixture status: not-staged/prepared=false.</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</si>
  <si>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</si>
  <si>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</si>
  <si>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</si>
  <si>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</si>
  <si>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</si>
  <si>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</si>
  <si>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</si>
  <si>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</si>
  <si>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</si>
  <si>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</si>
  <si>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</si>
  <si>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</si>
  <si>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STAT-012</t>
  </si>
  <si>
    <t>Causal</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</si>
  <si>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</si>
  <si>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</si>
  <si>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</si>
  <si>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</si>
  <si>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</si>
  <si>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</si>
  <si>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</si>
  <si>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</si>
  <si>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PAYMENT-METHODS-HISTORY-001</t>
  </si>
  <si>
    <t>Member side-menu Payment history and saved cards</t>
  </si>
  <si>
    <t>From the side menu prove Cash-only blocks card registration; verify All/Expenses/Income history, immutable summaries and totals; register Stripe with admin-approved 3DS; switch provider, verify Retokenize/Delete recovery on the now mismatched Stripe cards, and register Barion without 3DS; then remove one expired card through its badge menu</t>
  </si>
  <si>
    <t>X; exact user payment totals remain unchanged</t>
  </si>
  <si>
    <t>X; Payment History and card reads do not create audit or queue work</t>
  </si>
  <si>
    <t>X; expiry job generation is machine-proven separately and is not rerun by this UI fixture</t>
  </si>
  <si>
    <t>Cash-only disables Add card; two header totals, translated filters, day groups, contextual row/status tones and failure reason render; Stripe registration waits for the matching admin 3DS approval; after the Barion switch every Stripe-tokenized card retains artwork under the expired-strength white overlay, is unselectable, and exposes vivid blue Reconnect &gt; -&gt; Retokenize/Delete recovery; both complete autofills produce one tokenized active method each; expired coral card is not selectable, exposes only vivid Expired &gt; -&gt; Delete cleanup, and its translated notification remains attributable</t>
  </si>
  <si>
    <t>-</t>
  </si>
  <si>
    <t>User-driven 39-step HTTP journey plus persisted savepoint/final oracles; real expiry scheduler smoke; focused simulator cancellation regression; running frontend watcher build and live EN/HU i18n import PASS</t>
  </si>
  <si>
    <t>Closed; proceed to EVENT-CHECKOUT-001 and repeat only after Payment History, card registration, provider recovery or expired-card behavior changes</t>
  </si>
  <si>
    <t>The 39-step Ava/Alex journey passed Stripe and Barion registration, replacement, reconnect, expired cleanup and immutable history/totals. The standalone Stripe 3DS cancellation saved no card and created no payment; its old generic failure copy was split into the existing cancelled state and dedicated message without changing technical failures. Exact cleanup restored three cards, nine prior registrations and five payments, then returned the simulator to Cash only, 3DS Off and phase=not-staged.</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</si>
  <si>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</si>
  <si>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</si>
  <si>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</si>
  <si>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</si>
  <si>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</si>
  <si>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</si>
  <si>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</si>
  <si>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</si>
  <si>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</si>
  <si>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</si>
  <si>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</si>
  <si>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</si>
  <si>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</si>
  <si>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</si>
  <si>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</si>
  <si>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</si>
  <si>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</si>
  <si>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</si>
  <si>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</si>
  <si>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</si>
  <si>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</si>
  <si>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</si>
  <si>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</si>
  <si>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</si>
  <si>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</si>
  <si>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</si>
  <si>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</si>
  <si>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</si>
  <si>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</si>
  <si>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</si>
  <si>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</si>
  <si>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</si>
  <si>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</si>
  <si>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</si>
  <si>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</si>
  <si>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</si>
  <si>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</si>
  <si>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</si>
  <si>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</si>
  <si>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</si>
  <si>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</si>
  <si>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</si>
  <si>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</si>
  <si>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</si>
  <si>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</si>
  <si>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</si>
  <si>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</si>
  <si>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</si>
  <si>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</si>
  <si>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</si>
  <si>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</si>
  <si>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</si>
  <si>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</si>
  <si>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</si>
  <si>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</si>
  <si>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</si>
  <si>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</si>
  <si>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</si>
  <si>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</si>
  <si>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</si>
  <si>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</si>
  <si>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</si>
  <si>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</si>
  <si>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</si>
  <si>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</si>
  <si>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</si>
  <si>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</si>
  <si>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</si>
  <si>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</si>
  <si>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</si>
  <si>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</si>
  <si>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</si>
  <si>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</si>
  <si>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</si>
  <si>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</si>
  <si>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</si>
  <si>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</si>
  <si>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</si>
  <si>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</si>
  <si>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</si>
  <si>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</si>
  <si>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</si>
  <si>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</si>
  <si>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</si>
  <si>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</si>
  <si>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</si>
  <si>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</si>
  <si>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</si>
  <si>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</si>
  <si>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</si>
  <si>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</si>
  <si>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</si>
  <si>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</si>
  <si>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</si>
  <si>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</si>
  <si>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</si>
  <si>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</si>
  <si>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</si>
  <si>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</si>
  <si>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</si>
  <si>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</si>
  <si>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</si>
  <si>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</si>
  <si>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</si>
  <si>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</si>
  <si>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</si>
  <si>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</si>
  <si>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</si>
  <si>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</si>
  <si>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</si>
  <si>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</si>
  <si>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</si>
  <si>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</si>
  <si>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</si>
  <si>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</si>
  <si>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</si>
  <si>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</si>
  <si>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</si>
  <si>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</si>
  <si>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</si>
  <si>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</si>
  <si>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</si>
  <si>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</si>
  <si>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</si>
  <si>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</si>
  <si>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</si>
  <si>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</si>
  <si>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Persisted manual DQ, Reinstate, Finalize, real review and unchanged-review oracles; authoritative persisted-Impressions realtime flags plus shared frontend consumption and frontend-local synthetic parity.</t>
  </si>
  <si>
    <t>Closed; repeat only after DQ/Reinstate membership, leaderboard participant-state sorting, tournament advancement, outcome notifications, Groups pending-counter semantics or persisted-Impressions realtime ownership changes.</t>
  </si>
  <si>
    <t>One exact DQ/Reinstate cycle retained Nova membership and score with exact Event/Group chat and notifications and no Impression write. Separate review branch kept Nova as DQ 10 behind active rows; Finalize revision 1 preceded real worker count 2 (one group write plus one outcome revision), Final contains exactly Riley+Lina, Nova is excluded and Casey is the non-advancer. Unchanged worker replay count 0 preserved byte-identical domain/notifications. Groups red counter remained absent because pending=0; Impression evidence remained null/0 throughout.</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</si>
  <si>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</si>
  <si>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</si>
  <si>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</si>
  <si>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</si>
  <si>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</si>
  <si>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</si>
  <si>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</si>
  <si>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Replayable isolated fixture/oracle; Java scope-read regression authored; frontend HTTP/local scope adapters and signal-store visibility compiled through the running watchers</t>
  </si>
  <si>
    <t>Closed; repeat only after generated-group resource write metrics, cross-owner card visibility, read receipts, aggregate counters or role isolation changes</t>
  </si>
  <si>
    <t>Casey/Nova/Riley wrote one Transport/Accommodation/Supplies assignment each and all three viewers saw all three cards. The independent oracle proved exactly three owner records, raw pending 1 per created item, root activity 3, stage groupsPending 3, exact per-viewer durable reads, no generated root-room leak, unchanged parent/room roles and user counters, and zero notifications. Join/Invite and group Resource Explore are routed into existing Asset membership/borrow rows with exact group-scope controls. 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</si>
  <si>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</si>
  <si>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</si>
  <si>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</si>
  <si>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</si>
  <si>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</si>
  <si>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Real scheduler advancement and DQ eligibility replays; exact count&gt;0 domain writes followed by byte-identical count=0 no-op oracles; browser stage/leaderboard/advancement evidence</t>
  </si>
  <si>
    <t>Closed; repeat only after tournament-review scheduling, advancement eligibility, score-plan, notification or idempotency changes. Generic Monitoring UI remains in Admin optional MON-013.</t>
  </si>
  <si>
    <t>TOURNAMENT-003 produced exact next-stage membership and score-plan state through the real scheduler, then an unchanged count=0 replay. TOURNAMENT-DQ-001 independently proved DQ exclusion, exact Final membership/outcomes and another count=0 replay. Browser state matched both persisted results; the remaining generic Monitoring surface is owned by Admin optional MON-013 and does not keep this Core row partial. The scheduler/domain contract is Core Tournament; its generic Job Detail/Monitoring presentation is qualified separately under Admin optional.</t>
  </si>
  <si>
    <t>P0 86</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</si>
  <si>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</si>
  <si>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</si>
  <si>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</si>
  <si>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</si>
  <si>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</si>
  <si>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</si>
  <si>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</si>
  <si>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</si>
  <si>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</si>
  <si>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</si>
  <si>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</si>
  <si>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CHAT-FLOW-001</t>
  </si>
  <si>
    <t>Consolidated checkpoint CP13</t>
  </si>
  <si>
    <t>Everyday conversation and recovery</t>
  </si>
  <si>
    <t>With Casey, Nova and Riley in one controlled Event/Group conversation, verify list contexts, 18-message history, typing, exact-once send, closed-recipient unread, read receipt and one transport reconnect/catch-up as one journey</t>
  </si>
  <si>
    <t>DELTA two ordinary chat.message.sent events; list/history/typing reads X</t>
  </si>
  <si>
    <t>DELTA exact recipient unread/read and reader identities; no lost/duplicate message across reconnect</t>
  </si>
  <si>
    <t>X unless documented message delivery work is produced</t>
  </si>
  <si>
    <t>All/context rows and 18-message history are exact; open recipient sees live delivery without unread, closed recipient gets +1 then read clears once, an already-open Chat list converges through its existing poll without reopen, reconnect catches up once and all views survive reopen</t>
  </si>
  <si>
    <t>Replayable three-actor fixture and terminal oracle pass: 18 history plus two exact Casey messages, Nova+Riley read both, all chat counters zero, Group revisions Casey=2/Nova=3/Riley=3, two Riley-only outboxes/inbox rows, Casey/Nova notification delta zero and Riley +2. Focused backend/local coverage owns live read, active-viewer suppression and full poll row sync; both dev watchers compiled.</t>
  </si>
  <si>
    <t>Closed; continue with CHAT-ACTIONS-001</t>
  </si>
  <si>
    <t>The former LIST, HISTORY, SEND, COUNTER, READ, RECONNECT and TYPING micro rows are assertions of this closed owner. User confirmed the already-open Riley Chat list converged without reopen; terminal Mongo oracle passed every exact assertion.</t>
  </si>
  <si>
    <t>CHAT-ACTIONS-001</t>
  </si>
  <si>
    <t>Message action lifecycle</t>
  </si>
  <si>
    <t>Against one existing three-user thread, reply to an older message, aggregate/change/remove reactions, pin and locate the source, edit as owner with non-owner denial, then unpin and unsend with non-owner denial</t>
  </si>
  <si>
    <t>INDIRECT one ordinary reply message; mutations do not add messages</t>
  </si>
  <si>
    <t>DELTA same-message reply/reaction/pin/edit/tombstone state only; unauthorized writes X</t>
  </si>
  <si>
    <t>All open clients converge in place; reopen retains one canonical ID and audit, source navigation works, tombstone clears owned payload state and surrounding history/counters remain intact</t>
  </si>
  <si>
    <t>Three-window lifecycle and terminal oracle passed: 18 unchanged surrounding messages plus one same-ID tombstone; source navigation, reactions, pin/edit/unpin/unsend accepted; Nova Edit and Unsend both HTTP 403. Lost concurrent read updates and tombstone read recreation were corrected with guarded atomic write-side additions; simultaneous Nova/Riley websocket replay retained both readers while tombstone readers stayed empty. Live read receipts now carry canonical profile image URLs through backend/websocket and frontend HTTP/local paths; the user confirmed both real avatars immediately and after reopen, and a read-only database check retained both reader IDs with all unread/chat counters zero. Both dev watchers compiled successfully.</t>
  </si>
  <si>
    <t>Closed; continue with CHAT-CONTENT-001</t>
  </si>
  <si>
    <t>Owns the former REPLY, EDIT, DELETE, REACTION and PIN micro rows as one user journey. No separate mutation-audit collection exists; transient transitions are accepted UI evidence and the final tombstone/denials are persisted/API evidence.</t>
  </si>
  <si>
    <t>CHAT-CONTENT-001</t>
  </si>
  <si>
    <t>Rich-content conversation</t>
  </si>
  <si>
    <t>In one accepted Group thread send one image, short voice clip, two-option poll, Event card and Asset/link card; consume them as Nova/Riley, change one vote and exercise denied recorder plus unavailable-target controls</t>
  </si>
  <si>
    <t>INDIRECT five chat messages</t>
  </si>
  <si>
    <t>DELTA one canonical attachment/target record per sent message and exact per-user poll votes</t>
  </si>
  <si>
    <t>Both recipients receive each message once; media opens/plays after reopen, poll totals remain exact, available cards navigate and unavailable targets reveal nothing; denied/cancelled media creates no row</t>
  </si>
  <si>
    <t>Replayable three-actor fixture plus exact Mongo and authenticated browser media/reopen/category-filter oracles; running backend/frontend watchers compiled the owning changes</t>
  </si>
  <si>
    <t>Closed; continue with CHAT-GOVERNANCE-001</t>
  </si>
  <si>
    <t>Exactly five canonical content messages retained Nova and Riley as readers; two South votes persisted canonical names, initials, genders and real profile-image URLs. All three actors received identical content; image, preview, voice and both voter avatars returned HTTP 200; All Transport/Sedan/SUV filtering, canonical Event/Asset navigation, unavailable-target isolation, notification/share-token state and zero terminal Chat counters passed. Denied/cancelled media produced no extra row or orphan. Vote mutation intentionally produces no unread item.</t>
  </si>
  <si>
    <t>CHAT-GOVERNANCE-001</t>
  </si>
  <si>
    <t>Members and moderation intake</t>
  </si>
  <si>
    <t>Inspect canonical Event and Group members, including pending/left/other-group negative controls, then report one accepted participant message twice and open the resulting Admin review item</t>
  </si>
  <si>
    <t>INDIRECT one moderation input</t>
  </si>
  <si>
    <t>DELTA exactly one idempotent report/review identity; member reads X</t>
  </si>
  <si>
    <t>Members/roles/avatars match accepted event/group scope; denied identities stay absent; reporter gets one acknowledgement and Admin sees one exact context without unrelated history</t>
  </si>
  <si>
    <t>Replayable three-actor fixture plus independent terminal Mongo and authenticated browser oracles; running backend/frontend hot-deploy owners compiled the owning changes</t>
  </si>
  <si>
    <t>Closed; continue with CHAT-PUSH-001</t>
  </si>
  <si>
    <t>All three actors returned exact Event and Group A accepted members with real avatar URLs; Lina stayed pending-only, Sophia stayed denied and Olivia stayed Event/Group-B-only. Two identical Nova submissions retained one unresolved Riley review with exact reason/details and Event/Group/chat/message context, unchanged three-message history and no unrelated fixture write. User confirmed the Admin review/source/member UI; shared app-image-card portrait/contain rendering also fixed the Event Members list. Frontend-local parity is implemented but was not separately executed.</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</si>
  <si>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</si>
  <si>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</si>
  <si>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</si>
  <si>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</si>
  <si>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</si>
  <si>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</si>
  <si>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</si>
  <si>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</si>
  <si>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</si>
  <si>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</si>
  <si>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ASSET-LIFE-001</t>
  </si>
  <si>
    <t>Asset lifecycle and type schemas</t>
  </si>
  <si>
    <t>Create one Transport, one Accommodation and one Supplies asset; edit one shared field, then delete the Transport</t>
  </si>
  <si>
    <t>INDIRECT asset inventory counts</t>
  </si>
  <si>
    <t>DELTA canonical asset documents and lifecycle status; assigned projections are unchanged until a later assignment case</t>
  </si>
  <si>
    <t>Each type keeps its required type-specific fields and media; edit persists once; Save-confirmed Create and Delete update both counter surfaces without reload; Delete removes only the selected asset from active lists</t>
  </si>
  <si>
    <t>NOT EXECUTED</t>
  </si>
  <si>
    <t>2026-09-03</t>
  </si>
  <si>
    <t>Terminal versioned Mongo oracle plus successful existing frontend watcher builds; focused shared ActivityStore regression authored but no duplicate standalone test process was started</t>
  </si>
  <si>
    <t>Closed; continue with ASSET-VIS-001</t>
  </si>
  <si>
    <t>Casey completed Create/Edit/Delete and one reload with no remaining material Asset issue. Compact editor carousel and owned-Asset InfoCard now contain square media without crop/stretch. Transport asset-1788401138449 retained edited Subtitle and status T; Accommodation asset-1788401224102 and Supplies asset-1788401283920 remained active with exact type fields. Authoritative/legacy/nested counts matched Transport 0/0/0, Accommodation 2/2/2 and Supplies 1/1/1; out-of-scope active Accommodation asset-1788401751580 (ddd) explains the second Accommodation and was preserved. Asset Trash/Restore and redundant replacement Create were removed from the UI contract; own-Asset list polling remains intentionally absent.</t>
  </si>
  <si>
    <t>ASSET-VIS-001</t>
  </si>
  <si>
    <t>Asset visibility and discovery</t>
  </si>
  <si>
    <t>Compare one Public, Friends only and Invitation only asset as owner, friend and unrelated member; edit Public to Invitation only and reload</t>
  </si>
  <si>
    <t>INDIRECT visible asset counts</t>
  </si>
  <si>
    <t>X for reads; DELTA one canonical Asset Visibility/update audit for the Edit</t>
  </si>
  <si>
    <t>INDIRECT existing friendship graph; DELTA edited-Asset affinity/boost recompute only</t>
  </si>
  <si>
    <t>X for reads; DELTA one collapsed ASSET_CHANGED task for the Save</t>
  </si>
  <si>
    <t>Explore and owned/managed lists expose exactly the policy-eligible assets; category filtering and owner impressions use the shared paths; the edited matrix persists after reload; direct denied reads reveal no hidden detail</t>
  </si>
  <si>
    <t>Authenticated baseline/edited HTTP visibility and detail-denial matrices; versioned Mongo read-only and exact single-edit oracles; successful existing backend/frontend watcher builds</t>
  </si>
  <si>
    <t>Closed; continue with ASSET-MEMBER-LIFECYCLE-001</t>
  </si>
  <si>
    <t>User completed representative Casey/Lina/Liam UI coverage, confirmed the Sedan/Van/All Transport filter and confirmed Casey's real interactive owner avatar appeared instead of CB. Baseline HTTP sets were Lina Public+Friends and Liam Public; after Casey changed only the Public-title control to Invitation only, terminal sets were Lina Friends only and Liam empty, with every forbidden detail read denied. Mongo at 2026-09-03T03:20:18.902Z proved only the target Asset plus one done ASSET_CHANGED task changed, siblings stayed byte-identical, Transport counts stayed 3/3/3 and no request/member/assignment/outbox/notification write appeared. A missing default-pricing/_class/imageUrl fixture schema was repaired and versioned; the strict oracle was not weakened.</t>
  </si>
  <si>
    <t>ASSET-MEMBER-LIFECYCLE-001</t>
  </si>
  <si>
    <t>Asset invitation and join membership lifecycle</t>
  </si>
  <si>
    <t>On one generated-group resource create one manager Invite and participant Join request, accept both, have the owner promote the invitee, let that delegated Manager promote then revoke the requester, and have the owner remove the requester; separately reset and reject an Invite once</t>
  </si>
  <si>
    <t>INDIRECT asset/member activity</t>
  </si>
  <si>
    <t>DELTA two pending request states, two accepted transitions, two explicit Asset Manager grants, one delegated revocation and one owner removal; alternate reject creates no membership; exact scoped Service chat and notification records; parent/group membership stays unchanged</t>
  </si>
  <si>
    <t>Notification outbox MUST RUN once each for Invite, Join request, invitation accepted, invitation declined in its reset branch, Join accepted and member removed; manager promotion runs twice and delegated manager revocation once; scheduler X</t>
  </si>
  <si>
    <t>Distinct pending rows retain exact asset/event/stage/generated-group scope; live and reload pending-counter chains agree and drop only on resolution; manager role/icon/menu updates occur in place and persist; the owner can revoke/remove any non-owner Manager, while a delegated Manager can revoke only a Manager they granted and cannot remove a Manager; Asset Manager never changes Event Admin/Member role; recipient Notifications counters and exact occurrences cover resolved transitions; Service chat and sibling group stay unchanged</t>
  </si>
  <si>
    <t>Consolidated ASSET-MEMBER-001/002 user-driven UI coverage; real authenticated HTTP plus versioned Mongo replay of owner handover, member removal and final-owner Leave; successful existing backend/frontend watcher builds; focused server and frontend regression coverage authored</t>
  </si>
  <si>
    <t>Closed; continue with ASSET-ASSIGNMENT-LIFECYCLE-001</t>
  </si>
  <si>
    <t>User-approved flexible closure from the accumulated 2026-09-03 run instead of another ordered 46-step replay. The run covered distinct Invite/Join pending states, resolution and rejection, contextual pending counters, recipient Notifications, standard Service chat/Ask Organizer, ordinary-member restrictions, owner/delegated Manager grant and revoke rules, live/reload card role and menu changes, removal, Event-role isolation, and both Manager-first and no-manager Take Over branches. The final correction replay produced Casey Leave 3-&gt;2, Nova Take Over 2-&gt;2, Riley removal 2-&gt;1 and Nova final Leave 1-&gt;absent through the live UI. The terminal read-only Mongo oracle proved Riley's canonical Asset member row was deleted, activityResources was D with no Asset assignment, the generated-group runtime resource map was empty, and no notification was created after Nova's final Leave. The corrections use canonical write-side status and existing signal propagation, with no read projection or frontend-only hide; the retained terminal fixture was not silently reset after the user's verdict.</t>
  </si>
  <si>
    <t>ASSET-BORROW-001</t>
  </si>
  <si>
    <t>One-unit free and paid Borrow, timeframe, capacity and exact-scope Organizer-only lifecycle</t>
  </si>
  <si>
    <t>Against three free and one paid Public Transport control, cancel one request, reject one, accept one, submit the same paid Borrow twice as separate requests, compare overlapping/non-overlapping capacity and fine-tune Organizer-only at Event, Stage, Group and Asset scope</t>
  </si>
  <si>
    <t>INDIRECT pending/accepted Asset request counts; INDIRECT available quantity/order; exact-scope participant counter delta; Asset activity and request delta</t>
  </si>
  <si>
    <t>DELTA one request identity per one-unit submission; separate paid payment/approval/card per repeated Borrow; exact availability and date range; no request merging</t>
  </si>
  <si>
    <t>Normal Asset request notification/outbox and affinity-task effects; Barion once per paid submission; schedulers X</t>
  </si>
  <si>
    <t>Every Borrow quantity is read-only 1; source Explore Asset appears once without Payment summary; repeated assigned request cards remain separate with #1/#2, date ranges and paid summaries; Organizer-only changes only the selected scope counter without role or membership cascade; reload retains the exact projection</t>
  </si>
  <si>
    <t>STAGED / BASELINE READY / BROWSER RELAUNCH REQUIRED</t>
  </si>
  <si>
    <t>2026-09-08</t>
  </si>
  <si>
    <t>Revised concise guide and six guarded cancel/reject/accepted/paid-organizer/terminal oracles are implemented. Fixture restaged at 2026-09-08T09:24:00.778Z; read-only status proves all ten baseline checks, four Transport controls, Lina's retained Group B Quantity 2 control, Nova's Barion 4444 card and zero basket/payment state. Running backend and frontend watcher builds passed</t>
  </si>
  <si>
    <t>Run read-only status; if baseline-ready, prepare and launch the configured Casey/Nova/Riley sessions once, then user starts step 1 without restaging</t>
  </si>
  <si>
    <t>ASSET-CHECKOUT-001 is PASS/CLOSED and retains 3DS/refund/Take Over/Leave/Remove coverage. Direct Assign/Edit/Unassign remains owned by ASSET-ASSIGNMENT-LIFECYCLE-001. No Borrow browser verdict exists yet.</t>
  </si>
  <si>
    <t>P2 72</t>
  </si>
  <si>
    <t>70/165</t>
  </si>
  <si>
    <t>ASSET-CHECKOUT-001</t>
  </si>
  <si>
    <t>Resource/Asset Explore Barion and 3DS checkout</t>
  </si>
  <si>
    <t>From scoped Asset Explore traverse review, resumable checkout, one Barion payment, pending owner request and terminal acceptance while comparing free, unavailable, Cancel, decline and timeout action states</t>
  </si>
  <si>
    <t>INDIRECT one paid Asset request/accepted-resource delta; draft/payment-summary reads X</t>
  </si>
  <si>
    <t>DELTA zero server checkout writes before Pay; then one final Barion session/payment, exact borrow request, reservation and scoped resource projection; owner acceptance changes request state once; reads X</t>
  </si>
  <si>
    <t>X; no Event or Tournament affinity role is created</t>
  </si>
  <si>
    <t>CONDITIONAL normal Asset request/outbox work; simulator callback work follows the selected Barion/3DS branch</t>
  </si>
  <si>
    <t>Fresh paid: Borrow -&gt; Confirm borrow; saved draft: Borrow Basket/Continue request; payment-ready: Barion card/Pay plus neutral Back and red Cancel; paid pending: Payment summary and one owner Pending row; accepted: same read-only summary and exact scoped resource; free uses Send borrow request and unavailable is absent from availability-filtered Explore; no freeze or duplicate payment/request/reservation</t>
  </si>
  <si>
    <t>Complete user-driven steps 1-98; guarded core, request-destination, acceptance, manager-left, paid Take Over, refund, last-Leave and mixed-status Remove Mongo oracles; running backend/frontend watcher builds passed during defect repairs</t>
  </si>
  <si>
    <t>Closed; continue with the restaged one-unit free/paid ASSET-BORROW-001 baseline</t>
  </si>
  <si>
    <t>Steps 1-68 proved one approved, one declined and one expired payment plus one cancelled basket with quantity and sibling isolation. Steps 69-89 proved manager Leave, paid Take Over, runtime Remove, exact Asset-owner service chat and one separate 50% refund request/approval with pending counter 0-&gt;1-&gt;0. The last-manager Leave oracle passed at 2026-09-08T03:42:02.224Z. The final mixed-status Remove oracle passed at 2026-09-08T03:48:22.239Z: accepted Nova and pending Riley requests/projections were retired, runtime metrics disappeared, Casey's global Asset and all payment histories remained unchanged, availability returned to 3 and no automatic refund or Take Over notification appeared. The observed missing refund action was fixture policy/window drift and is corrected for future guarded replays without restaging this completed run.</t>
  </si>
  <si>
    <t>ASSET-PRICING-001</t>
  </si>
  <si>
    <t>Interactive journey</t>
  </si>
  <si>
    <t>Interactive pricing configuration and payment-time snapshots</t>
  </si>
  <si>
    <t>On one Public Transport Asset repeatedly change fixed/variable/audience/refund pricing, observe every open Borrow projection on the fly, then capture active-policy, no-policy and passed-cutoff payments on three Event stages</t>
  </si>
  <si>
    <t>X before payment; indirect Asset visibility and Borrow price projection changes</t>
  </si>
  <si>
    <t>DELTA one Asset pricing config per user Save; then exactly three primary captured payments with distinct immutable effective-row and cancellation-policy snapshots</t>
  </si>
  <si>
    <t>Barion provider runs exactly once per payment; no scheduler; normal Asset request/outbox and affinity effects only</t>
  </si>
  <si>
    <t>Fixed per-booking duration, per-item quantity/demand/time/min-max/rounding, member/public/audience contract, Confirm/Payment disclosure and historical Payment summaries all agree with the pricing version active at each capture; later live edits never rewrite earlier payments</t>
  </si>
  <si>
    <t>HARNESS PREPARED / NOT STAGED</t>
  </si>
  <si>
    <t>Interactive guide, dedicated asset-pricing stage/status/phase/final/reset harness and browser-session definition prepared. Hard pre-stage development gate records that Asset editor currently hides Audience Pricing and Asset Borrow has no VIP identity or promo application route; payment already stores effective rows and cancellation-policy snapshot, while full disclosure UI remains incomplete</t>
  </si>
  <si>
    <t>Finish and reset Borrow; first implement/define Asset member/VIP/invite/promo pricing and promo entry, then implement refund-policy disclosure/snapshot projection; only afterward stage ASSET-PRICING-001</t>
  </si>
  <si>
    <t>Refund policy is one Pricing field group, not a standalone testcase. The journey uses one repeatedly edited Asset rather than pre-baked item controls. Do not stage against the current implementation: the next session starts with the missing Asset audience/VIP/promo and refund-disclosure development, without inventing a VIP fixture.</t>
  </si>
  <si>
    <t>65/155</t>
  </si>
  <si>
    <t>ASSET-ASSIGNMENT-LIFECYCLE-001</t>
  </si>
  <si>
    <t>Normal sub-event and tournament-group assignment</t>
  </si>
  <si>
    <t>Assign Transport, Accommodation and multi-user Supplies to one normal sub-event, then edit/unassign/remove one Group A resource while Group B stays unchanged</t>
  </si>
  <si>
    <t>INDIRECT asset/event activity; INDIRECT per-type resource counts; INDIRECT exact resource/activity aggregate deltas</t>
  </si>
  <si>
    <t>DELTA assignment and availability projection; DELTA one owner-scoped resource state per contributor and exact aggregate type metrics; DELTA write-side owner/type assignment refresh and exact Group A, stage groupsPending and root Event activity reversal; Group B stays an unchanged domain control</t>
  </si>
  <si>
    <t>CONDITIONAL availability/outbox; scheduler X unless explicitly documented; X unless a documented resource notification is emitted; X unless the documented cleanup produces explicit work</t>
  </si>
  <si>
    <t>Event, sub-event, asset owner, asset ID, route and capacity agree; Transport route/capacity, Accommodation capacity and Supplies quantities agree in Event Resources, sub-event badges and parent navigation in place and after reload; Every affected Group A resource badge and stage/root aggregate converges without read-time reconstruction; unrelated Group A owners/types and all Group B rows/counters remain unchanged after reopen and reload</t>
  </si>
  <si>
    <t>2026-09-04</t>
  </si>
  <si>
    <t>Accumulated three-actor UI journey through the terminal manager removal; exact normal, capacity-edit, unassign, reassign and step-29 rollback savepoints; real authenticated Event-member removal HTTP replay; terminal Mongo oracle passed all thirteen checks; successful running backend/frontend watcher builds</t>
  </si>
  <si>
    <t>Continue with CONTENT-ADMIN-LIFECYCLE-001; stage it only after this closed fixture is reset and its read-only baseline is proven</t>
  </si>
  <si>
    <t>Steps 1-9 were accepted from the accumulated user-driven run and persisted normal savepoint. The bounded Tournament tail used guarded rollback points, preserving earlier evidence. Final removal status-deleted the affected resource and active requests as audit history, preserved Nova's resource generation at 1/0/0-5, reversed pending to zero, retained the normal Event and Group B domain state, and emitted the exact scoped notification once. Generated-room parent/stage/group identity now survives Event counter saves, and hierarchical assignment cleanup updates only affected resource scopes. The terminal phase is complete.</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</si>
  <si>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</si>
  <si>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</si>
  <si>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</si>
  <si>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</si>
  <si>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</si>
  <si>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</si>
  <si>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</si>
  <si>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</si>
  <si>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</si>
  <si>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</si>
  <si>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</si>
  <si>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</si>
  <si>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</si>
  <si>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</si>
  <si>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CONTENT-ADMIN-LIFECYCLE-001</t>
  </si>
  <si>
    <t>Admin content lifecycle</t>
  </si>
  <si>
    <t>Create/reopen four scoped inactive revisions, activate Privacy with per-user consent, delete inactive and active controls with fallback, then trash/restore/republish one disposable Article</t>
  </si>
  <si>
    <t>X; INDIRECT public/admin bucket count</t>
  </si>
  <si>
    <t>DELTA four draft revisions/version/base/author and exact audits; DELTA one active Privacy revision and one actor consent; DELTA inactive deletion and active-delete fallback audit; DELTA Article lifecycle state/buckets and telemetry</t>
  </si>
  <si>
    <t>Drafts persist once while active public content remains unchanged; fresh clients show exact activated Privacy and only stale users require approval; historical consent remains immutable; inactive deletion preserves its active control; deleting isolated active Privacy selects newest remaining same-scope fallback without empty public content; Article Published/Trashed/Draft action sets and buckets reconcile once; Restore stays non-public until separate Publish; identity/media remain stable</t>
  </si>
  <si>
    <t>Accumulated Ava/Kai/Riley UI journey; guarded revision and Article savepoints; terminal Mongo identity/content/audit/consent/control oracle; two managed-image HTTP size/SHA-256 oracles; running backend/frontend watcher builds; focused frontend 3/3 and backend status-only save regression PASS</t>
  </si>
  <si>
    <t>Closed; repeat only after governed-content, consent, Article lifecycle, SmartList reconciliation or status-only save behavior changes</t>
  </si>
  <si>
    <t>The user completed the governed revision, consent, fallback and Article lifecycle UI journey. Restore confirmation and persisted Draft behavior worked across five moved Article cards. The guarded step-59 rollback preserved steps 1-58 and restored only the recorded exploratory Article changes. One final Publish returned exact buckets to 7/5/7/0/0. The terminal oracle retained exactly seven governed-content audits, Kai v3 consent, Riley's absent v3 consent, every negative control, Article identity and managed media; contentKey and contentHtml remained byte-identical. Both managed images returned HTTP 200 with their original size and SHA-256.</t>
  </si>
  <si>
    <t>P1 92</t>
  </si>
  <si>
    <t>MOBILE-PUSH-LIFECYCLE-001</t>
  </si>
  <si>
    <t>Physical-device notification lifecycle</t>
  </si>
  <si>
    <t>With an Operator-tested active Firebase revision, use one disposable device to test foreground, background and closed delivery plus one ordinary Chat message; tap cold-start routing; then deny/grant permission and rotate/revoke/re-register the token</t>
  </si>
  <si>
    <t>INDIRECT unread count; INDIRECT unread count becomes read after open; X</t>
  </si>
  <si>
    <t>DELTA inbox/outbox/token delivery; DELTA real FCM delivery while app is closed; DELTA intentional read transition and route consumption; DELTA token lifecycle and delivery result</t>
  </si>
  <si>
    <t>DELTA one notification delivery task; X; DELTA only for eligible current token</t>
  </si>
  <si>
    <t>Foreground shows one in-app item/counter and no duplicate system notification; One system notification appears; persisted unread stays one and no desktop control receives it; Exact authenticated route opens once; read occurs only after tap/open and does not replay; Denial is non-blocking; stale token is retired and later delivery reaches only new token</t>
  </si>
  <si>
    <t>MANUAL PASS / CLOSED</t>
  </si>
  <si>
    <t>2026-09-15</t>
  </si>
  <si>
    <t>Consolidates MOBILE-PUSH-001, MOBILE-PUSH-002, MOBILE-PUSH-003, MOBILE-PUSH-004 and CHAT-PUSH-001. Foreground notification code exists; ADB/manual observation not run; Requires real Firebase/FCM and physical device; not run; Deep-link and notification code exist; cold-start real-device flow not run; Token lifecycle implementation partial; real permission/rotation sequence not run</t>
  </si>
  <si>
    <t>Closed; continue NOTIFICATION-ADMIN-LIFECYCLE-001</t>
  </si>
  <si>
    <t>Source status: MOBILE-PUSH-001=DESIGN CAPTURED / REAL DEVICE NOT RUN; MOBILE-PUSH-002=DESIGN CAPTURED / REAL DEVICE NOT RUN; MOBILE-PUSH-003=DESIGN CAPTURED / REAL DEVICE NOT RUN; MOBILE-PUSH-004=DESIGN CAPTURED / REAL DEVICE NOT RUN. One desktop actor produces while phone replaces another observation phase; This specifically proves app-not-open delivery; Do not pre-mark new notification as read; Raw token never becomes QA evidence; An Operator-tested active Firebase revision is an environment prerequisite, not a Deployment testcase 2026-09-15 read-only preflight: ADB connected and original localhost WebAPK native notification permission granted; no USB mappings; phone build route inactive. Runtime Firebase revision0 inactive, no tested revisions/public config/credential envelopes; exact public firebase-config HTTP404. Casey/Nova/Riley exist with zero devices. Zero checkpoint messages/common snapshots; WebView status not-staged. No fixture mutation, message, browser launch or build. See Mobile Push device preflight in QA pack. Delivery remains NOT RUN; waiting for prior QA configuration location. Continuation supersedes missing-config blocker: local ignored Firebase files restored by fixture, genuine Riley provider identity and one device registered. Baseline 09:22Z. WebSocket context repair compiled; user haha message persisted 09:35:25Z, one inbox each Nova/Riley, counters Casey/Nova/Riley 0/1/2. Provider batch HTTP404; delivery remains unproven, SDK migration underway. Installed phone menu/popup no-close repair verified lifecycle38. See continuation in Mobile Push device preflight. User assists; inspect before actions to prevent duplicate sends. Foreground replay PASS09:46Z: SDK9.10.0 fixes provider batch404; worker visible-client guard fixes foreground system duplicate. Four direct Node worker tests PASS, existing owner builds passed. Marker5e9f8221-f05e-4f7f-80e9-dd4b15f7b355 sent09:45:24Z retry0/success1/failure0, one unread per Nova/Riley, Casey excluded, physical Android zero system notifications; New list marker once unread. Two prior user diagnostic messages retained. Current lifecycle39, fixture foreground-replay, section2 next. Home background PASS09:48Z: message5dfaba47-9347-4396-9429-e6f9945b66a9, outbox6aa9141df59d38d912af420b sent09:47:09.912Z retry0/success1/failure0. Phone hidden received exactly one worker notification with exact Chat tag/url; Android record1 before resume. Recents card return preserved timeOrigin1789465508440.1. New list row exactly once unread; counters Casey0/Nova2/Riley5. Background savepoint09:48:15.943Z. Settings variant next. Settings background PASS09:49Z: message6e4df2b0-9c9e-45cc-9125-e5fa721256e8, outbox6aa91489f59d38d912af420e sent09:49:00.318Z success1/failure0. Android Settings activity foreground, app hidden; one native/worker notification with exact background-settings body and Chat tag. Recents return preserved timeOrigin1789465508440.1; New list exact row once unread, counters Casey0/Nova3/Riley6. background-settings savepoint captured. Chrome variant next. Chrome background remains NOT PASSED: marker957517eb-0600-4055-81a0-06eb3f205257 outbox6aa914e9f59d38d912af4211 sent09:50:36.165Z success1/failure0, two unread inbox rows, but native shade retained previous Settings notification. With Chrome example.com foreground, PWA Notification.permission and Permissions API both denied while old UI signal still granted. Returning to installed PWA restores native granted. Native WebAPK permission granted; Chrome host permission denied USER_FIXED. No OS permission toggle was changed. User requires enabling through shared popup and backend device data through users poll -&gt; shared signal, no lazy popup read. Backend users.devices already owns registration writes; added token-free notificationDevices projection to existing realtime response and signal propagation through side menu, HTTP/local adapters and popup with draft preservation. Native visibility/permission onchange observers added. Existing backend build passed09:58:40Z; frontend local mapper union fixed, final owner build passed10:01:47Z. Lifecycle41 1789466529464 now being activated. Direct live popup signal oracle and native replay remain pending; earlier foreground/Home/Settings passes retained. Lifecycle41 live signal verification PASS: real users poll2 projected fixture notificationsEnabled=false; restoring true switched the same open popup at poll3, no lazy fetch or reload. Native Chrome foreground then native denied/signal denied/popup selectedfalse/effectivefalse all matched. Device flag restored, token unchanged. Chrome native permission still blocked; popup-based enabling remains next. Chrome replay PASS 10:16:44Z: message65fe8c07-e273-4d42-87a8-d56f82e80e09 provider1/0, exact native/worker system notification while hidden; Recents same timeOrigin, one unread row, Casey0/Nova5/Riley8. User authorized temporary Chrome Android app-level notification grant after real lifecycle42 popup request remained denied; original denial snapshot retained for cleanup. Shared users-poll signal/native state verification passed. Cold start next; no prior phase replay. Cold-start message660828b8-0eab-4f49-8579-90160b314511 provider accepted but Chrome wake process killed by Android LOW_MEMORY before native notification. Separate resident-Chrome route diagnostic9590b1f9-804b-4a17-803a-2ff37dbd353c produced native notification; tap opened standalone Riley on Home with chatId unconsumed, zero read changes. Section2 step12 FAIL; nine messages, Casey0/Nova7/Riley10. ROLLBACK at user request: queue/inbox redesign, NotificationContent, changed tests and incomplete deep-link edits removed. Application source restored to pre-investigation baseline; earlier SDK/worker/menu/users-poll fixes retained. Withdrawn design tests are not current evidence. Existing worker Firebase availability guard retained; no new architecture. Step12 remains unresolved, saved fixture/devices preserved. 2026-09-15 focused cold-start-replay PASS lifecycle43: message1f0959d0-22cc-4a21-8d82-23c8e03f06c3, one native notification/exact Chat/message route; only Riley inbox6aa9220df59d38d912af422d read10:47:19.228555542Z; Back/normal relaunch no duplicate route/read. Casey0/Nova8/Riley10. Savepoint cold-start. Earlier stopped-Chrome LOW_MEMORY failure retained separately. Current two focused ChatService regressions PASS. User now explicitly authorized Firebase/device decision snapshot in existing queue; verification pending. 2026-09-15: 14 decision/worker tests PASS including actual isolated Mongo merge. Section3 permission-denied bb4ef0ae-622a-4871-b151-3abe0f3cf4cf: empty saved device maps, zero provider attempts/retries, inbox once; independent personal mute verified. Section4 replacement-token869b435c-b8c1-4028-bf12-a52a7a32c2eb: new token fingerprint only, FCM1/0, exact Chat/read once, Back/relaunch stable. Casey0/Nova10/Riley11. Native permission after OS deny required fixture grant restoration; no native-dialog PASS. Browser-neutral error verified on phone, i18n103 audit PASS. Cleanup pending.; 2026-09-15 user accepted PASS with retained native re-prompt and stopped-Chrome qualifications. Versioned rollback-mobile-push.py --apply PASS twice: seven snapshot collections restored and compared, provider identity verified absent, owned browsers closed, Chrome permission and screen restored, zero fixture/snapshot/message/outbox/inbox/device/new login audit remnants.</t>
  </si>
  <si>
    <t>BELL-RATING-LIFECYCLE-001</t>
  </si>
  <si>
    <t>Rating, bell, Statistics and affinity lifecycle</t>
  </si>
  <si>
    <t>Read the initial bell, save one controlled rating/feedback once, verify target notification and exact Statistics delta, let the real affinity worker finish and compare the changed/control graph pair</t>
  </si>
  <si>
    <t>Rating/moderation deltas expected in future cross-surface run; Ratings timeline +1; Matching rates.synced rises by row count; INDIRECT two rating deltas after Statistics refresh; DELTA network graph summary after refresh</t>
  </si>
  <si>
    <t>Notification/read and relevant domain flows; Matching rate/recompute flow rises; DELTA rating sync and recompute flow; DELTA scheduler/audit and recompute queue</t>
  </si>
  <si>
    <t>INDIRECT after rating recompute; Edge/score may change after recompute; DELTA mutualSingleCount and pair weight; same pair visible at depth 1; DELTA when edge inputs changed</t>
  </si>
  <si>
    <t>Affinity recompute/outbox conditional; Affinity recompute may run; Affinity recompute may run for both users; direct edge recompute also occurs during each sync; DELTA</t>
  </si>
  <si>
    <t>Read path, rating and feedback persist once; Slider selection only stages; Save queues once; the Met card remains and shows the score; frontend pushes at most 50 queued ratings on its 30-second cycle; Both directional rating rows, reciprocal score, notifications and pair identity agree; DELTA terminal tasks and updated affinity/discovery</t>
  </si>
  <si>
    <t>IN PROGRESS</t>
  </si>
  <si>
    <t>Consolidates BELL-RATING, STAT-010, GRAPH-RATING-001, JOB-AFFINITY. API/service tests; Rating and graph-science tests; frontend stage/save/batch timing unit contract not yet isolated; Rating/affinity service tests and graph endpoint tests exist; assembled two-browser to graph projection is manual; Fixture/worker/graph/common lifecycle tests</t>
  </si>
  <si>
    <t>Steps1–11 observed; finish Monitoring12, graph13–15, feedback16–20 and exact reset.</t>
  </si>
  <si>
    <t>Source status: BELL-RATING=MANUAL FUNCTIONAL PASS; RATING BELL UI PASS; FEEDBACK/READ UI PARTIAL; STAT-010=MANUAL STATISTICS + BELL UI + FUNCTIONAL PASS; MONITORING/GRAPH PENDING; GRAPH-RATING-001=NOT RUN; JOB-AFFINITY=MANUAL FUNCTIONAL PASS. 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 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 Do not require a brand-new edge: seeded Met evidence may already create one. Active config currently weights mutual rating 10, mutual edge evidence 1, one-sided edge evidence 0 and Met evidence 0.5. Old materialized layout is a separate projection checkpoint.; Primary domain oracle passed; graph UI not manually qualified; 2026-09-15 delegated live run: first/reciprocal ratings4/3, one inbox/outbox per recipient, both read and New0, no self/duplicate. Stats Ratings0-&gt;2, matching342-&gt;344, unrelated counters stable. Both recompute tasks done. Seeded Met prerequisite retained at user request; event-end transition not tested here. Monitoring/graph/feedback and paired-row persistence assessment remain.</t>
  </si>
  <si>
    <t>55/130</t>
  </si>
  <si>
    <t>JOB-MESSAGES</t>
  </si>
  <si>
    <t>scheduled-messages</t>
  </si>
  <si>
    <t>Real scheduler dispatches due messages</t>
  </si>
  <si>
    <t>DELTA scheduler/audit; INDIRECT Notifications/outbox</t>
  </si>
  <si>
    <t>DELTA task audit plus notification/email result</t>
  </si>
  <si>
    <t>Fixture/service/common lifecycle tests</t>
  </si>
  <si>
    <t>Closed; task results visible and exact fixture/runtime reset verified. Next BELL-RATING-LIFECYCLE-001.</t>
  </si>
  <si>
    <t>Primary domain oracle passed; 2026-09-15 startup only: existing scheduled-messages inactive-user fixture bound to versioned job-messages checkpoint and two managed Ava/fixture-user browsers. One Scheduled task, active/public user, no audit/delivery; scheduler held until arm. First launcher attempt failed waiting for an absent explanation guide and closed its owned windows; corrected per-checkpoint dismissal setting and second startup succeeded. No checklist worker action or PASS claimed.; Final startup readiness PASS after fixture profileFormVersion2 correction prevented onboarding redirect. Both configured identities/realtime verified; one Scheduled task, active user, zero runs/deliveries remain. Current section1 step1.; Full delegated execution2026-09-15: inactive task completed/affected1, profileI/inactive banner/rating controls absent, action delivery1 and affinity1; recent task rescheduled exactly30days, profileA/public/rating available, action delivery1/affinity0. Both no bell/email/failures. Exact oracles PASS, recent target telemetry pair ingested and Monitoring Healthy. Step12 public UI lacks task audit outcome: only dispatcher summary displayed, so not full PASS. Initial poll1800000ms required temporary compiled-dev60000ms override; original property restored after both exact resets. Final fixture artifacts0, browsers closed. Monitoring top alignment and one-line contained badges verified916/596/360px.; Step12 closure2026-09-15: existing Jobs poll now exposes latest12 task results with next due; separate dispatcher history unchanged. Real recent-user retest run506eea79-8b65-4724-9a6c-27b0b3916f4e: scheduled/affected0, due2026-10-15T12:52:04.201Z, exact oracle PASS. Open Ava UI updated automatically; reopened result retained;916/360px no overflow. Five focused AdminNotificationService tests and i18n audit PASS. Exact fixture/session/runtime restoration verified; managed windows closed. Full JOB-MESSAGES PASS/CLOSED.; Final user-requested table presentation: both tables show compact status icons and borderless info-outline/filled toggles; detail expands below the unchanged row. No rectangular fill/scaling/internal task identifier.916/360px verified; both mobile tables282px wide with no horizontal overflow. Presentation-only prepared result does not replace prior real worker evidence.</t>
  </si>
  <si>
    <t>NOTIFICATION-ADMIN-LIFECYCLE-001</t>
  </si>
  <si>
    <t>Admin rule, outbox and delivery lifecycle</t>
  </si>
  <si>
    <t>Save/reopen/validate one safe rule, run it for one target, let the real outbox worker process it, compare task/outbox/inbox/bell and prove unchanged second-run dedupe before restore</t>
  </si>
  <si>
    <t>X; INDIRECT unread count</t>
  </si>
  <si>
    <t>DELTA runtime config revision/history; DELTA task, outbox and inbox identities; DELTA scheduler/audit plus pending/running/sent/failed; Pending/running/sent or failed and health correct</t>
  </si>
  <si>
    <t>X; DELTA one named task/delivery; DELTA; Notification-outbox runState changes</t>
  </si>
  <si>
    <t>Invalid save is atomic and unrelated rule/outbox rows stay unchanged; Exactly one attributed delivery occurs and unchanged second run respects dedupe; DELTA terminal delivery/no-op/token cleanup as configured; Bell/Firebase/no-op and outbox row agree</t>
  </si>
  <si>
    <t>Consolidates ADMIN-NOTIFICATION-RULE-001, ADMIN-NOTIFICATION-RUN-001, JOB-OUTBOX, MON-012. Notification rule tests exist; complete UI save/reopen/restore flow not run; Notification task/outbox coverage exists; end-to-end manual run not performed; Fixture/worker/common lifecycle tests; Outbox tests</t>
  </si>
  <si>
    <t>Closed; exact fixture reset verified. Next JOB-MESSAGES inactive-user.</t>
  </si>
  <si>
    <t>Source status: ADMIN-NOTIFICATION-RULE-001=DESIGN CAPTURED / NOT RUN; ADMIN-NOTIFICATION-RUN-001=DESIGN CAPTURED / NOT RUN; JOB-OUTBOX=MANUAL FUNCTIONAL PASS; MON-012=MANUAL CAUSAL PARTIAL. No delivery is implied by saving a rule; Admin self-notification remains an unchanged control unless policy says otherwise; Firebase-off oracle passed; 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 2026-09-15 versioned notification-admin baseline and three managed Ava/Nova/Casey browsers prepared. Original timing60 seconds, enabled true, target outbox/inbox0/0, actor counters0. Push is closed and fully cleaned up. New-message oracle follows explicit saved Firebase decision; legacy inactive Pending behavior is retained only for null snapshots. No manual rule edit or delivery claimed.; Section1 PASS: fixed detail Timing save to send only edited rule; UI/Mongo2min and invalid-fieldHTTP400 unchanged full rules/outbox/inbox digests. Section2 recipient baseline0/0 and one real Casey message18c4030e-ced6-491c-84e3-6678f2e5c7de gave Nova1/Casey0 in already-open UI. Fixture temporarily held worker and removed only its one Redis wakeup hint to isolate normal scheduler; logical durable item unchanged. First normal run armed11:59Z.; Section2/3 PASS: first scheduled run52ms/processed1, saved Firebasefalse/provider0/0; Nova read once and source Chat unread1. Monitoring fixed by ordering existing Mongo key-preservation post-processor before eager converter initialization; three focused tests PASS and live global queues0/0/0/308 agree. Responsive cards4columns at596px/2at360px, zero badge overflow. Second run df6b70e7-9cbf-4e47-b08e-6b4f8d26f421 completed35ms/processed0; exact same outbox/inbox/read timestamp. UI restored1minute/enabledtrue, then exact fixture reset verified zero controlled chat/message/outbox/inbox/member/snapshot remnants and all actor counters0. Owned browsers closed. No native Firebase delivery claimed for this inactive-config test.</t>
  </si>
  <si>
    <t>MOBILE-WEBVIEW-LIFECYCLE-001</t>
  </si>
  <si>
    <t>Android WebView, ADB and authenticated-cache lifecycle</t>
  </si>
  <si>
    <t>Use ADB to verify transport/tunnel, cold-start with old cache, resume after server mutation, switch/logout with authenticated caches and perform offline/online recovery</t>
  </si>
  <si>
    <t>X; INDIRECT current counters</t>
  </si>
  <si>
    <t>DELTA coherent service-worker/WebView cache generation; DELTA resume reconciliation revision; DELTA user-scope cache purge and new identity hydration; DELTA explicit transport/cache/offline diagnostic state</t>
  </si>
  <si>
    <t>X; CONDITIONAL normal poll/task ownership only</t>
  </si>
  <si>
    <t>One coherent build loads and old HTML never references missing new chunks or mixed revisions; User, counters and open surface reconcile once; stale WebView state cannot overwrite server truth; Tickets, QR, counters and notifications disappear before next identity renders; public assets may remain; Offline exposes only supported ticket contract and reconnect converges without clearing app data</t>
  </si>
  <si>
    <t>USER-AUTHORIZED ADB/CDP PASS / CLOSED</t>
  </si>
  <si>
    <t>Physical Android: coherent old/candidate upgrade; native clipboard approval and exact paste; Chrome resident resume; own Ticket/QR and empty Nova Notifications; cached Nova QR under verified transport loss and online restore. No separate build/test process run. Opt-in demo fallback: watcher-output regression checks cover identity/security gates, storage restoration, write/editor guards, cold start and account switch. Phone API-outage/local-save/repeated-outage passed; reconnect preserves the local page. API-only and network-emulated offline icons, polling recovery without reload, drag/dismiss and mute-control recovery verified. Continuation: fixture media public/negative boundary checks passed; standalone Java QA removed. Physical offline cold-start avatar, own cached Ticket/QR and reconnect without reload passed on lifecycle-3. Shared setup: seven compiled workflow contract groups passed on desktop and physical PWA with native/provider doubles; 340/341 px panels, equal 224 px switches, no overflow, notification toggle both ways, location locked and Update right-aligned. Existing watcher build/sync passed. Candidate 25: existing watcher build and compiled failover regression passed. Physical local-offline mode/filter/history/menu and seeded Chat read/composer passed; local notification mute save/reopen/unmute passed. Final physical replay: native install without API doubles; local device off/on/reload/profile-save/automatic account transfer after initialization fix; monotonic seed DOM trace ending at 100; neutral 28 px footer icons. Existing frontend watcher compiled. Localized consent harness shell/JS syntax and actual hu stage/verify/reset passed; new seed spec not separately run. Closure: actual Chrome desktop Allow/exact paste and physical Android fresh native Allow/exact paste PASS; no provider doubles. Popup widths and unchanged sourceLink/update timestamp verified. No application build/test process needed for this execution-only closure.</t>
  </si>
  <si>
    <t>Closed. Next queued Notifications journey: MOBILE-PUSH-LIFECYCLE-001 device preflight; retain shared permission evidence and establish its current single-device baseline.</t>
  </si>
  <si>
    <t>See DOMAIN_LIFECYCLE_MANUAL_QA_PACK.md, Mobile WebView physical-device execution 2026-09-14. Old 4be4a1c596e2-20260905140310 -&gt; mobile-webview-20260914-icon-fix. Initial mixed dev/old fixture caused font HTML responses; coherent old shell fixed them. Candidate Preview badge hidden offline. Riley offline Ticket/profile keys retained after ordinary logout. Chrome open list reconciled one new row, counter 2 -&gt; 3. Settings observation recreated page. Paste exact, editor width stable; notification trigger covered Remove link. Real offline Nova QR rendered; uncached Game showed misleading empty result. Native Chrome SIGTRAP captured; seamless offline cold-start not proven. Owned fixture and server session snapshot restored; original nginx route restored. No FCM test. Later authorized localhost/dev-only offline-demo trial implemented: phone HTTP Anna -&gt; local u1 passed; reconnect stays local without reload, next explicit opening prefers HTTP; saved local edit survives another outage, cancelled draft does not; Mongo confirms neither marker reached live user. Full internet-offline cold start remains unproven. See the added opt-in trial evidence. Floating cloud_off appears at zero unread, remains movable/dismissible; menu/list icons track connection and preserve mute preference. Continuation evidence supersedes the earlier cache-purge/cold-start failures: Riley logout purged private cache, Nova isolated Ticket/QR remained usable after offline cold-start; reconnect retained timeOrigin. Fixture currently staged, Nova logged in, transport online, lifecycle-3 route retained. Existing hash-based Friends only is not the clarified completed-event friendship rule; unfinished replacement removed pending member-screen analysis. Latest continuation supersedes stale friendship and actor notes: real completed-event/media policy proof is in the QA pack; Riley phone and Casey managed desktop remain staged, Nova logged out. lifecycle-16 build mobile-webview-lifecycle-1789393814593, shared-setup screenshots/results retained. No real FCM activation/delivery or external Firebase entry proof; PARTIAL remains. 2026-09-14 correction: application query/storage test switches removed; six local device persistence checks and seven popup contracts on desktop/phone passed; external page+worker outage and same-page reconnect passed lifecycle-17. Extra offline labels removed; latest candidate lifecycle-19. Full local UI and real provider tests remain open. Latest continuation: candidate-25 local data-source availability fix removes physical-network-only disabling from local operations. Physical local About save/reopen and draft-preserving reconnect passed; HTTP About unchanged. External Rating URLs are valid and load on phone online; uncached external images unavailable under full network loss are accepted. All transport shapers stopped. See Candidate 25 local offline verification in QA pack; earlier disabled-local-mute expectation superseded. PARTIAL/OPEN remains. Latest cleanup: local About/mute restored, both devices normally logged out, versioned fixture reset completed. Public Firebase bootstrap filter corrected for exact paths; watcher compilation passed. Config returns controller 404 (inactive revision), Operator 403/private media 401 retained. Added JUnit regression unexecuted due existing test compilation blocker. API-only server loss does not imply external-image loss. 2026-09-14: Operator cross-guide coverage mapped; reported mobile country-label wrap diagnosed read-only and repaired. Entry browser online/offline listeners and stale-response invalidation added; watcher compile and i18n seed audit PASS, actual updated-phone replay pending. Latest continuation: real phone Google registration, three-image profile Save, logout and repeat same-identity login observed; fresh Mongo count 1, images 3, devices 1. Desktop three-provider Login footer visible and tester confirmed. No-change Firebase Save/reopen preserves active tested revision 1. Country-label and corrected worker-first network restoration replay passed. Candidate 26 activation remains unproven; see Firebase registration and desktop login footer in QA pack. Candidate 27 physical Firebase block passed: actual cold reopen retains identity/avatar; only-QA-client close activates new worker without data clearing. API-only outage/reconnect preserves same Firebase document. Private media 200 before logout, anonymous/invalid 401, retained-cookie 401 after logout, legacy public path redirects to protected 401. Added Settings -&gt; Permissions because installed PWA lacked reentry; ordinary off/reopen leaves zero devices, bell mute/unmute cannot override opt-out, on/reopen/repeated Update leaves one device. Existing watcher compiled, no extra compiler. Push message explicitly deferred, none sent. See Installed-PWA permission replay in QA pack. Latest: actual desktop native installation and standalone reopen through Chrome Apps retained one profile; shared install pending/ring separation compiled at 21:05:04Z and isolated compiled-service checks passed. Native corrected replay remains pending. Own demo avatar loads; earlier Firebase QA card private images return 401 in shared dev demo_db. See Desktop installation, native progress and mixed dev media in QA pack. Latest 2026-09-14: actual desktop native waiting/cancel/accept/ring/completion PASS; original demo normal logout/selector return PASS; user-completed fresh WebView Email Replay first save verified 21:24:16.469Z with 3 images and unique email before backend restart. Peter Szabo card still No image: private requests 401 in mixed dev data; own avatar success does not resolve this OPEN defect. Physical native replay remains unproven. Correction/repair 2026-09-14 23:40 local: profile visibility governs images; no private-image setting. Firebase-only media gate and untracked HTTP onboarding fixed. 11 backend unit tests + scoped live HTTP qualification + 4 compiled onboarding checks PASS. Public profile image 200/private 403/revoked or invalid 401. Existing screen still awaits normal user re-login; no card-image UI PASS yet. Desktop UI replay 2026-09-14/15 PASS: Email Replay ordinary logout/selector return, all 3 Peter Szabo images/profile detail, installed-app close/reopen with 3 HTTP 200 reads; new user-completed Session Replay save and reload verified 3 images/unique email/1 active session/1 login audit, no duplicate or second onboarding. Broader row remains PARTIAL; next consent 002/003 and session/phone gaps. Help/Guide repair 2026-09-15: seeded-help namespace was incorrectly redirected to private media (307 then 403). Existing backend watcher fix loaded; all 77 seeded SVGs now anonymous HTTP 200 with exact seed bytes; 2 path/security tests PASS. Guide visual reopen remains pending. Consent 002 status previous-active: v3 accepted with previous analytics only, target/total +1, anonymous 0; v4 not activated. Footer glyph colors removed, Facebook icon retained, visual check pending. See Help/Guide media repair and consent resume in QA pack. Desktop consent 002 verified 22:29:18.948Z: v4 forced, Close cannot bypass, analytics only; v3 unchanged; +2 target/total, zero anonymous. User reports Guide images now working elsewhere. Consent 003 verified 22:31:29.822Z: only analytics preselected, research explicitly added through later Save choices (agent initially approved too early); v4 revision/consent unchanged, +1 consent, marketing absent, anonymous 0. Exact sequence documented in pack. Per-profile AUTH-SESSION-001 PASS: A/B/C all Maya Stone via supported actor override; first two accepted, third blocked, A logout frees slot for C. Exact 4 audits/2 active sessions/3 warnings; B/C unread 11 to 14. Nova evidence untouched. Home cards guide illustrations visually verified. See Per-profile session limit desktop replay in QA pack. Clarification: demo exemption was a misinterpretation and fully reverted; original per-profile Maya result remains valid. Same C browser: Maya blocked, Try again then Kiss Balázs enters; Maya 2 sessions/Balázs 1. Candidate lifecycle-31 served for phone, activation pending. Candidate 31 phone cold reopen/entry passed; neutral footer glyphs + Facebook visually verified. Settings resident replay: same timeOrigin 1789425983526.4, native Settings foreground, one versioned mutation, Recents resume unread 4-&gt;5 and one row stable through polling/reopen. Mobile rating photo contain fix requested, replay pending. Candidate 32 main Home rating photo fit PASS: physical screenshot shows full proportional image; live /game inspection confirms contain on all three image layers. Existing watcher compiled 22:51:09.164Z. See Mobile home rating photo fit in QA pack; full checkpoint remains PARTIAL/OPEN. FINAL 2026-09-15: supersedes prior pending/runtime notes. Physical Chrome native install pending no ring, Cancel no ring, acceptance ring then appinstalled completion PASS. Local candidate35 device initialization repair: off/on/reload/repeated Update/profile-save and automatic Anna/Balazs transfer PASS; other-device preservation remains adapter coverage. Seed progress actual phone trace 0,0,11,22,34,40,43,52,64,82,94,97,97,98,100 PASS. Footer neutral 28px glyphs/Facebook visually PASS. Phone hu consent002 v2/v3 reject/forced acceptance/immutable previous +2 audits PASS; consent003 v4 analytics inherited and research selected before first approval +1 audit PASS. Supplemental phone Maya blocked at two sessions; desktop logout then phone retry accepted, exactly two sessions/four audits/three warnings. Selector remains available to other profiles; no demo exemption. Mobile/auth/consent fixtures reset; Maya residue zero, immutable Nova consents retained. Exact HTTP dev environment restored; original phone PWA activated lifecycle36 1789428466369 standalone. Owned 127 probe app/tabs and managed desktop windows removed; original apps/cache/reverse tunnel preserved. Non-deferred execution complete; PARTIAL only for tester-deferred clipboard. See WebView final physical replay and cleanup in QA pack. CLOSURE 2026-09-15: user resumed both deferred clipboard observations. Desktop real native Allow inserted exact 44-character URL, viewport/scrollWidth1136. Physical localhost PWA native prompt -&gt; Allow inserted same URL at00:04:21.759Z, permission granted, standalone lifecycle36, viewport/dialog width360 without overflow. Subsequent Permissions popup341px and zero Asset editors; desktop340px. Native Android Copy menu used, no clipboard API replacement/permission override. Both Asset editors cancelled, sourceLink empty and updatedDate unchanged at23:56:01.260Z. Both normal Logout confirmations completed; versioned fixture/common sessions reset, status not-staged, managed desktop/temporary phone tab closed. Original apps/cache/tunnel retained. All previously open WebView observations complete; PASS/CLOSED. See WebView clipboard closure in QA pack.</t>
  </si>
  <si>
    <t>UI-POLL-JANK-001</t>
  </si>
  <si>
    <t>Performance defect retest</t>
  </si>
  <si>
    <t>Admin Jobs + Chat</t>
  </si>
  <si>
    <t>Compare pointer, scroll and input frame pacing across idle UI, Admin process list, Job Detail and Chat during periodic/live updates; in the same run attribute unexpected logout across two intended sessions, CDP attachment and normal browser close</t>
  </si>
  <si>
    <t>Job Detail must stay responsive during SmartList refresh; unchanged polls must not mutate rows; only the selected changed rule may reach the detail signal</t>
  </si>
  <si>
    <t>Chat must stay responsive during WebSocket and user-realtime updates; read-only CDP attach creates no server session/context, and browser-close evidence is captured before intentional launcher cleanup</t>
  </si>
  <si>
    <t>USER-AUTHORIZED CDP PASS / CLOSED</t>
  </si>
  <si>
    <t>2026-09-14</t>
  </si>
  <si>
    <t>Real browser CDP: idle/list/detail 30 s each, Chat 45 s; four compiled SmartList method regressions passed; matching Vitest cases authored but not separately run; existing frontend watcher build and sync passed.</t>
  </si>
  <si>
    <t>Closed; next queued Notifications checkpoint is MOBILE-WEBVIEW-LIFECYCLE-001, not started.</t>
  </si>
  <si>
    <t>See guides/qa/diagnostics/UI_POLL_JANK_DIAGNOSIS.md measured closure 2026-09-14. Fixed unchanged-row replacement during reorder and old-object track-key loss. Final recordings: zero main-thread tasks &gt;=50 ms; frame maxima idle/list/detail/chat 16.8/20.9/16.8/42.7 ms, with isolated Chat gap near live arrival. One native Nova send, one live bubble and one persisted message; unsent probe cleared. Read-only CDP attach preserved exactly two Casey sessions, 29 audits and target/context sets. Ordinary Casey B close retained its server slot and valid auth before any cleanup. Nova logout, managed-browser close and guarded fixture reset completed; pre-launch sessions restored, fixture not-staged. Automated evidence, not a new human visual pass or a physical-device/local-adapter run.</t>
  </si>
  <si>
    <t>P1 65</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</si>
  <si>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</si>
  <si>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</si>
  <si>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</si>
  <si>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</si>
  <si>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</si>
  <si>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</si>
  <si>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</si>
  <si>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</si>
  <si>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ADMIN-MONITORING-001</t>
  </si>
  <si>
    <t>Monitoring dashboard, queues and jobs</t>
  </si>
  <si>
    <t>Open All/Watch/Domains/Delivery/Workers once and reuse one recompute plus one parameter save/revert to observe exact pending-to-terminal states, filters, totals, health and job details</t>
  </si>
  <si>
    <t>X; Graph summary later; Per job matrix</t>
  </si>
  <si>
    <t>Categories and filter counts match contract; Pending/running/failed and health transition correct; DELTA: scheduler start and terminal audit change once per real run; DELTA Jobs config once per persisted version; recompute/outbox should transition</t>
  </si>
  <si>
    <t>X; Changed edge visible after terminal; Per job matrix; Section-dependent</t>
  </si>
  <si>
    <t>X; Affinity recompute runState/history changes; Every runState/history must change; Affinity recompute pending/run changes</t>
  </si>
  <si>
    <t>X; Task terminal; Every domain oracle must pass independently; New config version and admin notification</t>
  </si>
  <si>
    <t>DESIGN CAPTURED / NOT RUN</t>
  </si>
  <si>
    <t>Consolidates BASE-MON, MON-011, MON-013, MON-014. Security/DTO support only; Worker/service tests; Lifecycle registry/projection tests; 4 real zero-work scheduler runs observed 2026-08-04; Params exact-once service tests; Params HTTP E2E</t>
  </si>
  <si>
    <t>Compare persisted queue/task/audit state, fast transitions, named job details, parameter exact-once telemetry and unchanged controls</t>
  </si>
  <si>
    <t>Source status: BASE-MON=NOT RUN; MON-011=NOT RUN; MON-013=NOT RUN as cross-surface pack; MON-014=NOT RUN. Queue counts are live; event totals accumulate; Universal job-run telemetry is wired; manual all-job cross-surface pack remains; admin.params.changed now emits on successful save/revert and not on no-op revert</t>
  </si>
  <si>
    <t>75/180</t>
  </si>
  <si>
    <t>ADMIN-AFFINITY-GRAPH-001</t>
  </si>
  <si>
    <t>Affinity Graph exploration and materialization</t>
  </si>
  <si>
    <t>Open the known graph; traverse forest/component/member depths; change weights; exercise viewport controls and scale; then let the real layout worker materialize and reopen the graph</t>
  </si>
  <si>
    <t>Graph summary only; compare later; Graph metrics/timeline change in predicted direction; prior dates stay immutable; X; Graph summary is not live-filtered: X; Graph summary direction agrees after refresh</t>
  </si>
  <si>
    <t>X; Matching queue returns terminal; Matching queue transition; DELTA scheduler/audit</t>
  </si>
  <si>
    <t>Member/link/component/isolated totals match; Edges/neighborhood/components agree; Component expands with bounded lazy load; Panel and strongest connections match; depths are bounded supersets; Only in-range edges; isolated members retained; Controls/progress work; reset returns overview; Expected edge/weight/component changes; unrelated edge stable; Forest paging/tiles/neighborhood bounded; isolated users visible; DELTA new layoutVersion and matching node/edge/forest totals</t>
  </si>
  <si>
    <t>X; Affinity recompute terminal; DELTA</t>
  </si>
  <si>
    <t>X; Discovery/affinity projection correct; Profile detail visible; No clipping at popup boundary; Affinity/discovery projection correct; No request loop or blank canvas</t>
  </si>
  <si>
    <t>PASS / PARTIAL — CONSOLIDATED</t>
  </si>
  <si>
    <t>Consolidates BASE-GRAPH, STAT-020, GRAPH-002, GRAPH-003, GRAPH-004, GRAPH-005, GRAPH-006, GRAPH-007, JOB-GRAPH-LAYOUT. Controller/service contracts; Historical immutability regression unit source added; dev classes hot-deploy compiled; runtime snapshot contract passed; standalone unit run intentionally not started; Controller/service forest tests; Neighborhood service tests; Weight-range service tests; Frontend behavior only; Graph and params tests; Tile/forest service tests; Focused worker and graph materialization tests; real dev scheduler smoke</t>
  </si>
  <si>
    <t>Compare totals, neighborhoods, filters, viewport behavior, historical/current summary, scheduler lifecycle and stored/header/reopened layout counts</t>
  </si>
  <si>
    <t>PASS / PARTIAL</t>
  </si>
  <si>
    <t>Source status: BASE-GRAPH=NOT RUN; STAT-020=DEFECT FIXED; HOT-DEPLOY RUNTIME + MANUAL STATISTICS UI PASS; AFFINITY GRAPH COMPARISON PENDING; GRAPH-002=NOT RUN; GRAPH-003=NOT RUN; GRAPH-004=NOT RUN; GRAPH-005=NOT RUN; GRAPH-006=NOT RUN; GRAPH-007=NOT RUN; JOB-GRAPH-LAYOUT=NOT RUN. Dedicated graph is not random-room generation; 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 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</si>
  <si>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P2 52</t>
  </si>
  <si>
    <t>60/145</t>
  </si>
  <si>
    <t>ADMIN-PARAMETERS-001</t>
  </si>
  <si>
    <t>All Parameters lifecycle and downstream controls</t>
  </si>
  <si>
    <t>In one session save/reopen/history/revert one safe value per section, reject each input type once, verify owned downstream effects and controls, then restore the full baseline</t>
  </si>
  <si>
    <t>X; Graph summary changes after recompute; Graph summary may change after recompute; X unless screen documents a statistic</t>
  </si>
  <si>
    <t>Config delta plus recompute/outbox transitions; Config delta and Matching queue; Config delta and Matching queue from generic save; Config delta plus outbox strategy/count transition; Config delta plus affected worker behavior; X; X unless action emits documented telemetry</t>
  </si>
  <si>
    <t>Section-dependent; User edge/score changes predicted direction; User affinity/order changes predictably; X; Distance-derived user edge changes predictably</t>
  </si>
  <si>
    <t>Affinity recompute pending/run changes; Affinity recompute terminal; Affinity recompute is enqueued generically; Affected worker cadence/batch behavior; No new run on cancel/failed save; X unless job/config input</t>
  </si>
  <si>
    <t>Exact value, new version, actor/date/summary, notification, non-destructive revert; Affinity output changes only for fixture signal; Profile/affinity ordering correct; Event recommendation/rank changes predicted direction; Asset recommendation/rank changes predicted direction; Discovery boundary/ranking correct; Direct vs multicast delivery changes and restores; Persist/reopen/revert; no hidden hook; No version/task/notification on cancel or rejected save; Exact persistence and validation only</t>
  </si>
  <si>
    <t>Consolidates PARAM-001, PARAM-010, PARAM-011, PARAM-012, PARAM-013, PARAM-014, PARAM-015, PARAM-016, PARAM-017, STATIC-SMOKE. AdminParamsService exact-once tests; notification HTTP E2E; Calculation/service tests; Absolute affinity tests; Absolute event affinity tests; Absolute asset affinity tests; Affinity calculation tests; BackendAdminParamsRealtimeE2ETest; exact-once telemetry tests; Service/config tests; Server bounds tests partial; Form/component tests vary</t>
  </si>
  <si>
    <t>Compare persistence/history/runtime consumers, invalid/cancel atomicity, scoped downstream effects/audits and exact restore</t>
  </si>
  <si>
    <t>Source status: PARAM-001=NOT RUN; PARAM-010=NOT RUN; PARAM-011=NOT RUN; PARAM-012=NOT RUN; PARAM-013=NOT RUN; PARAM-014=NOT RUN; PARAM-015=AUTO COVERAGE; MANUAL NOT RUN; PARAM-016=NOT RUN; PARAM-017=NOT RUN; STATIC-SMOKE=NOT RUN / not recorded. Graph explorer contains user edges, not event ranking; Graph explorer contains user edges, not asset ranking; HTTP E2E already proves save, consumer, history and revert; A static form pass is not downstream functional proof</t>
  </si>
  <si>
    <t>P3 38</t>
  </si>
  <si>
    <t>130/310</t>
  </si>
  <si>
    <t>OPERATOR-CONFIGURATION-LIFECYCLE-001</t>
  </si>
  <si>
    <t>Configuration workspace</t>
  </si>
  <si>
    <t>Open Configuration once; save, reopen and restore one controlled value in the public configuration, TLS, payment and Firebase blocks; after Firebase activation complete one fresh eligible sign-in</t>
  </si>
  <si>
    <t>DELTA one configuration revision per changed block; DELTA one Firebase subject/user/profile link</t>
  </si>
  <si>
    <t>CONDITIONAL only for the visible TLS or Firebase capability action</t>
  </si>
  <si>
    <t>Each save reports one honest result; reopening shows the normalized value; credentials remain masked; TLS, payment and Firebase happy-path checks succeed; public output matches after reload; Firebase login reuses one application identity; final restore returns every block to its baseline</t>
  </si>
  <si>
    <t>PARTIAL / OPEN</t>
  </si>
  <si>
    <t>Configuration validation, secret masking, TLS worker, provider callback/security and Firebase regressions belong to automated coverage; downstream checkout and push are owned by Event/Asset and Notifications</t>
  </si>
  <si>
    <t>Broader Operator journey parked. Firebase-related Operator Save/save-reopen remains shared with WebView. Operator restore, public configuration, TLS and payment await the separate Operator test.</t>
  </si>
  <si>
    <t>PARTIAL</t>
  </si>
  <si>
    <t>Consolidates OPERATOR-FIREBASE-LIFECYCLE-001, OPERATOR-PAYMENT-CONFIG-001, OPERATOR-PUBLIC-CONFIG-001 and OPERATOR-TLS-LIFECYCLE-001. Pair QA follows only the normal Operator UI path; invalid input, secret-leak, callback-security, renewal-failure and fault-injection branches are not manual checkpoints. 2026-09-14: shared real Firebase revision 1 is active; read-only harness confirms Authentication and Messaging tested revision 1. Desktop native notification Allow confirmed by user. Save/Auth API evidence is not manual save/reopen proof. Stable guide: guides/qa/checklists/operator/OPERATOR-CONFIGURATION-LIFECYCLE-001.md. Parent remains partial. User parked broader Operator execution after reviewing the guide; no additional Operator PASS claimed. Shared WebView continuation: ordinary no-change Firebase Save/reopen preserved masked active revision 1. Real Google registration and repeated identity login observed on phone. This is shared partial evidence, not configuration rotation or parent closure.</t>
  </si>
  <si>
    <t>OPERATOR-REGISTRY-LIFECYCLE-001</t>
  </si>
  <si>
    <t>Registration, claim, community and measurement</t>
  </si>
  <si>
    <t>Register one disposable local binding, complete one claim/link path, inspect leaderboard and community output, synchronize one measurement period, then deactivate and restore the binding</t>
  </si>
  <si>
    <t>DELTA one measurement report; X for read-only leaderboard</t>
  </si>
  <si>
    <t>DELTA signed deployment membership, claim/group receipt and measurement receipt; X for read-only views</t>
  </si>
  <si>
    <t>INDIRECT registry leaderboard only</t>
  </si>
  <si>
    <t>CONDITIONAL registry or measurement operation</t>
  </si>
  <si>
    <t>Registration and claim converge once; leaderboard/community show the same membership and honest provider availability; measurement totals appear once; deactivation makes member/admin fail closed while Operator recovery remains reachable; restoration creates no duplicate identity, group or report</t>
  </si>
  <si>
    <t>Registry protocol, token/security, retry/idempotency and measurement failure handling belong to automated coverage; the integrated Operator happy path has not run</t>
  </si>
  <si>
    <t>Compare binding, claim/group membership, leaderboard/community output, one measurement receipt, fail-closed clients and exact restored state</t>
  </si>
  <si>
    <t>Consolidates the previous OPERATOR-REGISTRY-LIFECYCLE-001, OPERATOR-COMMUNITY-LIFECYCLE-001 and OPERATOR-MEASUREMENT-LIFECYCLE-001 rows using one disposable registry fixture. Failure injection, token abuse, announcement fan-out and worker-retry branches are automated rather than separate Pair-QA checkpoints. Installed-host health and restart remain outside Pair QA.</t>
  </si>
  <si>
    <t>OPERATOR-UPDATE-LIFECYCLE-001</t>
  </si>
  <si>
    <t>Signed update</t>
  </si>
  <si>
    <t>Open Updates, apply one prepared valid compatible release, observe its progress and reopen the Operator screen after completion</t>
  </si>
  <si>
    <t>DELTA one verified release, update job and active version</t>
  </si>
  <si>
    <t>DELTA one durable update job</t>
  </si>
  <si>
    <t>The prepared release is accepted once; progress is honest; the screen reconnects after the controlled restart and shows the expected active version without duplicate work</t>
  </si>
  <si>
    <t>Signature, corruption, downgrade, rollback and interrupted-worker branches belong to packaging/update automation</t>
  </si>
  <si>
    <t>Compare displayed progress, durable job result, package version and one clean post-update Operator reload</t>
  </si>
  <si>
    <t>Consolidates the normal UI path from OPERATOR-UPDATE-001. Invalid/corrupt/downgrade controls and interruption fault injection are automated checks, not manual Pair-QA branches. Use only the prepared QA target, never the active development checkout.</t>
  </si>
  <si>
    <t>30/80</t>
  </si>
  <si>
    <t>OPERATOR-REVENUE-LIFECYCLE-001</t>
  </si>
  <si>
    <t>Revenue reporting</t>
  </si>
  <si>
    <t>Open Revenue for one controlled captured/released payment set, synchronize once, inspect totals and one settlement, then reopen the view</t>
  </si>
  <si>
    <t>DELTA exact provider, period and currency totals</t>
  </si>
  <si>
    <t>DELTA one revenue report revision and reconciliation result</t>
  </si>
  <si>
    <t>DELTA one revenue synchronization job</t>
  </si>
  <si>
    <t>Captured payments aggregate once; authorized, released and dummy controls stay excluded; one settlement matches its payment, booking, provider and currency; reopening shows the same persisted result</t>
  </si>
  <si>
    <t>Revenue aggregation, exclusion, retry/idempotency and failure handling belong to automated coverage; the controlled Operator happy path has not run</t>
  </si>
  <si>
    <t>Compare source captured payments, displayed totals, one settlement identity and unchanged excluded controls</t>
  </si>
  <si>
    <t>Consolidates the normal UI path from OPERATOR-REVENUE-001 and OPERATOR-REVENUE-003. Injected report failure and requeue behavior remain automated rather than a separate Pair-QA checkpoint.</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</si>
</sst>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W1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12" hidden="false" customWidth="true"/>
    <col min="21" max="21" width="0.1" hidden="true" customWidth="true"/>
    <col min="22" max="22" width="0.1" hidden="true" customWidth="true"/>
    <col min="23" max="23" width="0.1" hidden="true" customWidth="true"/>
  </cols>
  <sheetData>
    <row r="1" customFormat="false" ht="20" hidden="false" customHeight="true" outlineLevel="0" collapsed="false">
      <c r="A1" s="219" t="s">
        <v>0</v>
      </c>
      <c r="B1" s="221" t="s">
        <v>1</v>
      </c>
      <c r="C1" s="146" t="s">
        <v>1</v>
      </c>
      <c r="D1" s="147" t="s">
        <v>2</v>
      </c>
      <c r="E1" s="476" t="str">
        <f>COUNTIF(U16:U119,"Done")&amp;" ("&amp;IF(COUNTA(A16:A119)=0,"0%",TEXT(COUNTIF(U16:U119,"Done")/COUNTA(A16:A119),"0%"))&amp;")"</f>
        <v>94 (90%)</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c r="T1" s="146" t="s">
        <v>1</v>
      </c>
    </row>
    <row r="2" customFormat="false" ht="15" hidden="false" customHeight="false" outlineLevel="0" collapsed="false">
      <c r="A2" s="182" t="s">
        <v>4</v>
      </c>
      <c r="B2" s="183" t="s">
        <v>5</v>
      </c>
      <c r="C2" s="146" t="s">
        <v>1</v>
      </c>
      <c r="D2" s="158" t="s">
        <v>6</v>
      </c>
      <c r="E2" s="486">
        <f>COUNTIF(U16:U119,"Pending")</f>
        <v>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c r="T2" s="146" t="s">
        <v>1</v>
      </c>
    </row>
    <row r="3" customFormat="false" ht="15" hidden="false" customHeight="false" outlineLevel="0" collapsed="false">
      <c r="A3" s="190" t="s">
        <v>8</v>
      </c>
      <c r="B3" s="191" t="s">
        <v>9</v>
      </c>
      <c r="C3" s="146" t="s">
        <v>1</v>
      </c>
      <c r="D3" s="174" t="s">
        <v>10</v>
      </c>
      <c r="E3" s="502">
        <f>COUNTIF(U16:U119,"Not started")</f>
        <v>5</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c r="T3" s="146" t="s">
        <v>1</v>
      </c>
    </row>
    <row r="4" customFormat="false" ht="15" hidden="false" customHeight="false" outlineLevel="0" collapsed="false">
      <c r="A4" s="198" t="s">
        <v>11</v>
      </c>
      <c r="B4" s="199" t="s">
        <v>12</v>
      </c>
      <c r="C4" s="146" t="s">
        <v>1</v>
      </c>
      <c r="D4" s="166" t="s">
        <v>13</v>
      </c>
      <c r="E4" s="494">
        <f>COUNTIF(U16:U119,"Failed")</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c r="T4" s="146" t="s">
        <v>1</v>
      </c>
    </row>
    <row r="5" customFormat="false" ht="15" hidden="false" customHeight="false" outlineLevel="0" collapsed="false">
      <c r="A5" s="208" t="s">
        <v>15</v>
      </c>
      <c r="B5" s="210" t="s">
        <v>16</v>
      </c>
      <c r="C5" s="146" t="s">
        <v>1</v>
      </c>
      <c r="D5" s="232" t="s">
        <v>17</v>
      </c>
      <c r="E5" s="513">
        <f>COUNTA(A16:A119)</f>
        <v>104</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c r="T5" s="146" t="s">
        <v>1</v>
      </c>
    </row>
    <row r="6" customFormat="false" ht="20" hidden="false" customHeight="true" outlineLevel="0" collapsed="false">
      <c r="A6" s="145" t="s">
        <v>19</v>
      </c>
      <c r="B6" s="145" t="s">
        <v>1</v>
      </c>
      <c r="C6" s="145" t="s">
        <v>1</v>
      </c>
      <c r="D6" s="145" t="s">
        <v>1</v>
      </c>
      <c r="E6" s="145" t="s">
        <v>1</v>
      </c>
      <c r="F6" s="145" t="s">
        <v>1</v>
      </c>
      <c r="G6" s="145" t="s">
        <v>1</v>
      </c>
      <c r="H6" s="145" t="s">
        <v>1</v>
      </c>
      <c r="I6" s="145" t="s">
        <v>1</v>
      </c>
      <c r="J6" s="145" t="s">
        <v>1</v>
      </c>
      <c r="K6" s="145" t="s">
        <v>1</v>
      </c>
      <c r="L6" s="145" t="s">
        <v>1</v>
      </c>
      <c r="M6" s="145" t="s">
        <v>1</v>
      </c>
      <c r="N6" s="145" t="s">
        <v>1</v>
      </c>
      <c r="O6" s="145" t="s">
        <v>1</v>
      </c>
      <c r="P6" s="145" t="s">
        <v>1</v>
      </c>
      <c r="Q6" s="145" t="s">
        <v>1</v>
      </c>
      <c r="R6" s="145" t="s">
        <v>1</v>
      </c>
      <c r="S6" s="145" t="s">
        <v>1</v>
      </c>
      <c r="T6" s="145" t="s">
        <v>1</v>
      </c>
    </row>
    <row r="7" customFormat="false" ht="15" hidden="false" customHeight="false" outlineLevel="0" collapsed="false">
      <c r="A7" s="211" t="s">
        <v>20</v>
      </c>
      <c r="B7" s="212" t="s">
        <v>1</v>
      </c>
      <c r="C7" s="212" t="s">
        <v>21</v>
      </c>
      <c r="D7" s="212" t="s">
        <v>22</v>
      </c>
      <c r="E7" s="213" t="s">
        <v>1</v>
      </c>
      <c r="F7" s="211" t="s">
        <v>20</v>
      </c>
      <c r="G7" s="212" t="s">
        <v>1</v>
      </c>
      <c r="H7" s="212" t="s">
        <v>21</v>
      </c>
      <c r="I7" s="212" t="s">
        <v>22</v>
      </c>
      <c r="J7" s="213" t="s">
        <v>1</v>
      </c>
      <c r="K7" s="136" t="s">
        <v>1</v>
      </c>
      <c r="L7" s="136" t="s">
        <v>1</v>
      </c>
      <c r="M7" s="136" t="s">
        <v>1</v>
      </c>
      <c r="N7" s="136" t="s">
        <v>1</v>
      </c>
      <c r="O7" s="136" t="s">
        <v>1</v>
      </c>
      <c r="P7" s="136" t="s">
        <v>1</v>
      </c>
      <c r="Q7" s="136" t="s">
        <v>1</v>
      </c>
      <c r="R7" s="136" t="s">
        <v>1</v>
      </c>
      <c r="S7" s="136" t="s">
        <v>1</v>
      </c>
      <c r="T7" s="136" t="s">
        <v>1</v>
      </c>
    </row>
    <row r="8" customFormat="false" ht="15" hidden="false" customHeight="false" outlineLevel="0" collapsed="false">
      <c r="A8" s="277" t="s">
        <v>23</v>
      </c>
      <c r="B8" s="252" t="s">
        <v>1</v>
      </c>
      <c r="C8" s="252" t="s">
        <v>24</v>
      </c>
      <c r="D8" s="135" t="str">
        <f>COUNTIFS($C$16:$C$119,A8,$U$16:$U$119,"Done")&amp;" passed / "&amp;COUNTIF($C$16:$C$119,A8)&amp;" total ("&amp;IF(COUNTIF($C$16:$C$119,A8)=0,"0%",TEXT(COUNTIFS($C$16:$C$119,A8,$U$16:$U$119,"Done")/COUNTIF($C$16:$C$119,A8),"0%"))&amp;") · "&amp;SUMIFS($V$16:$V$119,$C$16:$C$119,A8,$U$16:$U$119,"&lt;&gt;Done")&amp;"/"&amp;SUMIFS($W$16:$W$119,$C$16:$C$119,A8,$U$16:$U$119,"&lt;&gt;Done")</f>
        <v>2 passed / 2 total (100%) · 0/0</v>
      </c>
      <c r="E8" s="151" t="s">
        <v>1</v>
      </c>
      <c r="F8" s="333" t="s">
        <v>26</v>
      </c>
      <c r="G8" s="259" t="s">
        <v>1</v>
      </c>
      <c r="H8" s="259" t="s">
        <v>27</v>
      </c>
      <c r="I8" s="136" t="str">
        <f>COUNTIFS($C$16:$C$119,F8,$U$16:$U$119,"Done")&amp;" passed / "&amp;COUNTIF($C$16:$C$119,F8)&amp;" total ("&amp;IF(COUNTIF($C$16:$C$119,F8)=0,"0%",TEXT(COUNTIFS($C$16:$C$119,F8,$U$16:$U$119,"Done")/COUNTIF($C$16:$C$119,F8),"0%"))&amp;") · "&amp;SUMIFS($V$16:$V$119,$C$16:$C$119,F8,$U$16:$U$119,"&lt;&gt;Done")&amp;"/"&amp;SUMIFS($W$16:$W$119,$C$16:$C$119,F8,$U$16:$U$119,"&lt;&gt;Done")</f>
        <v>5 passed / 7 total (71%) · 135/320</v>
      </c>
      <c r="J8" s="159" t="s">
        <v>1</v>
      </c>
      <c r="K8" s="136" t="s">
        <v>1</v>
      </c>
      <c r="L8" s="136" t="s">
        <v>1</v>
      </c>
      <c r="M8" s="136" t="s">
        <v>1</v>
      </c>
      <c r="N8" s="136" t="s">
        <v>1</v>
      </c>
      <c r="O8" s="136" t="s">
        <v>1</v>
      </c>
      <c r="P8" s="136" t="s">
        <v>1</v>
      </c>
      <c r="Q8" s="136" t="s">
        <v>1</v>
      </c>
      <c r="R8" s="136" t="s">
        <v>1</v>
      </c>
      <c r="S8" s="136" t="s">
        <v>1</v>
      </c>
      <c r="T8" s="136" t="s">
        <v>1</v>
      </c>
    </row>
    <row r="9" customFormat="false" ht="15" hidden="false" customHeight="false" outlineLevel="0" collapsed="false">
      <c r="A9" s="285" t="s">
        <v>29</v>
      </c>
      <c r="B9" s="253" t="s">
        <v>1</v>
      </c>
      <c r="C9" s="253" t="s">
        <v>30</v>
      </c>
      <c r="D9" s="135" t="str">
        <f>COUNTIFS($C$16:$C$119,A9,$U$16:$U$119,"Done")&amp;" passed / "&amp;COUNTIF($C$16:$C$119,A9)&amp;" total ("&amp;IF(COUNTIF($C$16:$C$119,A9)=0,"0%",TEXT(COUNTIFS($C$16:$C$119,A9,$U$16:$U$119,"Done")/COUNTIF($C$16:$C$119,A9),"0%"))&amp;") · "&amp;SUMIFS($V$16:$V$119,$C$16:$C$119,A9,$U$16:$U$119,"&lt;&gt;Done")&amp;"/"&amp;SUMIFS($W$16:$W$119,$C$16:$C$119,A9,$U$16:$U$119,"&lt;&gt;Done")</f>
        <v>8 passed / 8 total (100%) · 0/0</v>
      </c>
      <c r="E9" s="151" t="s">
        <v>1</v>
      </c>
      <c r="F9" s="349" t="s">
        <v>32</v>
      </c>
      <c r="G9" s="261" t="s">
        <v>1</v>
      </c>
      <c r="H9" s="261" t="s">
        <v>33</v>
      </c>
      <c r="I9" s="135" t="str">
        <f>COUNTIFS($C$16:$C$119,F9,$U$16:$U$119,"Done")&amp;" passed / "&amp;COUNTIF($C$16:$C$119,F9)&amp;" total ("&amp;IF(COUNTIF($C$16:$C$119,F9)=0,"0%",TEXT(COUNTIFS($C$16:$C$119,F9,$U$16:$U$119,"Done")/COUNTIF($C$16:$C$119,F9),"0%"))&amp;") · "&amp;SUMIFS($V$16:$V$119,$C$16:$C$119,F9,$U$16:$U$119,"&lt;&gt;Done")&amp;"/"&amp;SUMIFS($W$16:$W$119,$C$16:$C$119,F9,$U$16:$U$119,"&lt;&gt;Done")</f>
        <v>3 passed / 3 total (100%) · 0/0</v>
      </c>
      <c r="J9" s="151" t="s">
        <v>1</v>
      </c>
      <c r="K9" s="136" t="s">
        <v>1</v>
      </c>
      <c r="L9" s="136" t="s">
        <v>1</v>
      </c>
      <c r="M9" s="136" t="s">
        <v>1</v>
      </c>
      <c r="N9" s="136" t="s">
        <v>1</v>
      </c>
      <c r="O9" s="136" t="s">
        <v>1</v>
      </c>
      <c r="P9" s="136" t="s">
        <v>1</v>
      </c>
      <c r="Q9" s="136" t="s">
        <v>1</v>
      </c>
      <c r="R9" s="136" t="s">
        <v>1</v>
      </c>
      <c r="S9" s="136" t="s">
        <v>1</v>
      </c>
      <c r="T9" s="136" t="s">
        <v>1</v>
      </c>
    </row>
    <row r="10" customFormat="false" ht="15" hidden="false" customHeight="false" outlineLevel="0" collapsed="false">
      <c r="A10" s="309" t="s">
        <v>35</v>
      </c>
      <c r="B10" s="256" t="s">
        <v>1</v>
      </c>
      <c r="C10" s="256" t="s">
        <v>36</v>
      </c>
      <c r="D10" s="135" t="str">
        <f>COUNTIFS($C$16:$C$119,A10,$U$16:$U$119,"Done")&amp;" passed / "&amp;COUNTIF($C$16:$C$119,A10)&amp;" total ("&amp;IF(COUNTIF($C$16:$C$119,A10)=0,"0%",TEXT(COUNTIFS($C$16:$C$119,A10,$U$16:$U$119,"Done")/COUNTIF($C$16:$C$119,A10),"0%"))&amp;") · "&amp;SUMIFS($V$16:$V$119,$C$16:$C$119,A10,$U$16:$U$119,"&lt;&gt;Done")&amp;"/"&amp;SUMIFS($W$16:$W$119,$C$16:$C$119,A10,$U$16:$U$119,"&lt;&gt;Done")</f>
        <v>49 passed / 49 total (100%) · 0/0</v>
      </c>
      <c r="E10" s="151" t="s">
        <v>1</v>
      </c>
      <c r="F10" s="301" t="s">
        <v>38</v>
      </c>
      <c r="G10" s="255" t="s">
        <v>1</v>
      </c>
      <c r="H10" s="255" t="s">
        <v>39</v>
      </c>
      <c r="I10" s="450" t="str">
        <f>COUNTIFS($C$16:$C$119,F10,$U$16:$U$119,"Done")&amp;" passed / "&amp;COUNTIF($C$16:$C$119,F10)&amp;" total ("&amp;IF(COUNTIF($C$16:$C$119,F10)=0,"0%",TEXT(COUNTIFS($C$16:$C$119,F10,$U$16:$U$119,"Done")/COUNTIF($C$16:$C$119,F10),"0%"))&amp;") · "&amp;SUMIFS($V$16:$V$119,$C$16:$C$119,F10,$U$16:$U$119,"&lt;&gt;Done")&amp;"/"&amp;SUMIFS($W$16:$W$119,$C$16:$C$119,F10,$U$16:$U$119,"&lt;&gt;Done")</f>
        <v>5 passed / 6 total (83%) · 55/130</v>
      </c>
      <c r="J10" s="462" t="s">
        <v>1</v>
      </c>
      <c r="K10" s="136" t="s">
        <v>1</v>
      </c>
      <c r="L10" s="136" t="s">
        <v>1</v>
      </c>
      <c r="M10" s="136" t="s">
        <v>1</v>
      </c>
      <c r="N10" s="136" t="s">
        <v>1</v>
      </c>
      <c r="O10" s="136" t="s">
        <v>1</v>
      </c>
      <c r="P10" s="136" t="s">
        <v>1</v>
      </c>
      <c r="Q10" s="136" t="s">
        <v>1</v>
      </c>
      <c r="R10" s="136" t="s">
        <v>1</v>
      </c>
      <c r="S10" s="136" t="s">
        <v>1</v>
      </c>
      <c r="T10" s="136" t="s">
        <v>1</v>
      </c>
    </row>
    <row r="11" customFormat="false" ht="15" hidden="false" customHeight="false" outlineLevel="0" collapsed="false">
      <c r="A11" s="317" t="s">
        <v>41</v>
      </c>
      <c r="B11" s="257" t="s">
        <v>1</v>
      </c>
      <c r="C11" s="257" t="s">
        <v>42</v>
      </c>
      <c r="D11" s="135" t="str">
        <f>COUNTIFS($C$16:$C$119,A11,$U$16:$U$119,"Done")&amp;" passed / "&amp;COUNTIF($C$16:$C$119,A11)&amp;" total ("&amp;IF(COUNTIF($C$16:$C$119,A11)=0,"0%",TEXT(COUNTIFS($C$16:$C$119,A11,$U$16:$U$119,"Done")/COUNTIF($C$16:$C$119,A11),"0%"))&amp;") · "&amp;SUMIFS($V$16:$V$119,$C$16:$C$119,A11,$U$16:$U$119,"&lt;&gt;Done")&amp;"/"&amp;SUMIFS($W$16:$W$119,$C$16:$C$119,A11,$U$16:$U$119,"&lt;&gt;Done")</f>
        <v>15 passed / 15 total (100%) · 0/0</v>
      </c>
      <c r="E11" s="151" t="s">
        <v>1</v>
      </c>
      <c r="F11" s="365" t="s">
        <v>44</v>
      </c>
      <c r="G11" s="263" t="s">
        <v>1</v>
      </c>
      <c r="H11" s="263" t="s">
        <v>7</v>
      </c>
      <c r="I11" s="451" t="str">
        <f>COUNTIFS($C$16:$C$119,F11,$U$16:$U$119,"Done")&amp;" passed / "&amp;COUNTIF($C$16:$C$119,F11)&amp;" total ("&amp;IF(COUNTIF($C$16:$C$119,F11)=0,"0%",TEXT(COUNTIFS($C$16:$C$119,F11,$U$16:$U$119,"Done")/COUNTIF($C$16:$C$119,F11),"0%"))&amp;") · "&amp;SUMIFS($V$16:$V$119,$C$16:$C$119,F11,$U$16:$U$119,"&lt;&gt;Done")&amp;"/"&amp;SUMIFS($W$16:$W$119,$C$16:$C$119,F11,$U$16:$U$119,"&lt;&gt;Done")</f>
        <v>1 passed / 4 total (25%) · 265/635</v>
      </c>
      <c r="J11" s="470" t="s">
        <v>1</v>
      </c>
      <c r="K11" s="136" t="s">
        <v>1</v>
      </c>
      <c r="L11" s="136" t="s">
        <v>1</v>
      </c>
      <c r="M11" s="136" t="s">
        <v>1</v>
      </c>
      <c r="N11" s="136" t="s">
        <v>1</v>
      </c>
      <c r="O11" s="136" t="s">
        <v>1</v>
      </c>
      <c r="P11" s="136" t="s">
        <v>1</v>
      </c>
      <c r="Q11" s="136" t="s">
        <v>1</v>
      </c>
      <c r="R11" s="136" t="s">
        <v>1</v>
      </c>
      <c r="S11" s="136" t="s">
        <v>1</v>
      </c>
      <c r="T11" s="136" t="s">
        <v>1</v>
      </c>
    </row>
    <row r="12" customFormat="false" ht="15" hidden="false" customHeight="false" outlineLevel="0" collapsed="false">
      <c r="A12" s="327" t="s">
        <v>46</v>
      </c>
      <c r="B12" s="328" t="s">
        <v>1</v>
      </c>
      <c r="C12" s="328" t="s">
        <v>47</v>
      </c>
      <c r="D12" s="153" t="str">
        <f>COUNTIFS($C$16:$C$119,A12,$U$16:$U$119,"Done")&amp;" passed / "&amp;COUNTIF($C$16:$C$119,A12)&amp;" total ("&amp;IF(COUNTIF($C$16:$C$119,A12)=0,"0%",TEXT(COUNTIFS($C$16:$C$119,A12,$U$16:$U$119,"Done")/COUNTIF($C$16:$C$119,A12),"0%"))&amp;") · "&amp;SUMIFS($V$16:$V$119,$C$16:$C$119,A12,$U$16:$U$119,"&lt;&gt;Done")&amp;"/"&amp;SUMIFS($W$16:$W$119,$C$16:$C$119,A12,$U$16:$U$119,"&lt;&gt;Done")</f>
        <v>6 passed / 6 total (100%) · 0/0</v>
      </c>
      <c r="E12" s="154" t="s">
        <v>1</v>
      </c>
      <c r="F12" s="249" t="s">
        <v>49</v>
      </c>
      <c r="G12" s="250" t="s">
        <v>1</v>
      </c>
      <c r="H12" s="250" t="s">
        <v>50</v>
      </c>
      <c r="I12" s="177" t="str">
        <f>COUNTIFS($C$16:$C$119,F12,$U$16:$U$119,"Done")&amp;" passed / "&amp;COUNTIF($C$16:$C$119,F12)&amp;" total ("&amp;IF(COUNTIF($C$16:$C$119,F12)=0,"0%",TEXT(COUNTIFS($C$16:$C$119,F12,$U$16:$U$119,"Done")/COUNTIF($C$16:$C$119,F12),"0%"))&amp;") · "&amp;SUMIFS($V$16:$V$119,$C$16:$C$119,F12,$U$16:$U$119,"&lt;&gt;Done")&amp;"/"&amp;SUMIFS($W$16:$W$119,$C$16:$C$119,F12,$U$16:$U$119,"&lt;&gt;Done")</f>
        <v>0 passed / 4 total (0%) · 195/485</v>
      </c>
      <c r="J12" s="178" t="s">
        <v>1</v>
      </c>
      <c r="K12" s="136" t="s">
        <v>1</v>
      </c>
      <c r="L12" s="136" t="s">
        <v>1</v>
      </c>
      <c r="M12" s="136" t="s">
        <v>1</v>
      </c>
      <c r="N12" s="136" t="s">
        <v>1</v>
      </c>
      <c r="O12" s="136" t="s">
        <v>1</v>
      </c>
      <c r="P12" s="136" t="s">
        <v>1</v>
      </c>
      <c r="Q12" s="136" t="s">
        <v>1</v>
      </c>
      <c r="R12" s="136" t="s">
        <v>1</v>
      </c>
      <c r="S12" s="136" t="s">
        <v>1</v>
      </c>
      <c r="T12" s="136" t="s">
        <v>1</v>
      </c>
    </row>
    <row r="13" customFormat="false" ht="20" hidden="false" customHeight="true" outlineLevel="0" collapsed="false">
      <c r="A13" s="145" t="s">
        <v>52</v>
      </c>
      <c r="B13" s="145" t="s">
        <v>1</v>
      </c>
      <c r="C13" s="145" t="s">
        <v>1</v>
      </c>
      <c r="D13" s="145" t="s">
        <v>1</v>
      </c>
      <c r="E13" s="145" t="s">
        <v>1</v>
      </c>
      <c r="F13" s="145" t="s">
        <v>1</v>
      </c>
      <c r="G13" s="145" t="s">
        <v>1</v>
      </c>
      <c r="H13" s="145" t="s">
        <v>1</v>
      </c>
      <c r="I13" s="145" t="s">
        <v>1</v>
      </c>
      <c r="J13" s="145" t="s">
        <v>1</v>
      </c>
      <c r="K13" s="145" t="s">
        <v>1</v>
      </c>
      <c r="L13" s="145" t="s">
        <v>1</v>
      </c>
      <c r="M13" s="145" t="s">
        <v>1</v>
      </c>
      <c r="N13" s="145" t="s">
        <v>1</v>
      </c>
      <c r="O13" s="145" t="s">
        <v>1</v>
      </c>
      <c r="P13" s="145" t="s">
        <v>1</v>
      </c>
      <c r="Q13" s="145" t="s">
        <v>1</v>
      </c>
      <c r="R13" s="145" t="s">
        <v>1</v>
      </c>
      <c r="S13" s="145" t="s">
        <v>1</v>
      </c>
      <c r="T13" s="145" t="s">
        <v>1</v>
      </c>
    </row>
    <row r="14" customFormat="false" ht="20" hidden="false" customHeight="true" outlineLevel="0" collapsed="false">
      <c r="A14" s="146" t="s">
        <v>1</v>
      </c>
      <c r="B14" s="146" t="s">
        <v>1</v>
      </c>
      <c r="C14" s="146" t="s">
        <v>1</v>
      </c>
      <c r="D14" s="146" t="s">
        <v>1</v>
      </c>
      <c r="E14" s="146" t="s">
        <v>1</v>
      </c>
      <c r="F14" s="146" t="s">
        <v>1</v>
      </c>
      <c r="G14" s="146" t="s">
        <v>1</v>
      </c>
      <c r="H14" s="146" t="s">
        <v>1</v>
      </c>
      <c r="I14" s="146" t="s">
        <v>1</v>
      </c>
      <c r="J14" s="146" t="s">
        <v>1</v>
      </c>
      <c r="K14" s="146" t="s">
        <v>1</v>
      </c>
      <c r="L14" s="143" t="s">
        <v>53</v>
      </c>
      <c r="M14" s="143" t="s">
        <v>1</v>
      </c>
      <c r="N14" s="146" t="s">
        <v>1</v>
      </c>
      <c r="O14" s="146" t="s">
        <v>1</v>
      </c>
      <c r="P14" s="146" t="s">
        <v>1</v>
      </c>
      <c r="Q14" s="146" t="s">
        <v>1</v>
      </c>
      <c r="R14" s="146" t="s">
        <v>1</v>
      </c>
      <c r="S14" s="146" t="s">
        <v>1</v>
      </c>
      <c r="T14" s="146" t="s">
        <v>1</v>
      </c>
    </row>
    <row r="15" customFormat="false" ht="15" hidden="false" customHeight="false" outlineLevel="0" collapsed="false">
      <c r="A15" s="143" t="s">
        <v>54</v>
      </c>
      <c r="B15" s="143" t="s">
        <v>55</v>
      </c>
      <c r="C15" s="143" t="s">
        <v>20</v>
      </c>
      <c r="D15" s="143" t="s">
        <v>56</v>
      </c>
      <c r="E15" s="143" t="s">
        <v>57</v>
      </c>
      <c r="F15" s="143" t="s">
        <v>58</v>
      </c>
      <c r="G15" s="143" t="s">
        <v>59</v>
      </c>
      <c r="H15" s="143" t="s">
        <v>60</v>
      </c>
      <c r="I15" s="143" t="s">
        <v>61</v>
      </c>
      <c r="J15" s="143" t="s">
        <v>62</v>
      </c>
      <c r="K15" s="143" t="s">
        <v>63</v>
      </c>
      <c r="L15" s="143" t="s">
        <v>64</v>
      </c>
      <c r="M15" s="143" t="s">
        <v>65</v>
      </c>
      <c r="N15" s="143" t="s">
        <v>66</v>
      </c>
      <c r="O15" s="143" t="s">
        <v>67</v>
      </c>
      <c r="P15" s="143" t="s">
        <v>68</v>
      </c>
      <c r="Q15" s="143" t="s">
        <v>69</v>
      </c>
      <c r="R15" s="143" t="s">
        <v>70</v>
      </c>
      <c r="S15" s="143" t="s">
        <v>71</v>
      </c>
      <c r="T15" s="143" t="s">
        <v>72</v>
      </c>
    </row>
    <row r="16" customFormat="false" ht="15" hidden="false" customHeight="false" outlineLevel="0" collapsed="false">
      <c r="A16" s="135" t="s">
        <v>73</v>
      </c>
      <c r="B16" s="135" t="s">
        <v>74</v>
      </c>
      <c r="C16" s="252" t="s">
        <v>23</v>
      </c>
      <c r="D16" s="135" t="s">
        <v>75</v>
      </c>
      <c r="E16" s="135" t="s">
        <v>76</v>
      </c>
      <c r="F16" s="135" t="s">
        <v>77</v>
      </c>
      <c r="G16" s="135" t="s">
        <v>78</v>
      </c>
      <c r="H16" s="135" t="s">
        <v>79</v>
      </c>
      <c r="I16" s="135" t="s">
        <v>80</v>
      </c>
      <c r="J16" s="135" t="s">
        <v>81</v>
      </c>
      <c r="K16" s="135" t="s">
        <v>82</v>
      </c>
      <c r="L16" s="135" t="s">
        <v>1</v>
      </c>
      <c r="M16" s="135" t="s">
        <v>1</v>
      </c>
      <c r="N16" s="135" t="s">
        <v>83</v>
      </c>
      <c r="O16" s="135" t="s">
        <v>84</v>
      </c>
      <c r="P16" s="135" t="s">
        <v>85</v>
      </c>
      <c r="Q16" s="135" t="s">
        <v>86</v>
      </c>
      <c r="R16" s="135" t="s">
        <v>87</v>
      </c>
      <c r="S16" s="135" t="s">
        <v>88</v>
      </c>
      <c r="T16" s="135" t="s">
        <v>1</v>
      </c>
      <c r="U16" s="146" t="str">
        <f>IF(OR(ISNUMBER(SEARCH("FAIL",K16&amp;" "&amp;Q16)),ISNUMBER(SEARCH("CLEAN RETEST REQUIRED",K16&amp;" "&amp;Q16))),"Failed",IF(OR(ISNUMBER(SEARCH("NOT RUN",K16&amp;" "&amp;Q16)),ISNUMBER(SEARCH("NOT IMPLEMENTED",K16&amp;" "&amp;Q16))),"Not started",IF(OR(ISNUMBER(SEARCH("PARTIAL",K16&amp;" "&amp;Q16)),ISNUMBER(SEARCH("PENDING",K16&amp;" "&amp;Q16)),ISNUMBER(SEARCH("IN PROGRESS",K16&amp;" "&amp;Q16)),ISNUMBER(SEARCH("OPEN",K16&amp;" "&amp;Q16)),ISNUMBER(SEARCH("RETEST REQUIRED",K16&amp;" "&amp;Q16)),ISNUMBER(SEARCH("IMPLEMENTATION UPDATED",K16&amp;" "&amp;Q16)),ISNUMBER(SEARCH("REQUIRED EVERY SESSION",K16&amp;" "&amp;Q16))),"Pending",IF(OR(Q16="PASS",ISNUMBER(SEARCH("PASS",K16&amp;" "&amp;Q16))),"Done","Pending"))))</f>
        <v>Done</v>
      </c>
      <c r="V16" s="146">
        <f>IF(T16="","",VALUE(LEFT(T16,SEARCH("/",T16)-1)))</f>
        <v/>
      </c>
      <c r="W16" s="146">
        <f>IF(T16="","",VALUE(MID(T16,SEARCH("/",T16)+1,LEN(T16))))</f>
        <v/>
      </c>
    </row>
    <row r="17" customFormat="false" ht="15" hidden="false" customHeight="false" outlineLevel="0" collapsed="false">
      <c r="A17" s="135" t="s">
        <v>89</v>
      </c>
      <c r="B17" s="135" t="s">
        <v>90</v>
      </c>
      <c r="C17" s="252" t="s">
        <v>23</v>
      </c>
      <c r="D17" s="135" t="s">
        <v>91</v>
      </c>
      <c r="E17" s="135" t="s">
        <v>92</v>
      </c>
      <c r="F17" s="135" t="s">
        <v>4</v>
      </c>
      <c r="G17" s="135" t="s">
        <v>4</v>
      </c>
      <c r="H17" s="135" t="s">
        <v>4</v>
      </c>
      <c r="I17" s="135" t="s">
        <v>4</v>
      </c>
      <c r="J17" s="135" t="s">
        <v>93</v>
      </c>
      <c r="K17" s="135" t="s">
        <v>82</v>
      </c>
      <c r="L17" s="135" t="s">
        <v>1</v>
      </c>
      <c r="M17" s="135" t="s">
        <v>1</v>
      </c>
      <c r="N17" s="135" t="s">
        <v>83</v>
      </c>
      <c r="O17" s="135" t="s">
        <v>94</v>
      </c>
      <c r="P17" s="135" t="s">
        <v>95</v>
      </c>
      <c r="Q17" s="135" t="s">
        <v>86</v>
      </c>
      <c r="R17" s="135" t="s">
        <v>96</v>
      </c>
      <c r="S17" s="135" t="s">
        <v>97</v>
      </c>
      <c r="T17" s="135" t="s">
        <v>1</v>
      </c>
      <c r="U17" s="146" t="str">
        <f>IF(OR(ISNUMBER(SEARCH("FAIL",K17&amp;" "&amp;Q17)),ISNUMBER(SEARCH("CLEAN RETEST REQUIRED",K17&amp;" "&amp;Q17))),"Failed",IF(OR(ISNUMBER(SEARCH("NOT RUN",K17&amp;" "&amp;Q17)),ISNUMBER(SEARCH("NOT IMPLEMENTED",K17&amp;" "&amp;Q17))),"Not started",IF(OR(ISNUMBER(SEARCH("PARTIAL",K17&amp;" "&amp;Q17)),ISNUMBER(SEARCH("PENDING",K17&amp;" "&amp;Q17)),ISNUMBER(SEARCH("IN PROGRESS",K17&amp;" "&amp;Q17)),ISNUMBER(SEARCH("OPEN",K17&amp;" "&amp;Q17)),ISNUMBER(SEARCH("RETEST REQUIRED",K17&amp;" "&amp;Q17)),ISNUMBER(SEARCH("IMPLEMENTATION UPDATED",K17&amp;" "&amp;Q17)),ISNUMBER(SEARCH("REQUIRED EVERY SESSION",K17&amp;" "&amp;Q17))),"Pending",IF(OR(Q17="PASS",ISNUMBER(SEARCH("PASS",K17&amp;" "&amp;Q17))),"Done","Pending"))))</f>
        <v>Done</v>
      </c>
      <c r="V17" s="146">
        <f>IF(T17="","",VALUE(LEFT(T17,SEARCH("/",T17)-1)))</f>
        <v/>
      </c>
      <c r="W17" s="146">
        <f>IF(T17="","",VALUE(MID(T17,SEARCH("/",T17)+1,LEN(T17))))</f>
        <v/>
      </c>
    </row>
    <row r="18" customFormat="false" ht="45" hidden="false" customHeight="true" outlineLevel="0" collapsed="false">
      <c r="A18" s="135" t="s">
        <v>98</v>
      </c>
      <c r="B18" s="135" t="s">
        <v>99</v>
      </c>
      <c r="C18" s="253" t="s">
        <v>29</v>
      </c>
      <c r="D18" s="135" t="s">
        <v>100</v>
      </c>
      <c r="E18" s="135" t="s">
        <v>101</v>
      </c>
      <c r="F18" s="135" t="s">
        <v>102</v>
      </c>
      <c r="G18" s="135" t="s">
        <v>103</v>
      </c>
      <c r="H18" s="135" t="s">
        <v>104</v>
      </c>
      <c r="I18" s="135" t="s">
        <v>4</v>
      </c>
      <c r="J18" s="135" t="s">
        <v>105</v>
      </c>
      <c r="K18" s="135" t="s">
        <v>106</v>
      </c>
      <c r="L18" s="135" t="s">
        <v>1</v>
      </c>
      <c r="M18" s="135" t="s">
        <v>1</v>
      </c>
      <c r="N18" s="135" t="s">
        <v>107</v>
      </c>
      <c r="O18" s="135" t="s">
        <v>108</v>
      </c>
      <c r="P18" s="135" t="s">
        <v>109</v>
      </c>
      <c r="Q18" s="135" t="s">
        <v>86</v>
      </c>
      <c r="R18" s="135" t="s">
        <v>110</v>
      </c>
      <c r="S18" s="135" t="s">
        <v>111</v>
      </c>
      <c r="T18" s="135" t="s">
        <v>1</v>
      </c>
      <c r="U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Done</v>
      </c>
      <c r="V18" s="146">
        <f>IF(T18="","",VALUE(LEFT(T18,SEARCH("/",T18)-1)))</f>
        <v/>
      </c>
      <c r="W18" s="146">
        <f>IF(T18="","",VALUE(MID(T18,SEARCH("/",T18)+1,LEN(T18))))</f>
        <v/>
      </c>
    </row>
    <row r="19" customFormat="false" ht="60" hidden="false" customHeight="true" outlineLevel="0" collapsed="false">
      <c r="A19" s="135" t="s">
        <v>112</v>
      </c>
      <c r="B19" s="135" t="s">
        <v>99</v>
      </c>
      <c r="C19" s="253" t="s">
        <v>29</v>
      </c>
      <c r="D19" s="135" t="s">
        <v>113</v>
      </c>
      <c r="E19" s="135" t="s">
        <v>114</v>
      </c>
      <c r="F19" s="135" t="s">
        <v>4</v>
      </c>
      <c r="G19" s="135" t="s">
        <v>115</v>
      </c>
      <c r="H19" s="135" t="s">
        <v>4</v>
      </c>
      <c r="I19" s="135" t="s">
        <v>4</v>
      </c>
      <c r="J19" s="135" t="s">
        <v>116</v>
      </c>
      <c r="K19" s="135" t="s">
        <v>106</v>
      </c>
      <c r="L19" s="135" t="s">
        <v>1</v>
      </c>
      <c r="M19" s="135" t="s">
        <v>1</v>
      </c>
      <c r="N19" s="135" t="s">
        <v>107</v>
      </c>
      <c r="O19" s="135" t="s">
        <v>117</v>
      </c>
      <c r="P19" s="135" t="s">
        <v>118</v>
      </c>
      <c r="Q19" s="135" t="s">
        <v>86</v>
      </c>
      <c r="R19" s="135" t="s">
        <v>119</v>
      </c>
      <c r="S19" s="135" t="s">
        <v>88</v>
      </c>
      <c r="T19" s="135" t="s">
        <v>1</v>
      </c>
      <c r="U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Done</v>
      </c>
      <c r="V19" s="146">
        <f>IF(T19="","",VALUE(LEFT(T19,SEARCH("/",T19)-1)))</f>
        <v/>
      </c>
      <c r="W19" s="146">
        <f>IF(T19="","",VALUE(MID(T19,SEARCH("/",T19)+1,LEN(T19))))</f>
        <v/>
      </c>
    </row>
    <row r="20" customFormat="false" ht="150" hidden="false" customHeight="true" outlineLevel="0" collapsed="false">
      <c r="A20" s="135" t="s">
        <v>120</v>
      </c>
      <c r="B20" s="135" t="s">
        <v>99</v>
      </c>
      <c r="C20" s="253" t="s">
        <v>29</v>
      </c>
      <c r="D20" s="135" t="s">
        <v>113</v>
      </c>
      <c r="E20" s="135" t="s">
        <v>121</v>
      </c>
      <c r="F20" s="135" t="s">
        <v>4</v>
      </c>
      <c r="G20" s="135" t="s">
        <v>122</v>
      </c>
      <c r="H20" s="135" t="s">
        <v>4</v>
      </c>
      <c r="I20" s="135" t="s">
        <v>4</v>
      </c>
      <c r="J20" s="135" t="s">
        <v>123</v>
      </c>
      <c r="K20" s="135" t="s">
        <v>106</v>
      </c>
      <c r="L20" s="135" t="s">
        <v>1</v>
      </c>
      <c r="M20" s="135" t="s">
        <v>1</v>
      </c>
      <c r="N20" s="135" t="s">
        <v>107</v>
      </c>
      <c r="O20" s="135" t="s">
        <v>124</v>
      </c>
      <c r="P20" s="135" t="s">
        <v>125</v>
      </c>
      <c r="Q20" s="135" t="s">
        <v>86</v>
      </c>
      <c r="R20" s="135" t="s">
        <v>126</v>
      </c>
      <c r="S20" s="135" t="s">
        <v>88</v>
      </c>
      <c r="T20" s="135" t="s">
        <v>1</v>
      </c>
      <c r="U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V20" s="146">
        <f>IF(T20="","",VALUE(LEFT(T20,SEARCH("/",T20)-1)))</f>
        <v/>
      </c>
      <c r="W20" s="146">
        <f>IF(T20="","",VALUE(MID(T20,SEARCH("/",T20)+1,LEN(T20))))</f>
        <v/>
      </c>
    </row>
    <row r="21" customFormat="false" ht="90" hidden="false" customHeight="true" outlineLevel="0" collapsed="false">
      <c r="A21" s="135" t="s">
        <v>127</v>
      </c>
      <c r="B21" s="135" t="s">
        <v>99</v>
      </c>
      <c r="C21" s="253" t="s">
        <v>29</v>
      </c>
      <c r="D21" s="135" t="s">
        <v>113</v>
      </c>
      <c r="E21" s="135" t="s">
        <v>128</v>
      </c>
      <c r="F21" s="135" t="s">
        <v>4</v>
      </c>
      <c r="G21" s="135" t="s">
        <v>129</v>
      </c>
      <c r="H21" s="135" t="s">
        <v>4</v>
      </c>
      <c r="I21" s="135" t="s">
        <v>4</v>
      </c>
      <c r="J21" s="135" t="s">
        <v>130</v>
      </c>
      <c r="K21" s="135" t="s">
        <v>82</v>
      </c>
      <c r="L21" s="135" t="s">
        <v>1</v>
      </c>
      <c r="M21" s="135" t="s">
        <v>1</v>
      </c>
      <c r="N21" s="135" t="s">
        <v>107</v>
      </c>
      <c r="O21" s="135" t="s">
        <v>131</v>
      </c>
      <c r="P21" s="135" t="s">
        <v>132</v>
      </c>
      <c r="Q21" s="135" t="s">
        <v>86</v>
      </c>
      <c r="R21" s="135" t="s">
        <v>133</v>
      </c>
      <c r="S21" s="135" t="s">
        <v>88</v>
      </c>
      <c r="T21" s="135" t="s">
        <v>1</v>
      </c>
      <c r="U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Done</v>
      </c>
      <c r="V21" s="146">
        <f>IF(T21="","",VALUE(LEFT(T21,SEARCH("/",T21)-1)))</f>
        <v/>
      </c>
      <c r="W21" s="146">
        <f>IF(T21="","",VALUE(MID(T21,SEARCH("/",T21)+1,LEN(T21))))</f>
        <v/>
      </c>
    </row>
    <row r="22" customFormat="false" ht="105" hidden="false" customHeight="true" outlineLevel="0" collapsed="false">
      <c r="A22" s="135" t="s">
        <v>134</v>
      </c>
      <c r="B22" s="135" t="s">
        <v>135</v>
      </c>
      <c r="C22" s="253" t="s">
        <v>29</v>
      </c>
      <c r="D22" s="135" t="s">
        <v>136</v>
      </c>
      <c r="E22" s="135" t="s">
        <v>137</v>
      </c>
      <c r="F22" s="135" t="s">
        <v>138</v>
      </c>
      <c r="G22" s="135" t="s">
        <v>139</v>
      </c>
      <c r="H22" s="135" t="s">
        <v>4</v>
      </c>
      <c r="I22" s="135" t="s">
        <v>4</v>
      </c>
      <c r="J22" s="135" t="s">
        <v>140</v>
      </c>
      <c r="K22" s="135" t="s">
        <v>82</v>
      </c>
      <c r="L22" s="135" t="s">
        <v>1</v>
      </c>
      <c r="M22" s="135" t="s">
        <v>1</v>
      </c>
      <c r="N22" s="135" t="s">
        <v>141</v>
      </c>
      <c r="O22" s="135" t="s">
        <v>142</v>
      </c>
      <c r="P22" s="135" t="s">
        <v>143</v>
      </c>
      <c r="Q22" s="135" t="s">
        <v>86</v>
      </c>
      <c r="R22" s="135" t="s">
        <v>144</v>
      </c>
      <c r="S22" s="135" t="s">
        <v>88</v>
      </c>
      <c r="T22" s="135" t="s">
        <v>1</v>
      </c>
      <c r="U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V22" s="146">
        <f>IF(T22="","",VALUE(LEFT(T22,SEARCH("/",T22)-1)))</f>
        <v/>
      </c>
      <c r="W22" s="146">
        <f>IF(T22="","",VALUE(MID(T22,SEARCH("/",T22)+1,LEN(T22))))</f>
        <v/>
      </c>
    </row>
    <row r="23" customFormat="false" ht="75" hidden="false" customHeight="true" outlineLevel="0" collapsed="false">
      <c r="A23" s="135" t="s">
        <v>145</v>
      </c>
      <c r="B23" s="135" t="s">
        <v>135</v>
      </c>
      <c r="C23" s="253" t="s">
        <v>29</v>
      </c>
      <c r="D23" s="135" t="s">
        <v>146</v>
      </c>
      <c r="E23" s="135" t="s">
        <v>147</v>
      </c>
      <c r="F23" s="135" t="s">
        <v>4</v>
      </c>
      <c r="G23" s="135" t="s">
        <v>148</v>
      </c>
      <c r="H23" s="135" t="s">
        <v>4</v>
      </c>
      <c r="I23" s="135" t="s">
        <v>4</v>
      </c>
      <c r="J23" s="135" t="s">
        <v>149</v>
      </c>
      <c r="K23" s="135" t="s">
        <v>82</v>
      </c>
      <c r="L23" s="135" t="s">
        <v>1</v>
      </c>
      <c r="M23" s="135" t="s">
        <v>1</v>
      </c>
      <c r="N23" s="135" t="s">
        <v>150</v>
      </c>
      <c r="O23" s="135" t="s">
        <v>151</v>
      </c>
      <c r="P23" s="135" t="s">
        <v>152</v>
      </c>
      <c r="Q23" s="135" t="s">
        <v>86</v>
      </c>
      <c r="R23" s="135" t="s">
        <v>153</v>
      </c>
      <c r="S23" s="135" t="s">
        <v>88</v>
      </c>
      <c r="T23" s="135" t="s">
        <v>1</v>
      </c>
      <c r="U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V23" s="146">
        <f>IF(T23="","",VALUE(LEFT(T23,SEARCH("/",T23)-1)))</f>
        <v/>
      </c>
      <c r="W23" s="146">
        <f>IF(T23="","",VALUE(MID(T23,SEARCH("/",T23)+1,LEN(T23))))</f>
        <v/>
      </c>
    </row>
    <row r="24" customFormat="false" ht="15" hidden="false" customHeight="false" outlineLevel="0" collapsed="false">
      <c r="A24" s="135" t="s">
        <v>154</v>
      </c>
      <c r="B24" s="135" t="s">
        <v>155</v>
      </c>
      <c r="C24" s="253" t="s">
        <v>29</v>
      </c>
      <c r="D24" s="135" t="s">
        <v>156</v>
      </c>
      <c r="E24" s="135" t="s">
        <v>157</v>
      </c>
      <c r="F24" s="135" t="s">
        <v>158</v>
      </c>
      <c r="G24" s="135" t="s">
        <v>159</v>
      </c>
      <c r="H24" s="135" t="s">
        <v>4</v>
      </c>
      <c r="I24" s="135" t="s">
        <v>160</v>
      </c>
      <c r="J24" s="135" t="s">
        <v>161</v>
      </c>
      <c r="K24" s="135" t="s">
        <v>162</v>
      </c>
      <c r="L24" s="135" t="s">
        <v>1</v>
      </c>
      <c r="M24" s="135" t="s">
        <v>1</v>
      </c>
      <c r="N24" s="135" t="s">
        <v>163</v>
      </c>
      <c r="O24" s="135" t="s">
        <v>164</v>
      </c>
      <c r="P24" s="135" t="s">
        <v>165</v>
      </c>
      <c r="Q24" s="135" t="s">
        <v>86</v>
      </c>
      <c r="R24" s="135" t="s">
        <v>166</v>
      </c>
      <c r="S24" s="135" t="s">
        <v>167</v>
      </c>
      <c r="T24" s="135" t="s">
        <v>1</v>
      </c>
      <c r="U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V24" s="146">
        <f>IF(T24="","",VALUE(LEFT(T24,SEARCH("/",T24)-1)))</f>
        <v/>
      </c>
      <c r="W24" s="146">
        <f>IF(T24="","",VALUE(MID(T24,SEARCH("/",T24)+1,LEN(T24))))</f>
        <v/>
      </c>
    </row>
    <row r="25" customFormat="false" ht="15" hidden="false" customHeight="false" outlineLevel="0" collapsed="false">
      <c r="A25" s="135" t="s">
        <v>168</v>
      </c>
      <c r="B25" s="135" t="s">
        <v>169</v>
      </c>
      <c r="C25" s="253" t="s">
        <v>29</v>
      </c>
      <c r="D25" s="135" t="s">
        <v>170</v>
      </c>
      <c r="E25" s="135" t="s">
        <v>171</v>
      </c>
      <c r="F25" s="135" t="s">
        <v>172</v>
      </c>
      <c r="G25" s="135" t="s">
        <v>173</v>
      </c>
      <c r="H25" s="135" t="s">
        <v>174</v>
      </c>
      <c r="I25" s="135" t="s">
        <v>8</v>
      </c>
      <c r="J25" s="135" t="s">
        <v>175</v>
      </c>
      <c r="K25" s="135" t="s">
        <v>162</v>
      </c>
      <c r="L25" s="135" t="s">
        <v>1</v>
      </c>
      <c r="M25" s="135" t="s">
        <v>1</v>
      </c>
      <c r="N25" s="135" t="s">
        <v>163</v>
      </c>
      <c r="O25" s="135" t="s">
        <v>176</v>
      </c>
      <c r="P25" s="135" t="s">
        <v>177</v>
      </c>
      <c r="Q25" s="135" t="s">
        <v>86</v>
      </c>
      <c r="R25" s="135" t="s">
        <v>178</v>
      </c>
      <c r="S25" s="135" t="s">
        <v>111</v>
      </c>
      <c r="T25" s="135" t="s">
        <v>1</v>
      </c>
      <c r="U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V25" s="146">
        <f>IF(T25="","",VALUE(LEFT(T25,SEARCH("/",T25)-1)))</f>
        <v/>
      </c>
      <c r="W25" s="146">
        <f>IF(T25="","",VALUE(MID(T25,SEARCH("/",T25)+1,LEN(T25))))</f>
        <v/>
      </c>
    </row>
    <row r="26" customFormat="false" ht="15" hidden="false" customHeight="false" outlineLevel="0" collapsed="false">
      <c r="A26" s="135" t="s">
        <v>179</v>
      </c>
      <c r="B26" s="135" t="s">
        <v>180</v>
      </c>
      <c r="C26" s="256" t="s">
        <v>35</v>
      </c>
      <c r="D26" s="135" t="s">
        <v>181</v>
      </c>
      <c r="E26" s="135" t="s">
        <v>182</v>
      </c>
      <c r="F26" s="135" t="s">
        <v>183</v>
      </c>
      <c r="G26" s="135" t="s">
        <v>184</v>
      </c>
      <c r="H26" s="135" t="s">
        <v>185</v>
      </c>
      <c r="I26" s="135" t="s">
        <v>186</v>
      </c>
      <c r="J26" s="135" t="s">
        <v>187</v>
      </c>
      <c r="K26" s="135" t="s">
        <v>188</v>
      </c>
      <c r="L26" s="135" t="s">
        <v>1</v>
      </c>
      <c r="M26" s="135" t="s">
        <v>1</v>
      </c>
      <c r="N26" s="135" t="s">
        <v>189</v>
      </c>
      <c r="O26" s="135" t="s">
        <v>190</v>
      </c>
      <c r="P26" s="135" t="s">
        <v>191</v>
      </c>
      <c r="Q26" s="135" t="s">
        <v>86</v>
      </c>
      <c r="R26" s="135" t="s">
        <v>192</v>
      </c>
      <c r="S26" s="135" t="s">
        <v>97</v>
      </c>
      <c r="T26" s="135" t="s">
        <v>1</v>
      </c>
      <c r="U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Done</v>
      </c>
      <c r="V26" s="146">
        <f>IF(T26="","",VALUE(LEFT(T26,SEARCH("/",T26)-1)))</f>
        <v/>
      </c>
      <c r="W26" s="146">
        <f>IF(T26="","",VALUE(MID(T26,SEARCH("/",T26)+1,LEN(T26))))</f>
        <v/>
      </c>
    </row>
    <row r="27" customFormat="false" ht="15" hidden="false" customHeight="false" outlineLevel="0" collapsed="false">
      <c r="A27" s="135" t="s">
        <v>193</v>
      </c>
      <c r="B27" s="135" t="s">
        <v>194</v>
      </c>
      <c r="C27" s="256" t="s">
        <v>35</v>
      </c>
      <c r="D27" s="135" t="s">
        <v>195</v>
      </c>
      <c r="E27" s="135" t="s">
        <v>196</v>
      </c>
      <c r="F27" s="135" t="s">
        <v>197</v>
      </c>
      <c r="G27" s="135" t="s">
        <v>198</v>
      </c>
      <c r="H27" s="135" t="s">
        <v>199</v>
      </c>
      <c r="I27" s="135" t="s">
        <v>200</v>
      </c>
      <c r="J27" s="135" t="s">
        <v>201</v>
      </c>
      <c r="K27" s="135" t="s">
        <v>188</v>
      </c>
      <c r="L27" s="135" t="s">
        <v>1</v>
      </c>
      <c r="M27" s="135" t="s">
        <v>1</v>
      </c>
      <c r="N27" s="135" t="s">
        <v>189</v>
      </c>
      <c r="O27" s="135" t="s">
        <v>202</v>
      </c>
      <c r="P27" s="135" t="s">
        <v>203</v>
      </c>
      <c r="Q27" s="135" t="s">
        <v>86</v>
      </c>
      <c r="R27" s="135" t="s">
        <v>204</v>
      </c>
      <c r="S27" s="135" t="s">
        <v>111</v>
      </c>
      <c r="T27" s="135" t="s">
        <v>1</v>
      </c>
      <c r="U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Done</v>
      </c>
      <c r="V27" s="146">
        <f>IF(T27="","",VALUE(LEFT(T27,SEARCH("/",T27)-1)))</f>
        <v/>
      </c>
      <c r="W27" s="146">
        <f>IF(T27="","",VALUE(MID(T27,SEARCH("/",T27)+1,LEN(T27))))</f>
        <v/>
      </c>
    </row>
    <row r="28" customFormat="false" ht="15" hidden="false" customHeight="false" outlineLevel="0" collapsed="false">
      <c r="A28" s="135" t="s">
        <v>205</v>
      </c>
      <c r="B28" s="135" t="s">
        <v>180</v>
      </c>
      <c r="C28" s="256" t="s">
        <v>35</v>
      </c>
      <c r="D28" s="135" t="s">
        <v>181</v>
      </c>
      <c r="E28" s="135" t="s">
        <v>206</v>
      </c>
      <c r="F28" s="135" t="s">
        <v>207</v>
      </c>
      <c r="G28" s="135" t="s">
        <v>208</v>
      </c>
      <c r="H28" s="135" t="s">
        <v>185</v>
      </c>
      <c r="I28" s="135" t="s">
        <v>209</v>
      </c>
      <c r="J28" s="135" t="s">
        <v>210</v>
      </c>
      <c r="K28" s="135" t="s">
        <v>188</v>
      </c>
      <c r="L28" s="135" t="s">
        <v>1</v>
      </c>
      <c r="M28" s="135" t="s">
        <v>1</v>
      </c>
      <c r="N28" s="135" t="s">
        <v>189</v>
      </c>
      <c r="O28" s="135" t="s">
        <v>211</v>
      </c>
      <c r="P28" s="135" t="s">
        <v>212</v>
      </c>
      <c r="Q28" s="135" t="s">
        <v>86</v>
      </c>
      <c r="R28" s="135" t="s">
        <v>213</v>
      </c>
      <c r="S28" s="135" t="s">
        <v>214</v>
      </c>
      <c r="T28" s="135" t="s">
        <v>1</v>
      </c>
      <c r="U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Done</v>
      </c>
      <c r="V28" s="146">
        <f>IF(T28="","",VALUE(LEFT(T28,SEARCH("/",T28)-1)))</f>
        <v/>
      </c>
      <c r="W28" s="146">
        <f>IF(T28="","",VALUE(MID(T28,SEARCH("/",T28)+1,LEN(T28))))</f>
        <v/>
      </c>
    </row>
    <row r="29" customFormat="false" ht="180" hidden="false" customHeight="true" outlineLevel="0" collapsed="false">
      <c r="A29" s="135" t="s">
        <v>215</v>
      </c>
      <c r="B29" s="135" t="s">
        <v>216</v>
      </c>
      <c r="C29" s="256" t="s">
        <v>35</v>
      </c>
      <c r="D29" s="135" t="s">
        <v>217</v>
      </c>
      <c r="E29" s="135" t="s">
        <v>218</v>
      </c>
      <c r="F29" s="135" t="s">
        <v>4</v>
      </c>
      <c r="G29" s="135" t="s">
        <v>219</v>
      </c>
      <c r="H29" s="135" t="s">
        <v>4</v>
      </c>
      <c r="I29" s="135" t="s">
        <v>220</v>
      </c>
      <c r="J29" s="135" t="s">
        <v>221</v>
      </c>
      <c r="K29" s="135" t="s">
        <v>82</v>
      </c>
      <c r="L29" s="135" t="s">
        <v>1</v>
      </c>
      <c r="M29" s="135" t="s">
        <v>1</v>
      </c>
      <c r="N29" s="135" t="s">
        <v>107</v>
      </c>
      <c r="O29" s="135" t="s">
        <v>222</v>
      </c>
      <c r="P29" s="135" t="s">
        <v>223</v>
      </c>
      <c r="Q29" s="135" t="s">
        <v>86</v>
      </c>
      <c r="R29" s="135" t="s">
        <v>224</v>
      </c>
      <c r="S29" s="135" t="s">
        <v>225</v>
      </c>
      <c r="T29" s="135" t="s">
        <v>1</v>
      </c>
      <c r="U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Done</v>
      </c>
      <c r="V29" s="146">
        <f>IF(T29="","",VALUE(LEFT(T29,SEARCH("/",T29)-1)))</f>
        <v/>
      </c>
      <c r="W29" s="146">
        <f>IF(T29="","",VALUE(MID(T29,SEARCH("/",T29)+1,LEN(T29))))</f>
        <v/>
      </c>
    </row>
    <row r="30" customFormat="false" ht="15" hidden="false" customHeight="false" outlineLevel="0" collapsed="false">
      <c r="A30" s="135" t="s">
        <v>226</v>
      </c>
      <c r="B30" s="135" t="s">
        <v>227</v>
      </c>
      <c r="C30" s="256" t="s">
        <v>35</v>
      </c>
      <c r="D30" s="135" t="s">
        <v>228</v>
      </c>
      <c r="E30" s="135" t="s">
        <v>229</v>
      </c>
      <c r="F30" s="135" t="s">
        <v>207</v>
      </c>
      <c r="G30" s="135" t="s">
        <v>230</v>
      </c>
      <c r="H30" s="135" t="s">
        <v>4</v>
      </c>
      <c r="I30" s="135" t="s">
        <v>231</v>
      </c>
      <c r="J30" s="135" t="s">
        <v>232</v>
      </c>
      <c r="K30" s="135" t="s">
        <v>233</v>
      </c>
      <c r="L30" s="135" t="s">
        <v>1</v>
      </c>
      <c r="M30" s="135" t="s">
        <v>1</v>
      </c>
      <c r="N30" s="135" t="s">
        <v>107</v>
      </c>
      <c r="O30" s="135" t="s">
        <v>234</v>
      </c>
      <c r="P30" s="135" t="s">
        <v>235</v>
      </c>
      <c r="Q30" s="135" t="s">
        <v>86</v>
      </c>
      <c r="R30" s="135" t="s">
        <v>236</v>
      </c>
      <c r="S30" s="135" t="s">
        <v>88</v>
      </c>
      <c r="T30" s="135" t="s">
        <v>1</v>
      </c>
      <c r="U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Done</v>
      </c>
      <c r="V30" s="146">
        <f>IF(T30="","",VALUE(LEFT(T30,SEARCH("/",T30)-1)))</f>
        <v/>
      </c>
      <c r="W30" s="146">
        <f>IF(T30="","",VALUE(MID(T30,SEARCH("/",T30)+1,LEN(T30))))</f>
        <v/>
      </c>
    </row>
    <row r="31" customFormat="false" ht="15" hidden="false" customHeight="false" outlineLevel="0" collapsed="false">
      <c r="A31" s="135" t="s">
        <v>237</v>
      </c>
      <c r="B31" s="135" t="s">
        <v>180</v>
      </c>
      <c r="C31" s="256" t="s">
        <v>35</v>
      </c>
      <c r="D31" s="135" t="s">
        <v>238</v>
      </c>
      <c r="E31" s="135" t="s">
        <v>239</v>
      </c>
      <c r="F31" s="135" t="s">
        <v>240</v>
      </c>
      <c r="G31" s="135" t="s">
        <v>241</v>
      </c>
      <c r="H31" s="135" t="s">
        <v>242</v>
      </c>
      <c r="I31" s="135" t="s">
        <v>243</v>
      </c>
      <c r="J31" s="135" t="s">
        <v>244</v>
      </c>
      <c r="K31" s="135" t="s">
        <v>188</v>
      </c>
      <c r="L31" s="135" t="s">
        <v>1</v>
      </c>
      <c r="M31" s="135" t="s">
        <v>1</v>
      </c>
      <c r="N31" s="135" t="s">
        <v>189</v>
      </c>
      <c r="O31" s="135" t="s">
        <v>245</v>
      </c>
      <c r="P31" s="135" t="s">
        <v>246</v>
      </c>
      <c r="Q31" s="135" t="s">
        <v>86</v>
      </c>
      <c r="R31" s="135" t="s">
        <v>247</v>
      </c>
      <c r="S31" s="135" t="s">
        <v>248</v>
      </c>
      <c r="T31" s="135" t="s">
        <v>1</v>
      </c>
      <c r="U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Done</v>
      </c>
      <c r="V31" s="146">
        <f>IF(T31="","",VALUE(LEFT(T31,SEARCH("/",T31)-1)))</f>
        <v/>
      </c>
      <c r="W31" s="146">
        <f>IF(T31="","",VALUE(MID(T31,SEARCH("/",T31)+1,LEN(T31))))</f>
        <v/>
      </c>
    </row>
    <row r="32" customFormat="false" ht="15" hidden="false" customHeight="false" outlineLevel="0" collapsed="false">
      <c r="A32" s="135" t="s">
        <v>249</v>
      </c>
      <c r="B32" s="135" t="s">
        <v>250</v>
      </c>
      <c r="C32" s="256" t="s">
        <v>35</v>
      </c>
      <c r="D32" s="135" t="s">
        <v>251</v>
      </c>
      <c r="E32" s="135" t="s">
        <v>252</v>
      </c>
      <c r="F32" s="135" t="s">
        <v>4</v>
      </c>
      <c r="G32" s="135" t="s">
        <v>253</v>
      </c>
      <c r="H32" s="135" t="s">
        <v>4</v>
      </c>
      <c r="I32" s="135" t="s">
        <v>254</v>
      </c>
      <c r="J32" s="135" t="s">
        <v>255</v>
      </c>
      <c r="K32" s="135" t="s">
        <v>256</v>
      </c>
      <c r="L32" s="135" t="s">
        <v>1</v>
      </c>
      <c r="M32" s="135" t="s">
        <v>1</v>
      </c>
      <c r="N32" s="135" t="s">
        <v>189</v>
      </c>
      <c r="O32" s="135" t="s">
        <v>257</v>
      </c>
      <c r="P32" s="135" t="s">
        <v>258</v>
      </c>
      <c r="Q32" s="135" t="s">
        <v>86</v>
      </c>
      <c r="R32" s="135" t="s">
        <v>259</v>
      </c>
      <c r="S32" s="135" t="s">
        <v>260</v>
      </c>
      <c r="T32" s="135" t="s">
        <v>1</v>
      </c>
      <c r="U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Done</v>
      </c>
      <c r="V32" s="146">
        <f>IF(T32="","",VALUE(LEFT(T32,SEARCH("/",T32)-1)))</f>
        <v/>
      </c>
      <c r="W32" s="146">
        <f>IF(T32="","",VALUE(MID(T32,SEARCH("/",T32)+1,LEN(T32))))</f>
        <v/>
      </c>
    </row>
    <row r="33" customFormat="false" ht="15" hidden="false" customHeight="false" outlineLevel="0" collapsed="false">
      <c r="A33" s="135" t="s">
        <v>261</v>
      </c>
      <c r="B33" s="135" t="s">
        <v>262</v>
      </c>
      <c r="C33" s="256" t="s">
        <v>35</v>
      </c>
      <c r="D33" s="135" t="s">
        <v>263</v>
      </c>
      <c r="E33" s="135" t="s">
        <v>264</v>
      </c>
      <c r="F33" s="135" t="s">
        <v>265</v>
      </c>
      <c r="G33" s="135" t="s">
        <v>266</v>
      </c>
      <c r="H33" s="135" t="s">
        <v>267</v>
      </c>
      <c r="I33" s="135" t="s">
        <v>268</v>
      </c>
      <c r="J33" s="135" t="s">
        <v>269</v>
      </c>
      <c r="K33" s="135" t="s">
        <v>233</v>
      </c>
      <c r="L33" s="135" t="s">
        <v>1</v>
      </c>
      <c r="M33" s="135" t="s">
        <v>1</v>
      </c>
      <c r="N33" s="135" t="s">
        <v>189</v>
      </c>
      <c r="O33" s="135" t="s">
        <v>270</v>
      </c>
      <c r="P33" s="135" t="s">
        <v>271</v>
      </c>
      <c r="Q33" s="135" t="s">
        <v>86</v>
      </c>
      <c r="R33" s="135" t="s">
        <v>272</v>
      </c>
      <c r="S33" s="135" t="s">
        <v>273</v>
      </c>
      <c r="T33" s="135" t="s">
        <v>1</v>
      </c>
      <c r="U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Done</v>
      </c>
      <c r="V33" s="146">
        <f>IF(T33="","",VALUE(LEFT(T33,SEARCH("/",T33)-1)))</f>
        <v/>
      </c>
      <c r="W33" s="146">
        <f>IF(T33="","",VALUE(MID(T33,SEARCH("/",T33)+1,LEN(T33))))</f>
        <v/>
      </c>
    </row>
    <row r="34" customFormat="false" ht="15" hidden="false" customHeight="false" outlineLevel="0" collapsed="false">
      <c r="A34" s="135" t="s">
        <v>274</v>
      </c>
      <c r="B34" s="135" t="s">
        <v>194</v>
      </c>
      <c r="C34" s="256" t="s">
        <v>35</v>
      </c>
      <c r="D34" s="135" t="s">
        <v>275</v>
      </c>
      <c r="E34" s="135" t="s">
        <v>276</v>
      </c>
      <c r="F34" s="135" t="s">
        <v>4</v>
      </c>
      <c r="G34" s="135" t="s">
        <v>277</v>
      </c>
      <c r="H34" s="135" t="s">
        <v>4</v>
      </c>
      <c r="I34" s="135" t="s">
        <v>4</v>
      </c>
      <c r="J34" s="135" t="s">
        <v>278</v>
      </c>
      <c r="K34" s="135" t="s">
        <v>233</v>
      </c>
      <c r="L34" s="135" t="s">
        <v>1</v>
      </c>
      <c r="M34" s="135" t="s">
        <v>1</v>
      </c>
      <c r="N34" s="135" t="s">
        <v>189</v>
      </c>
      <c r="O34" s="135" t="s">
        <v>279</v>
      </c>
      <c r="P34" s="135" t="s">
        <v>280</v>
      </c>
      <c r="Q34" s="135" t="s">
        <v>86</v>
      </c>
      <c r="R34" s="135" t="s">
        <v>281</v>
      </c>
      <c r="S34" s="135" t="s">
        <v>282</v>
      </c>
      <c r="T34" s="135" t="s">
        <v>1</v>
      </c>
      <c r="U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V34" s="146">
        <f>IF(T34="","",VALUE(LEFT(T34,SEARCH("/",T34)-1)))</f>
        <v/>
      </c>
      <c r="W34" s="146">
        <f>IF(T34="","",VALUE(MID(T34,SEARCH("/",T34)+1,LEN(T34))))</f>
        <v/>
      </c>
    </row>
    <row r="35" customFormat="false" ht="15" hidden="false" customHeight="false" outlineLevel="0" collapsed="false">
      <c r="A35" s="135" t="s">
        <v>283</v>
      </c>
      <c r="B35" s="135" t="s">
        <v>155</v>
      </c>
      <c r="C35" s="256" t="s">
        <v>35</v>
      </c>
      <c r="D35" s="135" t="s">
        <v>284</v>
      </c>
      <c r="E35" s="135" t="s">
        <v>285</v>
      </c>
      <c r="F35" s="135" t="s">
        <v>286</v>
      </c>
      <c r="G35" s="135" t="s">
        <v>287</v>
      </c>
      <c r="H35" s="135" t="s">
        <v>288</v>
      </c>
      <c r="I35" s="135" t="s">
        <v>289</v>
      </c>
      <c r="J35" s="135" t="s">
        <v>290</v>
      </c>
      <c r="K35" s="135" t="s">
        <v>233</v>
      </c>
      <c r="L35" s="135" t="s">
        <v>1</v>
      </c>
      <c r="M35" s="135" t="s">
        <v>1</v>
      </c>
      <c r="N35" s="135" t="s">
        <v>291</v>
      </c>
      <c r="O35" s="135" t="s">
        <v>292</v>
      </c>
      <c r="P35" s="135" t="s">
        <v>293</v>
      </c>
      <c r="Q35" s="135" t="s">
        <v>86</v>
      </c>
      <c r="R35" s="135" t="s">
        <v>294</v>
      </c>
      <c r="S35" s="135" t="s">
        <v>111</v>
      </c>
      <c r="T35" s="135" t="s">
        <v>1</v>
      </c>
      <c r="U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V35" s="146">
        <f>IF(T35="","",VALUE(LEFT(T35,SEARCH("/",T35)-1)))</f>
        <v/>
      </c>
      <c r="W35" s="146">
        <f>IF(T35="","",VALUE(MID(T35,SEARCH("/",T35)+1,LEN(T35))))</f>
        <v/>
      </c>
    </row>
    <row r="36" customFormat="false" ht="15" hidden="false" customHeight="false" outlineLevel="0" collapsed="false">
      <c r="A36" s="135" t="s">
        <v>295</v>
      </c>
      <c r="B36" s="135" t="s">
        <v>155</v>
      </c>
      <c r="C36" s="256" t="s">
        <v>35</v>
      </c>
      <c r="D36" s="135" t="s">
        <v>296</v>
      </c>
      <c r="E36" s="135" t="s">
        <v>297</v>
      </c>
      <c r="F36" s="135" t="s">
        <v>298</v>
      </c>
      <c r="G36" s="135" t="s">
        <v>299</v>
      </c>
      <c r="H36" s="135" t="s">
        <v>300</v>
      </c>
      <c r="I36" s="135" t="s">
        <v>301</v>
      </c>
      <c r="J36" s="135" t="s">
        <v>302</v>
      </c>
      <c r="K36" s="135" t="s">
        <v>303</v>
      </c>
      <c r="L36" s="135" t="s">
        <v>1</v>
      </c>
      <c r="M36" s="135" t="s">
        <v>1</v>
      </c>
      <c r="N36" s="135" t="s">
        <v>304</v>
      </c>
      <c r="O36" s="135" t="s">
        <v>305</v>
      </c>
      <c r="P36" s="135" t="s">
        <v>306</v>
      </c>
      <c r="Q36" s="135" t="s">
        <v>86</v>
      </c>
      <c r="R36" s="135" t="s">
        <v>307</v>
      </c>
      <c r="S36" s="135" t="s">
        <v>88</v>
      </c>
      <c r="T36" s="135" t="s">
        <v>1</v>
      </c>
      <c r="U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V36" s="146">
        <f>IF(T36="","",VALUE(LEFT(T36,SEARCH("/",T36)-1)))</f>
        <v/>
      </c>
      <c r="W36" s="146">
        <f>IF(T36="","",VALUE(MID(T36,SEARCH("/",T36)+1,LEN(T36))))</f>
        <v/>
      </c>
    </row>
    <row r="37" customFormat="false" ht="15" hidden="false" customHeight="false" outlineLevel="0" collapsed="false">
      <c r="A37" s="135" t="s">
        <v>308</v>
      </c>
      <c r="B37" s="135" t="s">
        <v>180</v>
      </c>
      <c r="C37" s="256" t="s">
        <v>35</v>
      </c>
      <c r="D37" s="135" t="s">
        <v>309</v>
      </c>
      <c r="E37" s="135" t="s">
        <v>310</v>
      </c>
      <c r="F37" s="135" t="s">
        <v>311</v>
      </c>
      <c r="G37" s="135" t="s">
        <v>208</v>
      </c>
      <c r="H37" s="135" t="s">
        <v>185</v>
      </c>
      <c r="I37" s="135" t="s">
        <v>312</v>
      </c>
      <c r="J37" s="135" t="s">
        <v>313</v>
      </c>
      <c r="K37" s="135" t="s">
        <v>188</v>
      </c>
      <c r="L37" s="135" t="s">
        <v>1</v>
      </c>
      <c r="M37" s="135" t="s">
        <v>1</v>
      </c>
      <c r="N37" s="135" t="s">
        <v>189</v>
      </c>
      <c r="O37" s="135" t="s">
        <v>314</v>
      </c>
      <c r="P37" s="135" t="s">
        <v>315</v>
      </c>
      <c r="Q37" s="135" t="s">
        <v>86</v>
      </c>
      <c r="R37" s="135" t="s">
        <v>316</v>
      </c>
      <c r="S37" s="135" t="s">
        <v>317</v>
      </c>
      <c r="T37" s="135" t="s">
        <v>1</v>
      </c>
      <c r="U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V37" s="146">
        <f>IF(T37="","",VALUE(LEFT(T37,SEARCH("/",T37)-1)))</f>
        <v/>
      </c>
      <c r="W37" s="146">
        <f>IF(T37="","",VALUE(MID(T37,SEARCH("/",T37)+1,LEN(T37))))</f>
        <v/>
      </c>
    </row>
    <row r="38" customFormat="false" ht="180" hidden="false" customHeight="true" outlineLevel="0" collapsed="false">
      <c r="A38" s="135" t="s">
        <v>318</v>
      </c>
      <c r="B38" s="135" t="s">
        <v>180</v>
      </c>
      <c r="C38" s="256" t="s">
        <v>35</v>
      </c>
      <c r="D38" s="135" t="s">
        <v>309</v>
      </c>
      <c r="E38" s="135" t="s">
        <v>319</v>
      </c>
      <c r="F38" s="135" t="s">
        <v>320</v>
      </c>
      <c r="G38" s="135" t="s">
        <v>321</v>
      </c>
      <c r="H38" s="135" t="s">
        <v>185</v>
      </c>
      <c r="I38" s="135" t="s">
        <v>322</v>
      </c>
      <c r="J38" s="135" t="s">
        <v>323</v>
      </c>
      <c r="K38" s="135" t="s">
        <v>324</v>
      </c>
      <c r="L38" s="135" t="s">
        <v>1</v>
      </c>
      <c r="M38" s="135" t="s">
        <v>1</v>
      </c>
      <c r="N38" s="135" t="s">
        <v>107</v>
      </c>
      <c r="O38" s="135" t="s">
        <v>325</v>
      </c>
      <c r="P38" s="135" t="s">
        <v>326</v>
      </c>
      <c r="Q38" s="135" t="s">
        <v>86</v>
      </c>
      <c r="R38" s="135" t="s">
        <v>327</v>
      </c>
      <c r="S38" s="135" t="s">
        <v>328</v>
      </c>
      <c r="T38" s="135" t="s">
        <v>1</v>
      </c>
      <c r="U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V38" s="146">
        <f>IF(T38="","",VALUE(LEFT(T38,SEARCH("/",T38)-1)))</f>
        <v/>
      </c>
      <c r="W38" s="146">
        <f>IF(T38="","",VALUE(MID(T38,SEARCH("/",T38)+1,LEN(T38))))</f>
        <v/>
      </c>
    </row>
    <row r="39" customFormat="false" ht="120" hidden="false" customHeight="true" outlineLevel="0" collapsed="false">
      <c r="A39" s="135" t="s">
        <v>329</v>
      </c>
      <c r="B39" s="135" t="s">
        <v>180</v>
      </c>
      <c r="C39" s="256" t="s">
        <v>35</v>
      </c>
      <c r="D39" s="135" t="s">
        <v>309</v>
      </c>
      <c r="E39" s="135" t="s">
        <v>330</v>
      </c>
      <c r="F39" s="135" t="s">
        <v>331</v>
      </c>
      <c r="G39" s="135" t="s">
        <v>332</v>
      </c>
      <c r="H39" s="135" t="s">
        <v>185</v>
      </c>
      <c r="I39" s="135" t="s">
        <v>333</v>
      </c>
      <c r="J39" s="135" t="s">
        <v>334</v>
      </c>
      <c r="K39" s="135" t="s">
        <v>188</v>
      </c>
      <c r="L39" s="135" t="s">
        <v>1</v>
      </c>
      <c r="M39" s="135" t="s">
        <v>1</v>
      </c>
      <c r="N39" s="135" t="s">
        <v>141</v>
      </c>
      <c r="O39" s="135" t="s">
        <v>335</v>
      </c>
      <c r="P39" s="135" t="s">
        <v>336</v>
      </c>
      <c r="Q39" s="135" t="s">
        <v>86</v>
      </c>
      <c r="R39" s="135" t="s">
        <v>337</v>
      </c>
      <c r="S39" s="135" t="s">
        <v>248</v>
      </c>
      <c r="T39" s="135" t="s">
        <v>1</v>
      </c>
      <c r="U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V39" s="146">
        <f>IF(T39="","",VALUE(LEFT(T39,SEARCH("/",T39)-1)))</f>
        <v/>
      </c>
      <c r="W39" s="146">
        <f>IF(T39="","",VALUE(MID(T39,SEARCH("/",T39)+1,LEN(T39))))</f>
        <v/>
      </c>
    </row>
    <row r="40" customFormat="false" ht="105" hidden="false" customHeight="true" outlineLevel="0" collapsed="false">
      <c r="A40" s="135" t="s">
        <v>338</v>
      </c>
      <c r="B40" s="135" t="s">
        <v>180</v>
      </c>
      <c r="C40" s="256" t="s">
        <v>35</v>
      </c>
      <c r="D40" s="135" t="s">
        <v>339</v>
      </c>
      <c r="E40" s="135" t="s">
        <v>340</v>
      </c>
      <c r="F40" s="135" t="s">
        <v>341</v>
      </c>
      <c r="G40" s="135" t="s">
        <v>342</v>
      </c>
      <c r="H40" s="135" t="s">
        <v>343</v>
      </c>
      <c r="I40" s="135" t="s">
        <v>344</v>
      </c>
      <c r="J40" s="135" t="s">
        <v>345</v>
      </c>
      <c r="K40" s="135" t="s">
        <v>188</v>
      </c>
      <c r="L40" s="135" t="s">
        <v>1</v>
      </c>
      <c r="M40" s="135" t="s">
        <v>1</v>
      </c>
      <c r="N40" s="135" t="s">
        <v>141</v>
      </c>
      <c r="O40" s="135" t="s">
        <v>346</v>
      </c>
      <c r="P40" s="135" t="s">
        <v>347</v>
      </c>
      <c r="Q40" s="135" t="s">
        <v>86</v>
      </c>
      <c r="R40" s="135" t="s">
        <v>348</v>
      </c>
      <c r="S40" s="135" t="s">
        <v>328</v>
      </c>
      <c r="T40" s="135" t="s">
        <v>1</v>
      </c>
      <c r="U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V40" s="146">
        <f>IF(T40="","",VALUE(LEFT(T40,SEARCH("/",T40)-1)))</f>
        <v/>
      </c>
      <c r="W40" s="146">
        <f>IF(T40="","",VALUE(MID(T40,SEARCH("/",T40)+1,LEN(T40))))</f>
        <v/>
      </c>
    </row>
    <row r="41" customFormat="false" ht="60" hidden="false" customHeight="true" outlineLevel="0" collapsed="false">
      <c r="A41" s="135" t="s">
        <v>349</v>
      </c>
      <c r="B41" s="135" t="s">
        <v>180</v>
      </c>
      <c r="C41" s="256" t="s">
        <v>35</v>
      </c>
      <c r="D41" s="135" t="s">
        <v>350</v>
      </c>
      <c r="E41" s="135" t="s">
        <v>351</v>
      </c>
      <c r="F41" s="135" t="s">
        <v>4</v>
      </c>
      <c r="G41" s="135" t="s">
        <v>4</v>
      </c>
      <c r="H41" s="135" t="s">
        <v>4</v>
      </c>
      <c r="I41" s="135" t="s">
        <v>4</v>
      </c>
      <c r="J41" s="135" t="s">
        <v>352</v>
      </c>
      <c r="K41" s="135" t="s">
        <v>188</v>
      </c>
      <c r="L41" s="135" t="s">
        <v>1</v>
      </c>
      <c r="M41" s="135" t="s">
        <v>1</v>
      </c>
      <c r="N41" s="135" t="s">
        <v>141</v>
      </c>
      <c r="O41" s="135" t="s">
        <v>353</v>
      </c>
      <c r="P41" s="135" t="s">
        <v>354</v>
      </c>
      <c r="Q41" s="135" t="s">
        <v>86</v>
      </c>
      <c r="R41" s="135" t="s">
        <v>355</v>
      </c>
      <c r="S41" s="135" t="s">
        <v>356</v>
      </c>
      <c r="T41" s="135" t="s">
        <v>1</v>
      </c>
      <c r="U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V41" s="146">
        <f>IF(T41="","",VALUE(LEFT(T41,SEARCH("/",T41)-1)))</f>
        <v/>
      </c>
      <c r="W41" s="146">
        <f>IF(T41="","",VALUE(MID(T41,SEARCH("/",T41)+1,LEN(T41))))</f>
        <v/>
      </c>
    </row>
    <row r="42" customFormat="false" ht="60" hidden="false" customHeight="true" outlineLevel="0" collapsed="false">
      <c r="A42" s="135" t="s">
        <v>357</v>
      </c>
      <c r="B42" s="135" t="s">
        <v>180</v>
      </c>
      <c r="C42" s="256" t="s">
        <v>35</v>
      </c>
      <c r="D42" s="135" t="s">
        <v>358</v>
      </c>
      <c r="E42" s="135" t="s">
        <v>359</v>
      </c>
      <c r="F42" s="135" t="s">
        <v>360</v>
      </c>
      <c r="G42" s="135" t="s">
        <v>361</v>
      </c>
      <c r="H42" s="135" t="s">
        <v>362</v>
      </c>
      <c r="I42" s="135" t="s">
        <v>363</v>
      </c>
      <c r="J42" s="135" t="s">
        <v>364</v>
      </c>
      <c r="K42" s="135" t="s">
        <v>188</v>
      </c>
      <c r="L42" s="135" t="s">
        <v>1</v>
      </c>
      <c r="M42" s="135" t="s">
        <v>1</v>
      </c>
      <c r="N42" s="135" t="s">
        <v>141</v>
      </c>
      <c r="O42" s="135" t="s">
        <v>365</v>
      </c>
      <c r="P42" s="135" t="s">
        <v>366</v>
      </c>
      <c r="Q42" s="135" t="s">
        <v>86</v>
      </c>
      <c r="R42" s="135" t="s">
        <v>367</v>
      </c>
      <c r="S42" s="135" t="s">
        <v>248</v>
      </c>
      <c r="T42" s="135" t="s">
        <v>1</v>
      </c>
      <c r="U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V42" s="146">
        <f>IF(T42="","",VALUE(LEFT(T42,SEARCH("/",T42)-1)))</f>
        <v/>
      </c>
      <c r="W42" s="146">
        <f>IF(T42="","",VALUE(MID(T42,SEARCH("/",T42)+1,LEN(T42))))</f>
        <v/>
      </c>
    </row>
    <row r="43" customFormat="false" ht="15" hidden="false" customHeight="false" outlineLevel="0" collapsed="false">
      <c r="A43" s="135" t="s">
        <v>368</v>
      </c>
      <c r="B43" s="135" t="s">
        <v>180</v>
      </c>
      <c r="C43" s="256" t="s">
        <v>35</v>
      </c>
      <c r="D43" s="135" t="s">
        <v>369</v>
      </c>
      <c r="E43" s="135" t="s">
        <v>370</v>
      </c>
      <c r="F43" s="135" t="s">
        <v>4</v>
      </c>
      <c r="G43" s="135" t="s">
        <v>4</v>
      </c>
      <c r="H43" s="135" t="s">
        <v>4</v>
      </c>
      <c r="I43" s="135" t="s">
        <v>4</v>
      </c>
      <c r="J43" s="135" t="s">
        <v>371</v>
      </c>
      <c r="K43" s="135" t="s">
        <v>372</v>
      </c>
      <c r="L43" s="135" t="s">
        <v>1</v>
      </c>
      <c r="M43" s="135" t="s">
        <v>1</v>
      </c>
      <c r="N43" s="135" t="s">
        <v>189</v>
      </c>
      <c r="O43" s="135" t="s">
        <v>373</v>
      </c>
      <c r="P43" s="135" t="s">
        <v>374</v>
      </c>
      <c r="Q43" s="135" t="s">
        <v>86</v>
      </c>
      <c r="R43" s="135" t="s">
        <v>375</v>
      </c>
      <c r="S43" s="135" t="s">
        <v>88</v>
      </c>
      <c r="T43" s="135" t="s">
        <v>1</v>
      </c>
      <c r="U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Done</v>
      </c>
      <c r="V43" s="146">
        <f>IF(T43="","",VALUE(LEFT(T43,SEARCH("/",T43)-1)))</f>
        <v/>
      </c>
      <c r="W43" s="146">
        <f>IF(T43="","",VALUE(MID(T43,SEARCH("/",T43)+1,LEN(T43))))</f>
        <v/>
      </c>
    </row>
    <row r="44" customFormat="false" ht="15" hidden="false" customHeight="false" outlineLevel="0" collapsed="false">
      <c r="A44" s="135" t="s">
        <v>376</v>
      </c>
      <c r="B44" s="135" t="s">
        <v>180</v>
      </c>
      <c r="C44" s="256" t="s">
        <v>35</v>
      </c>
      <c r="D44" s="135" t="s">
        <v>358</v>
      </c>
      <c r="E44" s="135" t="s">
        <v>377</v>
      </c>
      <c r="F44" s="135" t="s">
        <v>378</v>
      </c>
      <c r="G44" s="135" t="s">
        <v>379</v>
      </c>
      <c r="H44" s="135" t="s">
        <v>380</v>
      </c>
      <c r="I44" s="135" t="s">
        <v>381</v>
      </c>
      <c r="J44" s="135" t="s">
        <v>382</v>
      </c>
      <c r="K44" s="135" t="s">
        <v>82</v>
      </c>
      <c r="L44" s="135" t="s">
        <v>1</v>
      </c>
      <c r="M44" s="135" t="s">
        <v>1</v>
      </c>
      <c r="N44" s="135" t="s">
        <v>189</v>
      </c>
      <c r="O44" s="135" t="s">
        <v>383</v>
      </c>
      <c r="P44" s="135" t="s">
        <v>384</v>
      </c>
      <c r="Q44" s="135" t="s">
        <v>86</v>
      </c>
      <c r="R44" s="135" t="s">
        <v>385</v>
      </c>
      <c r="S44" s="135" t="s">
        <v>88</v>
      </c>
      <c r="T44" s="135" t="s">
        <v>1</v>
      </c>
      <c r="U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Done</v>
      </c>
      <c r="V44" s="146">
        <f>IF(T44="","",VALUE(LEFT(T44,SEARCH("/",T44)-1)))</f>
        <v/>
      </c>
      <c r="W44" s="146">
        <f>IF(T44="","",VALUE(MID(T44,SEARCH("/",T44)+1,LEN(T44))))</f>
        <v/>
      </c>
    </row>
    <row r="45" customFormat="false" ht="180" hidden="false" customHeight="true" outlineLevel="0" collapsed="false">
      <c r="A45" s="135" t="s">
        <v>386</v>
      </c>
      <c r="B45" s="135" t="s">
        <v>180</v>
      </c>
      <c r="C45" s="256" t="s">
        <v>35</v>
      </c>
      <c r="D45" s="135" t="s">
        <v>387</v>
      </c>
      <c r="E45" s="135" t="s">
        <v>388</v>
      </c>
      <c r="F45" s="135" t="s">
        <v>389</v>
      </c>
      <c r="G45" s="135" t="s">
        <v>390</v>
      </c>
      <c r="H45" s="135" t="s">
        <v>391</v>
      </c>
      <c r="I45" s="135" t="s">
        <v>392</v>
      </c>
      <c r="J45" s="135" t="s">
        <v>393</v>
      </c>
      <c r="K45" s="135" t="s">
        <v>233</v>
      </c>
      <c r="L45" s="135" t="s">
        <v>1</v>
      </c>
      <c r="M45" s="135" t="s">
        <v>1</v>
      </c>
      <c r="N45" s="135" t="s">
        <v>141</v>
      </c>
      <c r="O45" s="135" t="s">
        <v>394</v>
      </c>
      <c r="P45" s="135" t="s">
        <v>395</v>
      </c>
      <c r="Q45" s="135" t="s">
        <v>86</v>
      </c>
      <c r="R45" s="135" t="s">
        <v>396</v>
      </c>
      <c r="S45" s="135" t="s">
        <v>88</v>
      </c>
      <c r="T45" s="135" t="s">
        <v>1</v>
      </c>
      <c r="U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V45" s="146">
        <f>IF(T45="","",VALUE(LEFT(T45,SEARCH("/",T45)-1)))</f>
        <v/>
      </c>
      <c r="W45" s="146">
        <f>IF(T45="","",VALUE(MID(T45,SEARCH("/",T45)+1,LEN(T45))))</f>
        <v/>
      </c>
    </row>
    <row r="46" customFormat="false" ht="180" hidden="false" customHeight="true" outlineLevel="0" collapsed="false">
      <c r="A46" s="135" t="s">
        <v>397</v>
      </c>
      <c r="B46" s="135" t="s">
        <v>180</v>
      </c>
      <c r="C46" s="256" t="s">
        <v>35</v>
      </c>
      <c r="D46" s="135" t="s">
        <v>398</v>
      </c>
      <c r="E46" s="135" t="s">
        <v>399</v>
      </c>
      <c r="F46" s="135" t="s">
        <v>400</v>
      </c>
      <c r="G46" s="135" t="s">
        <v>401</v>
      </c>
      <c r="H46" s="135" t="s">
        <v>400</v>
      </c>
      <c r="I46" s="135" t="s">
        <v>402</v>
      </c>
      <c r="J46" s="135" t="s">
        <v>403</v>
      </c>
      <c r="K46" s="135" t="s">
        <v>303</v>
      </c>
      <c r="L46" s="135" t="s">
        <v>1</v>
      </c>
      <c r="M46" s="135" t="s">
        <v>1</v>
      </c>
      <c r="N46" s="135" t="s">
        <v>141</v>
      </c>
      <c r="O46" s="135" t="s">
        <v>404</v>
      </c>
      <c r="P46" s="135" t="s">
        <v>405</v>
      </c>
      <c r="Q46" s="135" t="s">
        <v>86</v>
      </c>
      <c r="R46" s="135" t="s">
        <v>406</v>
      </c>
      <c r="S46" s="135" t="s">
        <v>111</v>
      </c>
      <c r="T46" s="135" t="s">
        <v>1</v>
      </c>
      <c r="U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V46" s="146">
        <f>IF(T46="","",VALUE(LEFT(T46,SEARCH("/",T46)-1)))</f>
        <v/>
      </c>
      <c r="W46" s="146">
        <f>IF(T46="","",VALUE(MID(T46,SEARCH("/",T46)+1,LEN(T46))))</f>
        <v/>
      </c>
    </row>
    <row r="47" customFormat="false" ht="15" hidden="false" customHeight="false" outlineLevel="0" collapsed="false">
      <c r="A47" s="135" t="s">
        <v>407</v>
      </c>
      <c r="B47" s="135" t="s">
        <v>180</v>
      </c>
      <c r="C47" s="256" t="s">
        <v>35</v>
      </c>
      <c r="D47" s="135" t="s">
        <v>408</v>
      </c>
      <c r="E47" s="135" t="s">
        <v>409</v>
      </c>
      <c r="F47" s="135" t="s">
        <v>410</v>
      </c>
      <c r="G47" s="135" t="s">
        <v>411</v>
      </c>
      <c r="H47" s="135" t="s">
        <v>362</v>
      </c>
      <c r="I47" s="135" t="s">
        <v>381</v>
      </c>
      <c r="J47" s="135" t="s">
        <v>412</v>
      </c>
      <c r="K47" s="135" t="s">
        <v>82</v>
      </c>
      <c r="L47" s="135" t="s">
        <v>1</v>
      </c>
      <c r="M47" s="135" t="s">
        <v>1</v>
      </c>
      <c r="N47" s="135" t="s">
        <v>141</v>
      </c>
      <c r="O47" s="135" t="s">
        <v>413</v>
      </c>
      <c r="P47" s="135" t="s">
        <v>414</v>
      </c>
      <c r="Q47" s="135" t="s">
        <v>86</v>
      </c>
      <c r="R47" s="135" t="s">
        <v>415</v>
      </c>
      <c r="S47" s="135" t="s">
        <v>88</v>
      </c>
      <c r="T47" s="135" t="s">
        <v>1</v>
      </c>
      <c r="U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V47" s="146">
        <f>IF(T47="","",VALUE(LEFT(T47,SEARCH("/",T47)-1)))</f>
        <v/>
      </c>
      <c r="W47" s="146">
        <f>IF(T47="","",VALUE(MID(T47,SEARCH("/",T47)+1,LEN(T47))))</f>
        <v/>
      </c>
    </row>
    <row r="48" customFormat="false" ht="15" hidden="false" customHeight="false" outlineLevel="0" collapsed="false">
      <c r="A48" s="135" t="s">
        <v>416</v>
      </c>
      <c r="B48" s="135" t="s">
        <v>180</v>
      </c>
      <c r="C48" s="256" t="s">
        <v>35</v>
      </c>
      <c r="D48" s="135" t="s">
        <v>417</v>
      </c>
      <c r="E48" s="135" t="s">
        <v>418</v>
      </c>
      <c r="F48" s="135" t="s">
        <v>4</v>
      </c>
      <c r="G48" s="135" t="s">
        <v>419</v>
      </c>
      <c r="H48" s="135" t="s">
        <v>4</v>
      </c>
      <c r="I48" s="135" t="s">
        <v>420</v>
      </c>
      <c r="J48" s="135" t="s">
        <v>421</v>
      </c>
      <c r="K48" s="135" t="s">
        <v>422</v>
      </c>
      <c r="L48" s="135" t="s">
        <v>1</v>
      </c>
      <c r="M48" s="135" t="s">
        <v>1</v>
      </c>
      <c r="N48" s="135" t="s">
        <v>423</v>
      </c>
      <c r="O48" s="135" t="s">
        <v>424</v>
      </c>
      <c r="P48" s="135" t="s">
        <v>425</v>
      </c>
      <c r="Q48" s="135" t="s">
        <v>86</v>
      </c>
      <c r="R48" s="135" t="s">
        <v>426</v>
      </c>
      <c r="S48" s="135" t="s">
        <v>214</v>
      </c>
      <c r="T48" s="135" t="s">
        <v>1</v>
      </c>
      <c r="U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V48" s="146">
        <f>IF(T48="","",VALUE(LEFT(T48,SEARCH("/",T48)-1)))</f>
        <v/>
      </c>
      <c r="W48" s="146">
        <f>IF(T48="","",VALUE(MID(T48,SEARCH("/",T48)+1,LEN(T48))))</f>
        <v/>
      </c>
    </row>
    <row r="49" customFormat="false" ht="15" hidden="false" customHeight="false" outlineLevel="0" collapsed="false">
      <c r="A49" s="135" t="s">
        <v>427</v>
      </c>
      <c r="B49" s="135" t="s">
        <v>180</v>
      </c>
      <c r="C49" s="256" t="s">
        <v>35</v>
      </c>
      <c r="D49" s="135" t="s">
        <v>417</v>
      </c>
      <c r="E49" s="135" t="s">
        <v>428</v>
      </c>
      <c r="F49" s="135" t="s">
        <v>429</v>
      </c>
      <c r="G49" s="135" t="s">
        <v>430</v>
      </c>
      <c r="H49" s="135" t="s">
        <v>431</v>
      </c>
      <c r="I49" s="135" t="s">
        <v>432</v>
      </c>
      <c r="J49" s="135" t="s">
        <v>433</v>
      </c>
      <c r="K49" s="135" t="s">
        <v>82</v>
      </c>
      <c r="L49" s="135" t="s">
        <v>1</v>
      </c>
      <c r="M49" s="135" t="s">
        <v>1</v>
      </c>
      <c r="N49" s="135" t="s">
        <v>423</v>
      </c>
      <c r="O49" s="135" t="s">
        <v>434</v>
      </c>
      <c r="P49" s="135" t="s">
        <v>435</v>
      </c>
      <c r="Q49" s="135" t="s">
        <v>86</v>
      </c>
      <c r="R49" s="135" t="s">
        <v>436</v>
      </c>
      <c r="S49" s="135" t="s">
        <v>328</v>
      </c>
      <c r="T49" s="135" t="s">
        <v>1</v>
      </c>
      <c r="U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V49" s="146">
        <f>IF(T49="","",VALUE(LEFT(T49,SEARCH("/",T49)-1)))</f>
        <v/>
      </c>
      <c r="W49" s="146">
        <f>IF(T49="","",VALUE(MID(T49,SEARCH("/",T49)+1,LEN(T49))))</f>
        <v/>
      </c>
    </row>
    <row r="50" customFormat="false" ht="15" hidden="false" customHeight="false" outlineLevel="0" collapsed="false">
      <c r="A50" s="135" t="s">
        <v>437</v>
      </c>
      <c r="B50" s="135" t="s">
        <v>180</v>
      </c>
      <c r="C50" s="256" t="s">
        <v>35</v>
      </c>
      <c r="D50" s="135" t="s">
        <v>438</v>
      </c>
      <c r="E50" s="135" t="s">
        <v>439</v>
      </c>
      <c r="F50" s="135" t="s">
        <v>4</v>
      </c>
      <c r="G50" s="135" t="s">
        <v>440</v>
      </c>
      <c r="H50" s="135" t="s">
        <v>4</v>
      </c>
      <c r="I50" s="135" t="s">
        <v>4</v>
      </c>
      <c r="J50" s="135" t="s">
        <v>441</v>
      </c>
      <c r="K50" s="135" t="s">
        <v>82</v>
      </c>
      <c r="L50" s="135" t="s">
        <v>1</v>
      </c>
      <c r="M50" s="135" t="s">
        <v>1</v>
      </c>
      <c r="N50" s="135" t="s">
        <v>423</v>
      </c>
      <c r="O50" s="135" t="s">
        <v>442</v>
      </c>
      <c r="P50" s="135" t="s">
        <v>443</v>
      </c>
      <c r="Q50" s="135" t="s">
        <v>86</v>
      </c>
      <c r="R50" s="135" t="s">
        <v>444</v>
      </c>
      <c r="S50" s="135" t="s">
        <v>282</v>
      </c>
      <c r="T50" s="135" t="s">
        <v>1</v>
      </c>
      <c r="U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V50" s="146">
        <f>IF(T50="","",VALUE(LEFT(T50,SEARCH("/",T50)-1)))</f>
        <v/>
      </c>
      <c r="W50" s="146">
        <f>IF(T50="","",VALUE(MID(T50,SEARCH("/",T50)+1,LEN(T50))))</f>
        <v/>
      </c>
    </row>
    <row r="51" customFormat="false" ht="15" hidden="false" customHeight="false" outlineLevel="0" collapsed="false">
      <c r="A51" s="135" t="s">
        <v>445</v>
      </c>
      <c r="B51" s="135" t="s">
        <v>180</v>
      </c>
      <c r="C51" s="256" t="s">
        <v>35</v>
      </c>
      <c r="D51" s="135" t="s">
        <v>446</v>
      </c>
      <c r="E51" s="135" t="s">
        <v>447</v>
      </c>
      <c r="F51" s="135" t="s">
        <v>4</v>
      </c>
      <c r="G51" s="135" t="s">
        <v>448</v>
      </c>
      <c r="H51" s="135" t="s">
        <v>4</v>
      </c>
      <c r="I51" s="135" t="s">
        <v>4</v>
      </c>
      <c r="J51" s="135" t="s">
        <v>449</v>
      </c>
      <c r="K51" s="135" t="s">
        <v>188</v>
      </c>
      <c r="L51" s="135" t="s">
        <v>1</v>
      </c>
      <c r="M51" s="135" t="s">
        <v>1</v>
      </c>
      <c r="N51" s="135" t="s">
        <v>423</v>
      </c>
      <c r="O51" s="135" t="s">
        <v>450</v>
      </c>
      <c r="P51" s="135" t="s">
        <v>451</v>
      </c>
      <c r="Q51" s="135" t="s">
        <v>86</v>
      </c>
      <c r="R51" s="135" t="s">
        <v>452</v>
      </c>
      <c r="S51" s="135" t="s">
        <v>248</v>
      </c>
      <c r="T51" s="135" t="s">
        <v>1</v>
      </c>
      <c r="U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Done</v>
      </c>
      <c r="V51" s="146">
        <f>IF(T51="","",VALUE(LEFT(T51,SEARCH("/",T51)-1)))</f>
        <v/>
      </c>
      <c r="W51" s="146">
        <f>IF(T51="","",VALUE(MID(T51,SEARCH("/",T51)+1,LEN(T51))))</f>
        <v/>
      </c>
    </row>
    <row r="52" customFormat="false" ht="15" hidden="false" customHeight="false" outlineLevel="0" collapsed="false">
      <c r="A52" s="135" t="s">
        <v>453</v>
      </c>
      <c r="B52" s="135" t="s">
        <v>180</v>
      </c>
      <c r="C52" s="256" t="s">
        <v>35</v>
      </c>
      <c r="D52" s="135" t="s">
        <v>454</v>
      </c>
      <c r="E52" s="135" t="s">
        <v>455</v>
      </c>
      <c r="F52" s="135" t="s">
        <v>4</v>
      </c>
      <c r="G52" s="135" t="s">
        <v>456</v>
      </c>
      <c r="H52" s="135" t="s">
        <v>457</v>
      </c>
      <c r="I52" s="135" t="s">
        <v>4</v>
      </c>
      <c r="J52" s="135" t="s">
        <v>458</v>
      </c>
      <c r="K52" s="135" t="s">
        <v>86</v>
      </c>
      <c r="L52" s="135" t="s">
        <v>1</v>
      </c>
      <c r="M52" s="135" t="s">
        <v>1</v>
      </c>
      <c r="N52" s="135" t="s">
        <v>423</v>
      </c>
      <c r="O52" s="135" t="s">
        <v>459</v>
      </c>
      <c r="P52" s="135" t="s">
        <v>460</v>
      </c>
      <c r="Q52" s="135" t="s">
        <v>86</v>
      </c>
      <c r="R52" s="135" t="s">
        <v>461</v>
      </c>
      <c r="S52" s="135" t="s">
        <v>248</v>
      </c>
      <c r="T52" s="135" t="s">
        <v>1</v>
      </c>
      <c r="U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V52" s="146">
        <f>IF(T52="","",VALUE(LEFT(T52,SEARCH("/",T52)-1)))</f>
        <v/>
      </c>
      <c r="W52" s="146">
        <f>IF(T52="","",VALUE(MID(T52,SEARCH("/",T52)+1,LEN(T52))))</f>
        <v/>
      </c>
    </row>
    <row r="53" customFormat="false" ht="15" hidden="false" customHeight="false" outlineLevel="0" collapsed="false">
      <c r="A53" s="135" t="s">
        <v>462</v>
      </c>
      <c r="B53" s="135" t="s">
        <v>180</v>
      </c>
      <c r="C53" s="256" t="s">
        <v>35</v>
      </c>
      <c r="D53" s="135" t="s">
        <v>454</v>
      </c>
      <c r="E53" s="135" t="s">
        <v>463</v>
      </c>
      <c r="F53" s="135" t="s">
        <v>4</v>
      </c>
      <c r="G53" s="135" t="s">
        <v>456</v>
      </c>
      <c r="H53" s="135" t="s">
        <v>4</v>
      </c>
      <c r="I53" s="135" t="s">
        <v>4</v>
      </c>
      <c r="J53" s="135" t="s">
        <v>464</v>
      </c>
      <c r="K53" s="135" t="s">
        <v>82</v>
      </c>
      <c r="L53" s="135" t="s">
        <v>1</v>
      </c>
      <c r="M53" s="135" t="s">
        <v>1</v>
      </c>
      <c r="N53" s="135" t="s">
        <v>423</v>
      </c>
      <c r="O53" s="135" t="s">
        <v>465</v>
      </c>
      <c r="P53" s="135" t="s">
        <v>466</v>
      </c>
      <c r="Q53" s="135" t="s">
        <v>86</v>
      </c>
      <c r="R53" s="135" t="s">
        <v>467</v>
      </c>
      <c r="S53" s="135" t="s">
        <v>468</v>
      </c>
      <c r="T53" s="135" t="s">
        <v>1</v>
      </c>
      <c r="U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V53" s="146">
        <f>IF(T53="","",VALUE(LEFT(T53,SEARCH("/",T53)-1)))</f>
        <v/>
      </c>
      <c r="W53" s="146">
        <f>IF(T53="","",VALUE(MID(T53,SEARCH("/",T53)+1,LEN(T53))))</f>
        <v/>
      </c>
    </row>
    <row r="54" customFormat="false" ht="15" hidden="false" customHeight="false" outlineLevel="0" collapsed="false">
      <c r="A54" s="135" t="s">
        <v>469</v>
      </c>
      <c r="B54" s="135" t="s">
        <v>180</v>
      </c>
      <c r="C54" s="256" t="s">
        <v>35</v>
      </c>
      <c r="D54" s="135" t="s">
        <v>470</v>
      </c>
      <c r="E54" s="135" t="s">
        <v>471</v>
      </c>
      <c r="F54" s="135" t="s">
        <v>472</v>
      </c>
      <c r="G54" s="135" t="s">
        <v>473</v>
      </c>
      <c r="H54" s="135" t="s">
        <v>474</v>
      </c>
      <c r="I54" s="135" t="s">
        <v>475</v>
      </c>
      <c r="J54" s="135" t="s">
        <v>476</v>
      </c>
      <c r="K54" s="135" t="s">
        <v>82</v>
      </c>
      <c r="L54" s="135" t="s">
        <v>1</v>
      </c>
      <c r="M54" s="135" t="s">
        <v>1</v>
      </c>
      <c r="N54" s="135" t="s">
        <v>477</v>
      </c>
      <c r="O54" s="135" t="s">
        <v>478</v>
      </c>
      <c r="P54" s="135" t="s">
        <v>479</v>
      </c>
      <c r="Q54" s="135" t="s">
        <v>86</v>
      </c>
      <c r="R54" s="135" t="s">
        <v>480</v>
      </c>
      <c r="S54" s="135" t="s">
        <v>88</v>
      </c>
      <c r="T54" s="135" t="s">
        <v>1</v>
      </c>
      <c r="U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V54" s="146">
        <f>IF(T54="","",VALUE(LEFT(T54,SEARCH("/",T54)-1)))</f>
        <v/>
      </c>
      <c r="W54" s="146">
        <f>IF(T54="","",VALUE(MID(T54,SEARCH("/",T54)+1,LEN(T54))))</f>
        <v/>
      </c>
    </row>
    <row r="55" customFormat="false" ht="15" hidden="false" customHeight="false" outlineLevel="0" collapsed="false">
      <c r="A55" s="135" t="s">
        <v>481</v>
      </c>
      <c r="B55" s="135" t="s">
        <v>180</v>
      </c>
      <c r="C55" s="256" t="s">
        <v>35</v>
      </c>
      <c r="D55" s="135" t="s">
        <v>482</v>
      </c>
      <c r="E55" s="135" t="s">
        <v>483</v>
      </c>
      <c r="F55" s="135" t="s">
        <v>484</v>
      </c>
      <c r="G55" s="135" t="s">
        <v>485</v>
      </c>
      <c r="H55" s="135" t="s">
        <v>185</v>
      </c>
      <c r="I55" s="135" t="s">
        <v>486</v>
      </c>
      <c r="J55" s="135" t="s">
        <v>487</v>
      </c>
      <c r="K55" s="135" t="s">
        <v>82</v>
      </c>
      <c r="L55" s="135" t="s">
        <v>1</v>
      </c>
      <c r="M55" s="135" t="s">
        <v>1</v>
      </c>
      <c r="N55" s="135" t="s">
        <v>488</v>
      </c>
      <c r="O55" s="135" t="s">
        <v>489</v>
      </c>
      <c r="P55" s="135" t="s">
        <v>490</v>
      </c>
      <c r="Q55" s="135" t="s">
        <v>86</v>
      </c>
      <c r="R55" s="135" t="s">
        <v>491</v>
      </c>
      <c r="S55" s="135" t="s">
        <v>317</v>
      </c>
      <c r="T55" s="135" t="s">
        <v>1</v>
      </c>
      <c r="U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V55" s="146">
        <f>IF(T55="","",VALUE(LEFT(T55,SEARCH("/",T55)-1)))</f>
        <v/>
      </c>
      <c r="W55" s="146">
        <f>IF(T55="","",VALUE(MID(T55,SEARCH("/",T55)+1,LEN(T55))))</f>
        <v/>
      </c>
    </row>
    <row r="56" customFormat="false" ht="15" hidden="false" customHeight="false" outlineLevel="0" collapsed="false">
      <c r="A56" s="135" t="s">
        <v>492</v>
      </c>
      <c r="B56" s="135" t="s">
        <v>180</v>
      </c>
      <c r="C56" s="256" t="s">
        <v>35</v>
      </c>
      <c r="D56" s="135" t="s">
        <v>482</v>
      </c>
      <c r="E56" s="135" t="s">
        <v>493</v>
      </c>
      <c r="F56" s="135" t="s">
        <v>4</v>
      </c>
      <c r="G56" s="135" t="s">
        <v>494</v>
      </c>
      <c r="H56" s="135" t="s">
        <v>495</v>
      </c>
      <c r="I56" s="135" t="s">
        <v>496</v>
      </c>
      <c r="J56" s="135" t="s">
        <v>497</v>
      </c>
      <c r="K56" s="135" t="s">
        <v>82</v>
      </c>
      <c r="L56" s="135" t="s">
        <v>1</v>
      </c>
      <c r="M56" s="135" t="s">
        <v>1</v>
      </c>
      <c r="N56" s="135" t="s">
        <v>488</v>
      </c>
      <c r="O56" s="135" t="s">
        <v>498</v>
      </c>
      <c r="P56" s="135" t="s">
        <v>499</v>
      </c>
      <c r="Q56" s="135" t="s">
        <v>86</v>
      </c>
      <c r="R56" s="135" t="s">
        <v>500</v>
      </c>
      <c r="S56" s="135" t="s">
        <v>88</v>
      </c>
      <c r="T56" s="135" t="s">
        <v>1</v>
      </c>
      <c r="U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V56" s="146">
        <f>IF(T56="","",VALUE(LEFT(T56,SEARCH("/",T56)-1)))</f>
        <v/>
      </c>
      <c r="W56" s="146">
        <f>IF(T56="","",VALUE(MID(T56,SEARCH("/",T56)+1,LEN(T56))))</f>
        <v/>
      </c>
    </row>
    <row r="57" customFormat="false" ht="15" hidden="false" customHeight="false" outlineLevel="0" collapsed="false">
      <c r="A57" s="135" t="s">
        <v>501</v>
      </c>
      <c r="B57" s="135" t="s">
        <v>180</v>
      </c>
      <c r="C57" s="256" t="s">
        <v>35</v>
      </c>
      <c r="D57" s="135" t="s">
        <v>502</v>
      </c>
      <c r="E57" s="135" t="s">
        <v>503</v>
      </c>
      <c r="F57" s="135" t="s">
        <v>4</v>
      </c>
      <c r="G57" s="135" t="s">
        <v>504</v>
      </c>
      <c r="H57" s="135" t="s">
        <v>4</v>
      </c>
      <c r="I57" s="135" t="s">
        <v>505</v>
      </c>
      <c r="J57" s="135" t="s">
        <v>506</v>
      </c>
      <c r="K57" s="135" t="s">
        <v>82</v>
      </c>
      <c r="L57" s="135" t="s">
        <v>1</v>
      </c>
      <c r="M57" s="135" t="s">
        <v>1</v>
      </c>
      <c r="N57" s="135" t="s">
        <v>488</v>
      </c>
      <c r="O57" s="135" t="s">
        <v>507</v>
      </c>
      <c r="P57" s="135" t="s">
        <v>508</v>
      </c>
      <c r="Q57" s="135" t="s">
        <v>86</v>
      </c>
      <c r="R57" s="135" t="s">
        <v>509</v>
      </c>
      <c r="S57" s="135" t="s">
        <v>88</v>
      </c>
      <c r="T57" s="135" t="s">
        <v>1</v>
      </c>
      <c r="U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V57" s="146">
        <f>IF(T57="","",VALUE(LEFT(T57,SEARCH("/",T57)-1)))</f>
        <v/>
      </c>
      <c r="W57" s="146">
        <f>IF(T57="","",VALUE(MID(T57,SEARCH("/",T57)+1,LEN(T57))))</f>
        <v/>
      </c>
    </row>
    <row r="58" customFormat="false" ht="15" hidden="false" customHeight="false" outlineLevel="0" collapsed="false">
      <c r="A58" s="135" t="s">
        <v>510</v>
      </c>
      <c r="B58" s="135" t="s">
        <v>180</v>
      </c>
      <c r="C58" s="256" t="s">
        <v>35</v>
      </c>
      <c r="D58" s="135" t="s">
        <v>482</v>
      </c>
      <c r="E58" s="135" t="s">
        <v>511</v>
      </c>
      <c r="F58" s="135" t="s">
        <v>512</v>
      </c>
      <c r="G58" s="135" t="s">
        <v>4</v>
      </c>
      <c r="H58" s="135" t="s">
        <v>4</v>
      </c>
      <c r="I58" s="135" t="s">
        <v>4</v>
      </c>
      <c r="J58" s="135" t="s">
        <v>513</v>
      </c>
      <c r="K58" s="135" t="s">
        <v>82</v>
      </c>
      <c r="L58" s="135" t="s">
        <v>1</v>
      </c>
      <c r="M58" s="135" t="s">
        <v>1</v>
      </c>
      <c r="N58" s="135" t="s">
        <v>488</v>
      </c>
      <c r="O58" s="135" t="s">
        <v>514</v>
      </c>
      <c r="P58" s="135" t="s">
        <v>515</v>
      </c>
      <c r="Q58" s="135" t="s">
        <v>86</v>
      </c>
      <c r="R58" s="135" t="s">
        <v>516</v>
      </c>
      <c r="S58" s="135" t="s">
        <v>111</v>
      </c>
      <c r="T58" s="135" t="s">
        <v>1</v>
      </c>
      <c r="U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V58" s="146">
        <f>IF(T58="","",VALUE(LEFT(T58,SEARCH("/",T58)-1)))</f>
        <v/>
      </c>
      <c r="W58" s="146">
        <f>IF(T58="","",VALUE(MID(T58,SEARCH("/",T58)+1,LEN(T58))))</f>
        <v/>
      </c>
    </row>
    <row r="59" customFormat="false" ht="15" hidden="false" customHeight="false" outlineLevel="0" collapsed="false">
      <c r="A59" s="135" t="s">
        <v>517</v>
      </c>
      <c r="B59" s="135" t="s">
        <v>180</v>
      </c>
      <c r="C59" s="256" t="s">
        <v>35</v>
      </c>
      <c r="D59" s="135" t="s">
        <v>518</v>
      </c>
      <c r="E59" s="135" t="s">
        <v>519</v>
      </c>
      <c r="F59" s="135" t="s">
        <v>520</v>
      </c>
      <c r="G59" s="135" t="s">
        <v>521</v>
      </c>
      <c r="H59" s="135" t="s">
        <v>522</v>
      </c>
      <c r="I59" s="135" t="s">
        <v>523</v>
      </c>
      <c r="J59" s="135" t="s">
        <v>524</v>
      </c>
      <c r="K59" s="135" t="s">
        <v>82</v>
      </c>
      <c r="L59" s="135" t="s">
        <v>1</v>
      </c>
      <c r="M59" s="135" t="s">
        <v>1</v>
      </c>
      <c r="N59" s="135" t="s">
        <v>488</v>
      </c>
      <c r="O59" s="135" t="s">
        <v>525</v>
      </c>
      <c r="P59" s="135" t="s">
        <v>526</v>
      </c>
      <c r="Q59" s="135" t="s">
        <v>86</v>
      </c>
      <c r="R59" s="135" t="s">
        <v>527</v>
      </c>
      <c r="S59" s="135" t="s">
        <v>88</v>
      </c>
      <c r="T59" s="135" t="s">
        <v>1</v>
      </c>
      <c r="U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V59" s="146">
        <f>IF(T59="","",VALUE(LEFT(T59,SEARCH("/",T59)-1)))</f>
        <v/>
      </c>
      <c r="W59" s="146">
        <f>IF(T59="","",VALUE(MID(T59,SEARCH("/",T59)+1,LEN(T59))))</f>
        <v/>
      </c>
    </row>
    <row r="60" customFormat="false" ht="180" hidden="false" customHeight="true" outlineLevel="0" collapsed="false">
      <c r="A60" s="135" t="s">
        <v>528</v>
      </c>
      <c r="B60" s="135" t="s">
        <v>180</v>
      </c>
      <c r="C60" s="256" t="s">
        <v>35</v>
      </c>
      <c r="D60" s="135" t="s">
        <v>529</v>
      </c>
      <c r="E60" s="135" t="s">
        <v>530</v>
      </c>
      <c r="F60" s="135" t="s">
        <v>531</v>
      </c>
      <c r="G60" s="135" t="s">
        <v>532</v>
      </c>
      <c r="H60" s="135" t="s">
        <v>533</v>
      </c>
      <c r="I60" s="135" t="s">
        <v>534</v>
      </c>
      <c r="J60" s="135" t="s">
        <v>535</v>
      </c>
      <c r="K60" s="135" t="s">
        <v>536</v>
      </c>
      <c r="L60" s="135" t="s">
        <v>1</v>
      </c>
      <c r="M60" s="135" t="s">
        <v>1</v>
      </c>
      <c r="N60" s="135" t="s">
        <v>537</v>
      </c>
      <c r="O60" s="135" t="s">
        <v>538</v>
      </c>
      <c r="P60" s="135" t="s">
        <v>539</v>
      </c>
      <c r="Q60" s="135" t="s">
        <v>86</v>
      </c>
      <c r="R60" s="135" t="s">
        <v>540</v>
      </c>
      <c r="S60" s="135" t="s">
        <v>88</v>
      </c>
      <c r="T60" s="135" t="s">
        <v>1</v>
      </c>
      <c r="U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V60" s="146">
        <f>IF(T60="","",VALUE(LEFT(T60,SEARCH("/",T60)-1)))</f>
        <v/>
      </c>
      <c r="W60" s="146">
        <f>IF(T60="","",VALUE(MID(T60,SEARCH("/",T60)+1,LEN(T60))))</f>
        <v/>
      </c>
    </row>
    <row r="61" customFormat="false" ht="90" hidden="false" customHeight="true" outlineLevel="0" collapsed="false">
      <c r="A61" s="135" t="s">
        <v>541</v>
      </c>
      <c r="B61" s="135" t="s">
        <v>180</v>
      </c>
      <c r="C61" s="256" t="s">
        <v>35</v>
      </c>
      <c r="D61" s="135" t="s">
        <v>542</v>
      </c>
      <c r="E61" s="135" t="s">
        <v>543</v>
      </c>
      <c r="F61" s="135" t="s">
        <v>4</v>
      </c>
      <c r="G61" s="135" t="s">
        <v>4</v>
      </c>
      <c r="H61" s="135" t="s">
        <v>544</v>
      </c>
      <c r="I61" s="135" t="s">
        <v>545</v>
      </c>
      <c r="J61" s="135" t="s">
        <v>546</v>
      </c>
      <c r="K61" s="135" t="s">
        <v>82</v>
      </c>
      <c r="L61" s="135" t="s">
        <v>1</v>
      </c>
      <c r="M61" s="135" t="s">
        <v>1</v>
      </c>
      <c r="N61" s="135" t="s">
        <v>537</v>
      </c>
      <c r="O61" s="135" t="s">
        <v>547</v>
      </c>
      <c r="P61" s="135" t="s">
        <v>548</v>
      </c>
      <c r="Q61" s="135" t="s">
        <v>86</v>
      </c>
      <c r="R61" s="135" t="s">
        <v>549</v>
      </c>
      <c r="S61" s="135" t="s">
        <v>88</v>
      </c>
      <c r="T61" s="135" t="s">
        <v>1</v>
      </c>
      <c r="U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V61" s="146">
        <f>IF(T61="","",VALUE(LEFT(T61,SEARCH("/",T61)-1)))</f>
        <v/>
      </c>
      <c r="W61" s="146">
        <f>IF(T61="","",VALUE(MID(T61,SEARCH("/",T61)+1,LEN(T61))))</f>
        <v/>
      </c>
    </row>
    <row r="62" customFormat="false" ht="180" hidden="false" customHeight="true" outlineLevel="0" collapsed="false">
      <c r="A62" s="135" t="s">
        <v>550</v>
      </c>
      <c r="B62" s="135" t="s">
        <v>180</v>
      </c>
      <c r="C62" s="256" t="s">
        <v>35</v>
      </c>
      <c r="D62" s="135" t="s">
        <v>551</v>
      </c>
      <c r="E62" s="135" t="s">
        <v>552</v>
      </c>
      <c r="F62" s="135" t="s">
        <v>553</v>
      </c>
      <c r="G62" s="135" t="s">
        <v>554</v>
      </c>
      <c r="H62" s="135" t="s">
        <v>555</v>
      </c>
      <c r="I62" s="135" t="s">
        <v>556</v>
      </c>
      <c r="J62" s="135" t="s">
        <v>557</v>
      </c>
      <c r="K62" s="135" t="s">
        <v>82</v>
      </c>
      <c r="L62" s="135" t="s">
        <v>1</v>
      </c>
      <c r="M62" s="135" t="s">
        <v>1</v>
      </c>
      <c r="N62" s="135" t="s">
        <v>537</v>
      </c>
      <c r="O62" s="135" t="s">
        <v>558</v>
      </c>
      <c r="P62" s="135" t="s">
        <v>559</v>
      </c>
      <c r="Q62" s="135" t="s">
        <v>86</v>
      </c>
      <c r="R62" s="135" t="s">
        <v>560</v>
      </c>
      <c r="S62" s="135" t="s">
        <v>88</v>
      </c>
      <c r="T62" s="135" t="s">
        <v>1</v>
      </c>
      <c r="U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V62" s="146">
        <f>IF(T62="","",VALUE(LEFT(T62,SEARCH("/",T62)-1)))</f>
        <v/>
      </c>
      <c r="W62" s="146">
        <f>IF(T62="","",VALUE(MID(T62,SEARCH("/",T62)+1,LEN(T62))))</f>
        <v/>
      </c>
    </row>
    <row r="63" customFormat="false" ht="180" hidden="false" customHeight="true" outlineLevel="0" collapsed="false">
      <c r="A63" s="135" t="s">
        <v>561</v>
      </c>
      <c r="B63" s="135" t="s">
        <v>180</v>
      </c>
      <c r="C63" s="256" t="s">
        <v>35</v>
      </c>
      <c r="D63" s="135" t="s">
        <v>562</v>
      </c>
      <c r="E63" s="135" t="s">
        <v>563</v>
      </c>
      <c r="F63" s="135" t="s">
        <v>564</v>
      </c>
      <c r="G63" s="135" t="s">
        <v>565</v>
      </c>
      <c r="H63" s="135" t="s">
        <v>566</v>
      </c>
      <c r="I63" s="135" t="s">
        <v>567</v>
      </c>
      <c r="J63" s="135" t="s">
        <v>568</v>
      </c>
      <c r="K63" s="135" t="s">
        <v>82</v>
      </c>
      <c r="L63" s="135" t="s">
        <v>1</v>
      </c>
      <c r="M63" s="135" t="s">
        <v>1</v>
      </c>
      <c r="N63" s="135" t="s">
        <v>107</v>
      </c>
      <c r="O63" s="135" t="s">
        <v>569</v>
      </c>
      <c r="P63" s="135" t="s">
        <v>570</v>
      </c>
      <c r="Q63" s="135" t="s">
        <v>86</v>
      </c>
      <c r="R63" s="135" t="s">
        <v>571</v>
      </c>
      <c r="S63" s="135" t="s">
        <v>88</v>
      </c>
      <c r="T63" s="135" t="s">
        <v>1</v>
      </c>
      <c r="U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V63" s="146">
        <f>IF(T63="","",VALUE(LEFT(T63,SEARCH("/",T63)-1)))</f>
        <v/>
      </c>
      <c r="W63" s="146">
        <f>IF(T63="","",VALUE(MID(T63,SEARCH("/",T63)+1,LEN(T63))))</f>
        <v/>
      </c>
    </row>
    <row r="64" customFormat="false" ht="135" hidden="false" customHeight="true" outlineLevel="0" collapsed="false">
      <c r="A64" s="135" t="s">
        <v>572</v>
      </c>
      <c r="B64" s="135" t="s">
        <v>180</v>
      </c>
      <c r="C64" s="256" t="s">
        <v>35</v>
      </c>
      <c r="D64" s="135" t="s">
        <v>573</v>
      </c>
      <c r="E64" s="135" t="s">
        <v>574</v>
      </c>
      <c r="F64" s="135" t="s">
        <v>4</v>
      </c>
      <c r="G64" s="135" t="s">
        <v>575</v>
      </c>
      <c r="H64" s="135" t="s">
        <v>4</v>
      </c>
      <c r="I64" s="135" t="s">
        <v>576</v>
      </c>
      <c r="J64" s="135" t="s">
        <v>577</v>
      </c>
      <c r="K64" s="135" t="s">
        <v>82</v>
      </c>
      <c r="L64" s="135" t="s">
        <v>1</v>
      </c>
      <c r="M64" s="135" t="s">
        <v>1</v>
      </c>
      <c r="N64" s="135" t="s">
        <v>107</v>
      </c>
      <c r="O64" s="135" t="s">
        <v>578</v>
      </c>
      <c r="P64" s="135" t="s">
        <v>579</v>
      </c>
      <c r="Q64" s="135" t="s">
        <v>86</v>
      </c>
      <c r="R64" s="135" t="s">
        <v>580</v>
      </c>
      <c r="S64" s="135" t="s">
        <v>88</v>
      </c>
      <c r="T64" s="135" t="s">
        <v>1</v>
      </c>
      <c r="U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V64" s="146">
        <f>IF(T64="","",VALUE(LEFT(T64,SEARCH("/",T64)-1)))</f>
        <v/>
      </c>
      <c r="W64" s="146">
        <f>IF(T64="","",VALUE(MID(T64,SEARCH("/",T64)+1,LEN(T64))))</f>
        <v/>
      </c>
    </row>
    <row r="65" customFormat="false" ht="15" hidden="false" customHeight="false" outlineLevel="0" collapsed="false">
      <c r="A65" s="135" t="s">
        <v>581</v>
      </c>
      <c r="B65" s="135" t="s">
        <v>180</v>
      </c>
      <c r="C65" s="256" t="s">
        <v>35</v>
      </c>
      <c r="D65" s="135" t="s">
        <v>582</v>
      </c>
      <c r="E65" s="135" t="s">
        <v>583</v>
      </c>
      <c r="F65" s="135" t="s">
        <v>4</v>
      </c>
      <c r="G65" s="135" t="s">
        <v>584</v>
      </c>
      <c r="H65" s="135" t="s">
        <v>4</v>
      </c>
      <c r="I65" s="135" t="s">
        <v>585</v>
      </c>
      <c r="J65" s="135" t="s">
        <v>586</v>
      </c>
      <c r="K65" s="135" t="s">
        <v>82</v>
      </c>
      <c r="L65" s="135" t="s">
        <v>1</v>
      </c>
      <c r="M65" s="135" t="s">
        <v>1</v>
      </c>
      <c r="N65" s="135" t="s">
        <v>488</v>
      </c>
      <c r="O65" s="135" t="s">
        <v>587</v>
      </c>
      <c r="P65" s="135" t="s">
        <v>588</v>
      </c>
      <c r="Q65" s="135" t="s">
        <v>86</v>
      </c>
      <c r="R65" s="135" t="s">
        <v>589</v>
      </c>
      <c r="S65" s="135" t="s">
        <v>88</v>
      </c>
      <c r="T65" s="135" t="s">
        <v>1</v>
      </c>
      <c r="U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V65" s="146">
        <f>IF(T65="","",VALUE(LEFT(T65,SEARCH("/",T65)-1)))</f>
        <v/>
      </c>
      <c r="W65" s="146">
        <f>IF(T65="","",VALUE(MID(T65,SEARCH("/",T65)+1,LEN(T65))))</f>
        <v/>
      </c>
    </row>
    <row r="66" customFormat="false" ht="15" hidden="false" customHeight="false" outlineLevel="0" collapsed="false">
      <c r="A66" s="135" t="s">
        <v>590</v>
      </c>
      <c r="B66" s="135" t="s">
        <v>591</v>
      </c>
      <c r="C66" s="256" t="s">
        <v>35</v>
      </c>
      <c r="D66" s="135" t="s">
        <v>592</v>
      </c>
      <c r="E66" s="135" t="s">
        <v>593</v>
      </c>
      <c r="F66" s="135" t="s">
        <v>594</v>
      </c>
      <c r="G66" s="135" t="s">
        <v>595</v>
      </c>
      <c r="H66" s="135" t="s">
        <v>596</v>
      </c>
      <c r="I66" s="135" t="s">
        <v>597</v>
      </c>
      <c r="J66" s="135" t="s">
        <v>598</v>
      </c>
      <c r="K66" s="135" t="s">
        <v>82</v>
      </c>
      <c r="L66" s="135" t="s">
        <v>1</v>
      </c>
      <c r="M66" s="135" t="s">
        <v>1</v>
      </c>
      <c r="N66" s="135" t="s">
        <v>107</v>
      </c>
      <c r="O66" s="135" t="s">
        <v>599</v>
      </c>
      <c r="P66" s="135" t="s">
        <v>600</v>
      </c>
      <c r="Q66" s="135" t="s">
        <v>86</v>
      </c>
      <c r="R66" s="135" t="s">
        <v>601</v>
      </c>
      <c r="S66" s="135" t="s">
        <v>88</v>
      </c>
      <c r="T66" s="135" t="s">
        <v>1</v>
      </c>
      <c r="U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V66" s="146">
        <f>IF(T66="","",VALUE(LEFT(T66,SEARCH("/",T66)-1)))</f>
        <v/>
      </c>
      <c r="W66" s="146">
        <f>IF(T66="","",VALUE(MID(T66,SEARCH("/",T66)+1,LEN(T66))))</f>
        <v/>
      </c>
    </row>
    <row r="67" customFormat="false" ht="15" hidden="false" customHeight="false" outlineLevel="0" collapsed="false">
      <c r="A67" s="135" t="s">
        <v>602</v>
      </c>
      <c r="B67" s="135" t="s">
        <v>180</v>
      </c>
      <c r="C67" s="256" t="s">
        <v>35</v>
      </c>
      <c r="D67" s="135" t="s">
        <v>603</v>
      </c>
      <c r="E67" s="135" t="s">
        <v>604</v>
      </c>
      <c r="F67" s="135" t="s">
        <v>4</v>
      </c>
      <c r="G67" s="135" t="s">
        <v>605</v>
      </c>
      <c r="H67" s="135" t="s">
        <v>4</v>
      </c>
      <c r="I67" s="135" t="s">
        <v>606</v>
      </c>
      <c r="J67" s="135" t="s">
        <v>607</v>
      </c>
      <c r="K67" s="135" t="s">
        <v>82</v>
      </c>
      <c r="L67" s="135" t="s">
        <v>1</v>
      </c>
      <c r="M67" s="135" t="s">
        <v>1</v>
      </c>
      <c r="N67" s="135" t="s">
        <v>488</v>
      </c>
      <c r="O67" s="135" t="s">
        <v>608</v>
      </c>
      <c r="P67" s="135" t="s">
        <v>609</v>
      </c>
      <c r="Q67" s="135" t="s">
        <v>86</v>
      </c>
      <c r="R67" s="135" t="s">
        <v>610</v>
      </c>
      <c r="S67" s="135" t="s">
        <v>88</v>
      </c>
      <c r="T67" s="135" t="s">
        <v>1</v>
      </c>
      <c r="U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V67" s="146">
        <f>IF(T67="","",VALUE(LEFT(T67,SEARCH("/",T67)-1)))</f>
        <v/>
      </c>
      <c r="W67" s="146">
        <f>IF(T67="","",VALUE(MID(T67,SEARCH("/",T67)+1,LEN(T67))))</f>
        <v/>
      </c>
    </row>
    <row r="68" customFormat="false" ht="15" hidden="false" customHeight="false" outlineLevel="0" collapsed="false">
      <c r="A68" s="135" t="s">
        <v>611</v>
      </c>
      <c r="B68" s="135" t="s">
        <v>591</v>
      </c>
      <c r="C68" s="256" t="s">
        <v>35</v>
      </c>
      <c r="D68" s="135" t="s">
        <v>612</v>
      </c>
      <c r="E68" s="135" t="s">
        <v>613</v>
      </c>
      <c r="F68" s="135" t="s">
        <v>4</v>
      </c>
      <c r="G68" s="135" t="s">
        <v>614</v>
      </c>
      <c r="H68" s="135" t="s">
        <v>4</v>
      </c>
      <c r="I68" s="135" t="s">
        <v>615</v>
      </c>
      <c r="J68" s="135" t="s">
        <v>616</v>
      </c>
      <c r="K68" s="135" t="s">
        <v>82</v>
      </c>
      <c r="L68" s="135" t="s">
        <v>1</v>
      </c>
      <c r="M68" s="135" t="s">
        <v>1</v>
      </c>
      <c r="N68" s="135" t="s">
        <v>488</v>
      </c>
      <c r="O68" s="135" t="s">
        <v>617</v>
      </c>
      <c r="P68" s="135" t="s">
        <v>618</v>
      </c>
      <c r="Q68" s="135" t="s">
        <v>86</v>
      </c>
      <c r="R68" s="135" t="s">
        <v>619</v>
      </c>
      <c r="S68" s="135" t="s">
        <v>88</v>
      </c>
      <c r="T68" s="135" t="s">
        <v>1</v>
      </c>
      <c r="U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V68" s="146">
        <f>IF(T68="","",VALUE(LEFT(T68,SEARCH("/",T68)-1)))</f>
        <v/>
      </c>
      <c r="W68" s="146">
        <f>IF(T68="","",VALUE(MID(T68,SEARCH("/",T68)+1,LEN(T68))))</f>
        <v/>
      </c>
    </row>
    <row r="69" customFormat="false" ht="15" hidden="false" customHeight="false" outlineLevel="0" collapsed="false">
      <c r="A69" s="135" t="s">
        <v>620</v>
      </c>
      <c r="B69" s="135" t="s">
        <v>591</v>
      </c>
      <c r="C69" s="256" t="s">
        <v>35</v>
      </c>
      <c r="D69" s="135" t="s">
        <v>621</v>
      </c>
      <c r="E69" s="135" t="s">
        <v>622</v>
      </c>
      <c r="F69" s="135" t="s">
        <v>4</v>
      </c>
      <c r="G69" s="135" t="s">
        <v>623</v>
      </c>
      <c r="H69" s="135" t="s">
        <v>4</v>
      </c>
      <c r="I69" s="135" t="s">
        <v>624</v>
      </c>
      <c r="J69" s="135" t="s">
        <v>625</v>
      </c>
      <c r="K69" s="135" t="s">
        <v>86</v>
      </c>
      <c r="L69" s="135" t="s">
        <v>1</v>
      </c>
      <c r="M69" s="135" t="s">
        <v>1</v>
      </c>
      <c r="N69" s="135" t="s">
        <v>488</v>
      </c>
      <c r="O69" s="135" t="s">
        <v>626</v>
      </c>
      <c r="P69" s="135" t="s">
        <v>627</v>
      </c>
      <c r="Q69" s="135" t="s">
        <v>82</v>
      </c>
      <c r="R69" s="135" t="s">
        <v>628</v>
      </c>
      <c r="S69" s="135" t="s">
        <v>88</v>
      </c>
      <c r="T69" s="135" t="s">
        <v>1</v>
      </c>
      <c r="U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V69" s="146">
        <f>IF(T69="","",VALUE(LEFT(T69,SEARCH("/",T69)-1)))</f>
        <v/>
      </c>
      <c r="W69" s="146">
        <f>IF(T69="","",VALUE(MID(T69,SEARCH("/",T69)+1,LEN(T69))))</f>
        <v/>
      </c>
    </row>
    <row r="70" customFormat="false" ht="15" hidden="false" customHeight="false" outlineLevel="0" collapsed="false">
      <c r="A70" s="135" t="s">
        <v>629</v>
      </c>
      <c r="B70" s="135" t="s">
        <v>630</v>
      </c>
      <c r="C70" s="256" t="s">
        <v>35</v>
      </c>
      <c r="D70" s="135" t="s">
        <v>181</v>
      </c>
      <c r="E70" s="135" t="s">
        <v>631</v>
      </c>
      <c r="F70" s="135" t="s">
        <v>4</v>
      </c>
      <c r="G70" s="135" t="s">
        <v>4</v>
      </c>
      <c r="H70" s="135" t="s">
        <v>4</v>
      </c>
      <c r="I70" s="135" t="s">
        <v>4</v>
      </c>
      <c r="J70" s="135" t="s">
        <v>632</v>
      </c>
      <c r="K70" s="135" t="s">
        <v>633</v>
      </c>
      <c r="L70" s="135" t="s">
        <v>1</v>
      </c>
      <c r="M70" s="135" t="s">
        <v>1</v>
      </c>
      <c r="N70" s="135" t="s">
        <v>423</v>
      </c>
      <c r="O70" s="135" t="s">
        <v>634</v>
      </c>
      <c r="P70" s="135" t="s">
        <v>635</v>
      </c>
      <c r="Q70" s="135" t="s">
        <v>86</v>
      </c>
      <c r="R70" s="135" t="s">
        <v>636</v>
      </c>
      <c r="S70" s="135" t="s">
        <v>328</v>
      </c>
      <c r="T70" s="135" t="s">
        <v>1</v>
      </c>
      <c r="U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V70" s="146">
        <f>IF(T70="","",VALUE(LEFT(T70,SEARCH("/",T70)-1)))</f>
        <v/>
      </c>
      <c r="W70" s="146">
        <f>IF(T70="","",VALUE(MID(T70,SEARCH("/",T70)+1,LEN(T70))))</f>
        <v/>
      </c>
    </row>
    <row r="71" customFormat="false" ht="15" hidden="false" customHeight="false" outlineLevel="0" collapsed="false">
      <c r="A71" s="135" t="s">
        <v>637</v>
      </c>
      <c r="B71" s="135" t="s">
        <v>155</v>
      </c>
      <c r="C71" s="256" t="s">
        <v>35</v>
      </c>
      <c r="D71" s="135" t="s">
        <v>638</v>
      </c>
      <c r="E71" s="135" t="s">
        <v>639</v>
      </c>
      <c r="F71" s="135" t="s">
        <v>4</v>
      </c>
      <c r="G71" s="135" t="s">
        <v>640</v>
      </c>
      <c r="H71" s="135" t="s">
        <v>4</v>
      </c>
      <c r="I71" s="135" t="s">
        <v>641</v>
      </c>
      <c r="J71" s="135" t="s">
        <v>642</v>
      </c>
      <c r="K71" s="135" t="s">
        <v>162</v>
      </c>
      <c r="L71" s="135" t="s">
        <v>1</v>
      </c>
      <c r="M71" s="135" t="s">
        <v>1</v>
      </c>
      <c r="N71" s="135" t="s">
        <v>304</v>
      </c>
      <c r="O71" s="135" t="s">
        <v>643</v>
      </c>
      <c r="P71" s="135" t="s">
        <v>644</v>
      </c>
      <c r="Q71" s="135" t="s">
        <v>86</v>
      </c>
      <c r="R71" s="135" t="s">
        <v>645</v>
      </c>
      <c r="S71" s="135" t="s">
        <v>646</v>
      </c>
      <c r="T71" s="135" t="s">
        <v>1</v>
      </c>
      <c r="U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V71" s="146">
        <f>IF(T71="","",VALUE(LEFT(T71,SEARCH("/",T71)-1)))</f>
        <v/>
      </c>
      <c r="W71" s="146">
        <f>IF(T71="","",VALUE(MID(T71,SEARCH("/",T71)+1,LEN(T71))))</f>
        <v/>
      </c>
    </row>
    <row r="72" customFormat="false" ht="15" hidden="false" customHeight="false" outlineLevel="0" collapsed="false">
      <c r="A72" s="135" t="s">
        <v>647</v>
      </c>
      <c r="B72" s="135" t="s">
        <v>169</v>
      </c>
      <c r="C72" s="256" t="s">
        <v>35</v>
      </c>
      <c r="D72" s="135" t="s">
        <v>648</v>
      </c>
      <c r="E72" s="135" t="s">
        <v>649</v>
      </c>
      <c r="F72" s="135" t="s">
        <v>650</v>
      </c>
      <c r="G72" s="135" t="s">
        <v>651</v>
      </c>
      <c r="H72" s="135" t="s">
        <v>652</v>
      </c>
      <c r="I72" s="135" t="s">
        <v>8</v>
      </c>
      <c r="J72" s="135" t="s">
        <v>653</v>
      </c>
      <c r="K72" s="135" t="s">
        <v>188</v>
      </c>
      <c r="L72" s="135" t="s">
        <v>1</v>
      </c>
      <c r="M72" s="135" t="s">
        <v>1</v>
      </c>
      <c r="N72" s="135" t="s">
        <v>189</v>
      </c>
      <c r="O72" s="135" t="s">
        <v>654</v>
      </c>
      <c r="P72" s="135" t="s">
        <v>655</v>
      </c>
      <c r="Q72" s="135" t="s">
        <v>86</v>
      </c>
      <c r="R72" s="135" t="s">
        <v>656</v>
      </c>
      <c r="S72" s="135" t="s">
        <v>657</v>
      </c>
      <c r="T72" s="135" t="s">
        <v>1</v>
      </c>
      <c r="U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V72" s="146">
        <f>IF(T72="","",VALUE(LEFT(T72,SEARCH("/",T72)-1)))</f>
        <v/>
      </c>
      <c r="W72" s="146">
        <f>IF(T72="","",VALUE(MID(T72,SEARCH("/",T72)+1,LEN(T72))))</f>
        <v/>
      </c>
    </row>
    <row r="73" customFormat="false" ht="15" hidden="false" customHeight="false" outlineLevel="0" collapsed="false">
      <c r="A73" s="135" t="s">
        <v>658</v>
      </c>
      <c r="B73" s="135" t="s">
        <v>659</v>
      </c>
      <c r="C73" s="256" t="s">
        <v>35</v>
      </c>
      <c r="D73" s="135" t="s">
        <v>58</v>
      </c>
      <c r="E73" s="135" t="s">
        <v>660</v>
      </c>
      <c r="F73" s="135" t="s">
        <v>661</v>
      </c>
      <c r="G73" s="135" t="s">
        <v>662</v>
      </c>
      <c r="H73" s="135" t="s">
        <v>652</v>
      </c>
      <c r="I73" s="135" t="s">
        <v>663</v>
      </c>
      <c r="J73" s="135" t="s">
        <v>664</v>
      </c>
      <c r="K73" s="135" t="s">
        <v>188</v>
      </c>
      <c r="L73" s="135" t="s">
        <v>1</v>
      </c>
      <c r="M73" s="135" t="s">
        <v>1</v>
      </c>
      <c r="N73" s="135" t="s">
        <v>189</v>
      </c>
      <c r="O73" s="135" t="s">
        <v>665</v>
      </c>
      <c r="P73" s="135" t="s">
        <v>666</v>
      </c>
      <c r="Q73" s="135" t="s">
        <v>86</v>
      </c>
      <c r="R73" s="135" t="s">
        <v>667</v>
      </c>
      <c r="S73" s="135" t="s">
        <v>356</v>
      </c>
      <c r="T73" s="135" t="s">
        <v>1</v>
      </c>
      <c r="U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V73" s="146">
        <f>IF(T73="","",VALUE(LEFT(T73,SEARCH("/",T73)-1)))</f>
        <v/>
      </c>
      <c r="W73" s="146">
        <f>IF(T73="","",VALUE(MID(T73,SEARCH("/",T73)+1,LEN(T73))))</f>
        <v/>
      </c>
    </row>
    <row r="74" customFormat="false" ht="15" hidden="false" customHeight="false" outlineLevel="0" collapsed="false">
      <c r="A74" s="135" t="s">
        <v>668</v>
      </c>
      <c r="B74" s="135" t="s">
        <v>180</v>
      </c>
      <c r="C74" s="256" t="s">
        <v>35</v>
      </c>
      <c r="D74" s="135" t="s">
        <v>669</v>
      </c>
      <c r="E74" s="135" t="s">
        <v>670</v>
      </c>
      <c r="F74" s="135" t="s">
        <v>671</v>
      </c>
      <c r="G74" s="135" t="s">
        <v>672</v>
      </c>
      <c r="H74" s="135" t="s">
        <v>4</v>
      </c>
      <c r="I74" s="135" t="s">
        <v>673</v>
      </c>
      <c r="J74" s="135" t="s">
        <v>674</v>
      </c>
      <c r="K74" s="135" t="s">
        <v>82</v>
      </c>
      <c r="L74" s="135" t="s">
        <v>86</v>
      </c>
      <c r="M74" s="135" t="s">
        <v>675</v>
      </c>
      <c r="N74" s="135" t="s">
        <v>477</v>
      </c>
      <c r="O74" s="135" t="s">
        <v>676</v>
      </c>
      <c r="P74" s="135" t="s">
        <v>677</v>
      </c>
      <c r="Q74" s="135" t="s">
        <v>86</v>
      </c>
      <c r="R74" s="135" t="s">
        <v>678</v>
      </c>
      <c r="S74" s="135" t="s">
        <v>88</v>
      </c>
      <c r="T74" s="135" t="s">
        <v>1</v>
      </c>
      <c r="U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V74" s="146">
        <f>IF(T74="","",VALUE(LEFT(T74,SEARCH("/",T74)-1)))</f>
        <v/>
      </c>
      <c r="W74" s="146">
        <f>IF(T74="","",VALUE(MID(T74,SEARCH("/",T74)+1,LEN(T74))))</f>
        <v/>
      </c>
    </row>
    <row r="75" customFormat="false" ht="15" hidden="false" customHeight="false" outlineLevel="0" collapsed="false">
      <c r="A75" s="135" t="s">
        <v>679</v>
      </c>
      <c r="B75" s="135" t="s">
        <v>180</v>
      </c>
      <c r="C75" s="257" t="s">
        <v>41</v>
      </c>
      <c r="D75" s="135" t="s">
        <v>41</v>
      </c>
      <c r="E75" s="135" t="s">
        <v>680</v>
      </c>
      <c r="F75" s="135" t="s">
        <v>681</v>
      </c>
      <c r="G75" s="135" t="s">
        <v>682</v>
      </c>
      <c r="H75" s="135" t="s">
        <v>522</v>
      </c>
      <c r="I75" s="135" t="s">
        <v>683</v>
      </c>
      <c r="J75" s="135" t="s">
        <v>684</v>
      </c>
      <c r="K75" s="135" t="s">
        <v>685</v>
      </c>
      <c r="L75" s="135" t="s">
        <v>1</v>
      </c>
      <c r="M75" s="135" t="s">
        <v>1</v>
      </c>
      <c r="N75" s="135" t="s">
        <v>150</v>
      </c>
      <c r="O75" s="135" t="s">
        <v>686</v>
      </c>
      <c r="P75" s="135" t="s">
        <v>687</v>
      </c>
      <c r="Q75" s="135" t="s">
        <v>86</v>
      </c>
      <c r="R75" s="135" t="s">
        <v>688</v>
      </c>
      <c r="S75" s="135" t="s">
        <v>214</v>
      </c>
      <c r="T75" s="135" t="s">
        <v>1</v>
      </c>
      <c r="U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V75" s="146">
        <f>IF(T75="","",VALUE(LEFT(T75,SEARCH("/",T75)-1)))</f>
        <v/>
      </c>
      <c r="W75" s="146">
        <f>IF(T75="","",VALUE(MID(T75,SEARCH("/",T75)+1,LEN(T75))))</f>
        <v/>
      </c>
    </row>
    <row r="76" customFormat="false" ht="15" hidden="false" customHeight="false" outlineLevel="0" collapsed="false">
      <c r="A76" s="135" t="s">
        <v>689</v>
      </c>
      <c r="B76" s="135" t="s">
        <v>180</v>
      </c>
      <c r="C76" s="257" t="s">
        <v>41</v>
      </c>
      <c r="D76" s="135" t="s">
        <v>41</v>
      </c>
      <c r="E76" s="135" t="s">
        <v>690</v>
      </c>
      <c r="F76" s="135" t="s">
        <v>240</v>
      </c>
      <c r="G76" s="135" t="s">
        <v>691</v>
      </c>
      <c r="H76" s="135" t="s">
        <v>692</v>
      </c>
      <c r="I76" s="135" t="s">
        <v>693</v>
      </c>
      <c r="J76" s="135" t="s">
        <v>694</v>
      </c>
      <c r="K76" s="135" t="s">
        <v>82</v>
      </c>
      <c r="L76" s="135" t="s">
        <v>1</v>
      </c>
      <c r="M76" s="135" t="s">
        <v>1</v>
      </c>
      <c r="N76" s="135" t="s">
        <v>150</v>
      </c>
      <c r="O76" s="135" t="s">
        <v>695</v>
      </c>
      <c r="P76" s="135" t="s">
        <v>696</v>
      </c>
      <c r="Q76" s="135" t="s">
        <v>86</v>
      </c>
      <c r="R76" s="135" t="s">
        <v>697</v>
      </c>
      <c r="S76" s="135" t="s">
        <v>328</v>
      </c>
      <c r="T76" s="135" t="s">
        <v>1</v>
      </c>
      <c r="U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V76" s="146">
        <f>IF(T76="","",VALUE(LEFT(T76,SEARCH("/",T76)-1)))</f>
        <v/>
      </c>
      <c r="W76" s="146">
        <f>IF(T76="","",VALUE(MID(T76,SEARCH("/",T76)+1,LEN(T76))))</f>
        <v/>
      </c>
    </row>
    <row r="77" customFormat="false" ht="15" hidden="false" customHeight="false" outlineLevel="0" collapsed="false">
      <c r="A77" s="135" t="s">
        <v>698</v>
      </c>
      <c r="B77" s="135" t="s">
        <v>180</v>
      </c>
      <c r="C77" s="257" t="s">
        <v>41</v>
      </c>
      <c r="D77" s="135" t="s">
        <v>41</v>
      </c>
      <c r="E77" s="135" t="s">
        <v>699</v>
      </c>
      <c r="F77" s="135" t="s">
        <v>700</v>
      </c>
      <c r="G77" s="135" t="s">
        <v>701</v>
      </c>
      <c r="H77" s="135" t="s">
        <v>702</v>
      </c>
      <c r="I77" s="135" t="s">
        <v>703</v>
      </c>
      <c r="J77" s="135" t="s">
        <v>704</v>
      </c>
      <c r="K77" s="135" t="s">
        <v>82</v>
      </c>
      <c r="L77" s="135" t="s">
        <v>1</v>
      </c>
      <c r="M77" s="135" t="s">
        <v>1</v>
      </c>
      <c r="N77" s="135" t="s">
        <v>150</v>
      </c>
      <c r="O77" s="135" t="s">
        <v>705</v>
      </c>
      <c r="P77" s="135" t="s">
        <v>706</v>
      </c>
      <c r="Q77" s="135" t="s">
        <v>86</v>
      </c>
      <c r="R77" s="135" t="s">
        <v>707</v>
      </c>
      <c r="S77" s="135" t="s">
        <v>111</v>
      </c>
      <c r="T77" s="135" t="s">
        <v>1</v>
      </c>
      <c r="U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Done</v>
      </c>
      <c r="V77" s="146">
        <f>IF(T77="","",VALUE(LEFT(T77,SEARCH("/",T77)-1)))</f>
        <v/>
      </c>
      <c r="W77" s="146">
        <f>IF(T77="","",VALUE(MID(T77,SEARCH("/",T77)+1,LEN(T77))))</f>
        <v/>
      </c>
    </row>
    <row r="78" customFormat="false" ht="75" hidden="false" customHeight="true" outlineLevel="0" collapsed="false">
      <c r="A78" s="135" t="s">
        <v>708</v>
      </c>
      <c r="B78" s="135" t="s">
        <v>709</v>
      </c>
      <c r="C78" s="257" t="s">
        <v>41</v>
      </c>
      <c r="D78" s="135" t="s">
        <v>710</v>
      </c>
      <c r="E78" s="135" t="s">
        <v>711</v>
      </c>
      <c r="F78" s="135" t="s">
        <v>712</v>
      </c>
      <c r="G78" s="135" t="s">
        <v>713</v>
      </c>
      <c r="H78" s="135" t="s">
        <v>4</v>
      </c>
      <c r="I78" s="135" t="s">
        <v>714</v>
      </c>
      <c r="J78" s="135" t="s">
        <v>715</v>
      </c>
      <c r="K78" s="135" t="s">
        <v>82</v>
      </c>
      <c r="L78" s="135" t="s">
        <v>1</v>
      </c>
      <c r="M78" s="135" t="s">
        <v>1</v>
      </c>
      <c r="N78" s="135" t="s">
        <v>716</v>
      </c>
      <c r="O78" s="135" t="s">
        <v>717</v>
      </c>
      <c r="P78" s="135" t="s">
        <v>718</v>
      </c>
      <c r="Q78" s="135" t="s">
        <v>86</v>
      </c>
      <c r="R78" s="135" t="s">
        <v>719</v>
      </c>
      <c r="S78" s="135" t="s">
        <v>273</v>
      </c>
      <c r="T78" s="135" t="s">
        <v>1</v>
      </c>
      <c r="U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Done</v>
      </c>
      <c r="V78" s="146">
        <f>IF(T78="","",VALUE(LEFT(T78,SEARCH("/",T78)-1)))</f>
        <v/>
      </c>
      <c r="W78" s="146">
        <f>IF(T78="","",VALUE(MID(T78,SEARCH("/",T78)+1,LEN(T78))))</f>
        <v/>
      </c>
    </row>
    <row r="79" customFormat="false" ht="15" hidden="false" customHeight="false" outlineLevel="0" collapsed="false">
      <c r="A79" s="135" t="s">
        <v>720</v>
      </c>
      <c r="B79" s="135" t="s">
        <v>709</v>
      </c>
      <c r="C79" s="257" t="s">
        <v>41</v>
      </c>
      <c r="D79" s="135" t="s">
        <v>721</v>
      </c>
      <c r="E79" s="135" t="s">
        <v>722</v>
      </c>
      <c r="F79" s="135" t="s">
        <v>723</v>
      </c>
      <c r="G79" s="135" t="s">
        <v>724</v>
      </c>
      <c r="H79" s="135" t="s">
        <v>4</v>
      </c>
      <c r="I79" s="135" t="s">
        <v>4</v>
      </c>
      <c r="J79" s="135" t="s">
        <v>725</v>
      </c>
      <c r="K79" s="135" t="s">
        <v>82</v>
      </c>
      <c r="L79" s="135" t="s">
        <v>1</v>
      </c>
      <c r="M79" s="135" t="s">
        <v>1</v>
      </c>
      <c r="N79" s="135" t="s">
        <v>716</v>
      </c>
      <c r="O79" s="135" t="s">
        <v>726</v>
      </c>
      <c r="P79" s="135" t="s">
        <v>727</v>
      </c>
      <c r="Q79" s="135" t="s">
        <v>86</v>
      </c>
      <c r="R79" s="135" t="s">
        <v>728</v>
      </c>
      <c r="S79" s="135" t="s">
        <v>111</v>
      </c>
      <c r="T79" s="135" t="s">
        <v>1</v>
      </c>
      <c r="U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Done</v>
      </c>
      <c r="V79" s="146">
        <f>IF(T79="","",VALUE(LEFT(T79,SEARCH("/",T79)-1)))</f>
        <v/>
      </c>
      <c r="W79" s="146">
        <f>IF(T79="","",VALUE(MID(T79,SEARCH("/",T79)+1,LEN(T79))))</f>
        <v/>
      </c>
    </row>
    <row r="80" customFormat="false" ht="15" hidden="false" customHeight="false" outlineLevel="0" collapsed="false">
      <c r="A80" s="135" t="s">
        <v>729</v>
      </c>
      <c r="B80" s="135" t="s">
        <v>709</v>
      </c>
      <c r="C80" s="257" t="s">
        <v>41</v>
      </c>
      <c r="D80" s="135" t="s">
        <v>730</v>
      </c>
      <c r="E80" s="135" t="s">
        <v>731</v>
      </c>
      <c r="F80" s="135" t="s">
        <v>732</v>
      </c>
      <c r="G80" s="135" t="s">
        <v>733</v>
      </c>
      <c r="H80" s="135" t="s">
        <v>4</v>
      </c>
      <c r="I80" s="135" t="s">
        <v>4</v>
      </c>
      <c r="J80" s="135" t="s">
        <v>734</v>
      </c>
      <c r="K80" s="135" t="s">
        <v>82</v>
      </c>
      <c r="L80" s="135" t="s">
        <v>1</v>
      </c>
      <c r="M80" s="135" t="s">
        <v>1</v>
      </c>
      <c r="N80" s="135" t="s">
        <v>716</v>
      </c>
      <c r="O80" s="135" t="s">
        <v>735</v>
      </c>
      <c r="P80" s="135" t="s">
        <v>736</v>
      </c>
      <c r="Q80" s="135" t="s">
        <v>86</v>
      </c>
      <c r="R80" s="135" t="s">
        <v>737</v>
      </c>
      <c r="S80" s="135" t="s">
        <v>738</v>
      </c>
      <c r="T80" s="135" t="s">
        <v>1</v>
      </c>
      <c r="U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Done</v>
      </c>
      <c r="V80" s="146">
        <f>IF(T80="","",VALUE(LEFT(T80,SEARCH("/",T80)-1)))</f>
        <v/>
      </c>
      <c r="W80" s="146">
        <f>IF(T80="","",VALUE(MID(T80,SEARCH("/",T80)+1,LEN(T80))))</f>
        <v/>
      </c>
    </row>
    <row r="81" customFormat="false" ht="15" hidden="false" customHeight="false" outlineLevel="0" collapsed="false">
      <c r="A81" s="135" t="s">
        <v>739</v>
      </c>
      <c r="B81" s="135" t="s">
        <v>709</v>
      </c>
      <c r="C81" s="257" t="s">
        <v>41</v>
      </c>
      <c r="D81" s="135" t="s">
        <v>740</v>
      </c>
      <c r="E81" s="135" t="s">
        <v>741</v>
      </c>
      <c r="F81" s="135" t="s">
        <v>742</v>
      </c>
      <c r="G81" s="135" t="s">
        <v>743</v>
      </c>
      <c r="H81" s="135" t="s">
        <v>4</v>
      </c>
      <c r="I81" s="135" t="s">
        <v>4</v>
      </c>
      <c r="J81" s="135" t="s">
        <v>744</v>
      </c>
      <c r="K81" s="135" t="s">
        <v>82</v>
      </c>
      <c r="L81" s="135" t="s">
        <v>4</v>
      </c>
      <c r="M81" s="135" t="s">
        <v>675</v>
      </c>
      <c r="N81" s="135" t="s">
        <v>745</v>
      </c>
      <c r="O81" s="135" t="s">
        <v>746</v>
      </c>
      <c r="P81" s="135" t="s">
        <v>747</v>
      </c>
      <c r="Q81" s="135" t="s">
        <v>86</v>
      </c>
      <c r="R81" s="135" t="s">
        <v>748</v>
      </c>
      <c r="S81" s="135" t="s">
        <v>88</v>
      </c>
      <c r="T81" s="135" t="s">
        <v>1</v>
      </c>
      <c r="U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V81" s="146">
        <f>IF(T81="","",VALUE(LEFT(T81,SEARCH("/",T81)-1)))</f>
        <v/>
      </c>
      <c r="W81" s="146">
        <f>IF(T81="","",VALUE(MID(T81,SEARCH("/",T81)+1,LEN(T81))))</f>
        <v/>
      </c>
    </row>
    <row r="82" customFormat="false" ht="15" hidden="false" customHeight="false" outlineLevel="0" collapsed="false">
      <c r="A82" s="135" t="s">
        <v>749</v>
      </c>
      <c r="B82" s="135" t="s">
        <v>709</v>
      </c>
      <c r="C82" s="257" t="s">
        <v>41</v>
      </c>
      <c r="D82" s="135" t="s">
        <v>750</v>
      </c>
      <c r="E82" s="135" t="s">
        <v>751</v>
      </c>
      <c r="F82" s="135" t="s">
        <v>752</v>
      </c>
      <c r="G82" s="135" t="s">
        <v>753</v>
      </c>
      <c r="H82" s="135" t="s">
        <v>4</v>
      </c>
      <c r="I82" s="135" t="s">
        <v>754</v>
      </c>
      <c r="J82" s="135" t="s">
        <v>755</v>
      </c>
      <c r="K82" s="135" t="s">
        <v>82</v>
      </c>
      <c r="L82" s="135" t="s">
        <v>4</v>
      </c>
      <c r="M82" s="135" t="s">
        <v>675</v>
      </c>
      <c r="N82" s="135" t="s">
        <v>745</v>
      </c>
      <c r="O82" s="135" t="s">
        <v>756</v>
      </c>
      <c r="P82" s="135" t="s">
        <v>757</v>
      </c>
      <c r="Q82" s="135" t="s">
        <v>86</v>
      </c>
      <c r="R82" s="135" t="s">
        <v>758</v>
      </c>
      <c r="S82" s="135" t="s">
        <v>88</v>
      </c>
      <c r="T82" s="135" t="s">
        <v>1</v>
      </c>
      <c r="U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Done</v>
      </c>
      <c r="V82" s="146">
        <f>IF(T82="","",VALUE(LEFT(T82,SEARCH("/",T82)-1)))</f>
        <v/>
      </c>
      <c r="W82" s="146">
        <f>IF(T82="","",VALUE(MID(T82,SEARCH("/",T82)+1,LEN(T82))))</f>
        <v/>
      </c>
    </row>
    <row r="83" customFormat="false" ht="15" hidden="false" customHeight="false" outlineLevel="0" collapsed="false">
      <c r="A83" s="135" t="s">
        <v>759</v>
      </c>
      <c r="B83" s="135" t="s">
        <v>709</v>
      </c>
      <c r="C83" s="257" t="s">
        <v>41</v>
      </c>
      <c r="D83" s="135" t="s">
        <v>760</v>
      </c>
      <c r="E83" s="135" t="s">
        <v>761</v>
      </c>
      <c r="F83" s="135" t="s">
        <v>4</v>
      </c>
      <c r="G83" s="135" t="s">
        <v>762</v>
      </c>
      <c r="H83" s="135" t="s">
        <v>4</v>
      </c>
      <c r="I83" s="135" t="s">
        <v>4</v>
      </c>
      <c r="J83" s="135" t="s">
        <v>763</v>
      </c>
      <c r="K83" s="135" t="s">
        <v>82</v>
      </c>
      <c r="L83" s="135" t="s">
        <v>4</v>
      </c>
      <c r="M83" s="135" t="s">
        <v>675</v>
      </c>
      <c r="N83" s="135" t="s">
        <v>745</v>
      </c>
      <c r="O83" s="135" t="s">
        <v>764</v>
      </c>
      <c r="P83" s="135" t="s">
        <v>765</v>
      </c>
      <c r="Q83" s="135" t="s">
        <v>86</v>
      </c>
      <c r="R83" s="135" t="s">
        <v>766</v>
      </c>
      <c r="S83" s="135" t="s">
        <v>88</v>
      </c>
      <c r="T83" s="135" t="s">
        <v>1</v>
      </c>
      <c r="U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V83" s="146">
        <f>IF(T83="","",VALUE(LEFT(T83,SEARCH("/",T83)-1)))</f>
        <v/>
      </c>
      <c r="W83" s="146">
        <f>IF(T83="","",VALUE(MID(T83,SEARCH("/",T83)+1,LEN(T83))))</f>
        <v/>
      </c>
    </row>
    <row r="84" customFormat="false" ht="15" hidden="false" customHeight="false" outlineLevel="0" collapsed="false">
      <c r="A84" s="135" t="s">
        <v>767</v>
      </c>
      <c r="B84" s="135" t="s">
        <v>768</v>
      </c>
      <c r="C84" s="257" t="s">
        <v>41</v>
      </c>
      <c r="D84" s="135" t="s">
        <v>769</v>
      </c>
      <c r="E84" s="135" t="s">
        <v>770</v>
      </c>
      <c r="F84" s="135" t="s">
        <v>771</v>
      </c>
      <c r="G84" s="135" t="s">
        <v>772</v>
      </c>
      <c r="H84" s="135" t="s">
        <v>773</v>
      </c>
      <c r="I84" s="135" t="s">
        <v>774</v>
      </c>
      <c r="J84" s="135" t="s">
        <v>775</v>
      </c>
      <c r="K84" s="135" t="s">
        <v>776</v>
      </c>
      <c r="L84" s="135" t="s">
        <v>1</v>
      </c>
      <c r="M84" s="135" t="s">
        <v>1</v>
      </c>
      <c r="N84" s="135" t="s">
        <v>777</v>
      </c>
      <c r="O84" s="135" t="s">
        <v>778</v>
      </c>
      <c r="P84" s="135" t="s">
        <v>779</v>
      </c>
      <c r="Q84" s="135" t="s">
        <v>86</v>
      </c>
      <c r="R84" s="135" t="s">
        <v>780</v>
      </c>
      <c r="S84" s="135" t="s">
        <v>88</v>
      </c>
      <c r="T84" s="135" t="s">
        <v>1</v>
      </c>
      <c r="U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Done</v>
      </c>
      <c r="V84" s="146">
        <f>IF(T84="","",VALUE(LEFT(T84,SEARCH("/",T84)-1)))</f>
        <v/>
      </c>
      <c r="W84" s="146">
        <f>IF(T84="","",VALUE(MID(T84,SEARCH("/",T84)+1,LEN(T84))))</f>
        <v/>
      </c>
    </row>
    <row r="85" customFormat="false" ht="15" hidden="false" customHeight="false" outlineLevel="0" collapsed="false">
      <c r="A85" s="135" t="s">
        <v>781</v>
      </c>
      <c r="B85" s="135" t="s">
        <v>768</v>
      </c>
      <c r="C85" s="257" t="s">
        <v>41</v>
      </c>
      <c r="D85" s="135" t="s">
        <v>782</v>
      </c>
      <c r="E85" s="135" t="s">
        <v>783</v>
      </c>
      <c r="F85" s="135" t="s">
        <v>784</v>
      </c>
      <c r="G85" s="135" t="s">
        <v>785</v>
      </c>
      <c r="H85" s="135" t="s">
        <v>4</v>
      </c>
      <c r="I85" s="135" t="s">
        <v>4</v>
      </c>
      <c r="J85" s="135" t="s">
        <v>786</v>
      </c>
      <c r="K85" s="135" t="s">
        <v>82</v>
      </c>
      <c r="L85" s="135" t="s">
        <v>86</v>
      </c>
      <c r="M85" s="135" t="s">
        <v>787</v>
      </c>
      <c r="N85" s="135" t="s">
        <v>83</v>
      </c>
      <c r="O85" s="135" t="s">
        <v>788</v>
      </c>
      <c r="P85" s="135" t="s">
        <v>789</v>
      </c>
      <c r="Q85" s="135" t="s">
        <v>86</v>
      </c>
      <c r="R85" s="135" t="s">
        <v>790</v>
      </c>
      <c r="S85" s="135" t="s">
        <v>88</v>
      </c>
      <c r="T85" s="135" t="s">
        <v>1</v>
      </c>
      <c r="U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Done</v>
      </c>
      <c r="V85" s="146">
        <f>IF(T85="","",VALUE(LEFT(T85,SEARCH("/",T85)-1)))</f>
        <v/>
      </c>
      <c r="W85" s="146">
        <f>IF(T85="","",VALUE(MID(T85,SEARCH("/",T85)+1,LEN(T85))))</f>
        <v/>
      </c>
    </row>
    <row r="86" customFormat="false" ht="15" hidden="false" customHeight="false" outlineLevel="0" collapsed="false">
      <c r="A86" s="135" t="s">
        <v>791</v>
      </c>
      <c r="B86" s="135" t="s">
        <v>768</v>
      </c>
      <c r="C86" s="257" t="s">
        <v>41</v>
      </c>
      <c r="D86" s="135" t="s">
        <v>792</v>
      </c>
      <c r="E86" s="135" t="s">
        <v>793</v>
      </c>
      <c r="F86" s="135" t="s">
        <v>784</v>
      </c>
      <c r="G86" s="135" t="s">
        <v>794</v>
      </c>
      <c r="H86" s="135" t="s">
        <v>4</v>
      </c>
      <c r="I86" s="135" t="s">
        <v>4</v>
      </c>
      <c r="J86" s="135" t="s">
        <v>795</v>
      </c>
      <c r="K86" s="135" t="s">
        <v>82</v>
      </c>
      <c r="L86" s="135" t="s">
        <v>86</v>
      </c>
      <c r="M86" s="135" t="s">
        <v>787</v>
      </c>
      <c r="N86" s="135" t="s">
        <v>83</v>
      </c>
      <c r="O86" s="135" t="s">
        <v>796</v>
      </c>
      <c r="P86" s="135" t="s">
        <v>797</v>
      </c>
      <c r="Q86" s="135" t="s">
        <v>86</v>
      </c>
      <c r="R86" s="135" t="s">
        <v>798</v>
      </c>
      <c r="S86" s="135" t="s">
        <v>88</v>
      </c>
      <c r="T86" s="135" t="s">
        <v>1</v>
      </c>
      <c r="U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V86" s="146">
        <f>IF(T86="","",VALUE(LEFT(T86,SEARCH("/",T86)-1)))</f>
        <v/>
      </c>
      <c r="W86" s="146">
        <f>IF(T86="","",VALUE(MID(T86,SEARCH("/",T86)+1,LEN(T86))))</f>
        <v/>
      </c>
    </row>
    <row r="87" customFormat="false" ht="15" hidden="false" customHeight="false" outlineLevel="0" collapsed="false">
      <c r="A87" s="135" t="s">
        <v>799</v>
      </c>
      <c r="B87" s="135" t="s">
        <v>768</v>
      </c>
      <c r="C87" s="257" t="s">
        <v>41</v>
      </c>
      <c r="D87" s="135" t="s">
        <v>800</v>
      </c>
      <c r="E87" s="135" t="s">
        <v>801</v>
      </c>
      <c r="F87" s="135" t="s">
        <v>802</v>
      </c>
      <c r="G87" s="135" t="s">
        <v>803</v>
      </c>
      <c r="H87" s="135" t="s">
        <v>4</v>
      </c>
      <c r="I87" s="135" t="s">
        <v>804</v>
      </c>
      <c r="J87" s="135" t="s">
        <v>805</v>
      </c>
      <c r="K87" s="135" t="s">
        <v>82</v>
      </c>
      <c r="L87" s="135" t="s">
        <v>1</v>
      </c>
      <c r="M87" s="135" t="s">
        <v>1</v>
      </c>
      <c r="N87" s="135" t="s">
        <v>83</v>
      </c>
      <c r="O87" s="135" t="s">
        <v>806</v>
      </c>
      <c r="P87" s="135" t="s">
        <v>807</v>
      </c>
      <c r="Q87" s="135" t="s">
        <v>86</v>
      </c>
      <c r="R87" s="135" t="s">
        <v>808</v>
      </c>
      <c r="S87" s="135" t="s">
        <v>88</v>
      </c>
      <c r="T87" s="135" t="s">
        <v>1</v>
      </c>
      <c r="U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V87" s="146">
        <f>IF(T87="","",VALUE(LEFT(T87,SEARCH("/",T87)-1)))</f>
        <v/>
      </c>
      <c r="W87" s="146">
        <f>IF(T87="","",VALUE(MID(T87,SEARCH("/",T87)+1,LEN(T87))))</f>
        <v/>
      </c>
    </row>
    <row r="88" customFormat="false" ht="15" hidden="false" customHeight="false" outlineLevel="0" collapsed="false">
      <c r="A88" s="135" t="s">
        <v>809</v>
      </c>
      <c r="B88" s="135" t="s">
        <v>768</v>
      </c>
      <c r="C88" s="257" t="s">
        <v>41</v>
      </c>
      <c r="D88" s="135" t="s">
        <v>810</v>
      </c>
      <c r="E88" s="135" t="s">
        <v>811</v>
      </c>
      <c r="F88" s="135" t="s">
        <v>812</v>
      </c>
      <c r="G88" s="135" t="s">
        <v>813</v>
      </c>
      <c r="H88" s="135" t="s">
        <v>4</v>
      </c>
      <c r="I88" s="135" t="s">
        <v>814</v>
      </c>
      <c r="J88" s="135" t="s">
        <v>815</v>
      </c>
      <c r="K88" s="135" t="s">
        <v>82</v>
      </c>
      <c r="L88" s="135" t="s">
        <v>86</v>
      </c>
      <c r="M88" s="135" t="s">
        <v>787</v>
      </c>
      <c r="N88" s="135" t="s">
        <v>83</v>
      </c>
      <c r="O88" s="135" t="s">
        <v>816</v>
      </c>
      <c r="P88" s="135" t="s">
        <v>817</v>
      </c>
      <c r="Q88" s="135" t="s">
        <v>86</v>
      </c>
      <c r="R88" s="135" t="s">
        <v>818</v>
      </c>
      <c r="S88" s="135" t="s">
        <v>111</v>
      </c>
      <c r="T88" s="135" t="s">
        <v>1</v>
      </c>
      <c r="U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V88" s="146">
        <f>IF(T88="","",VALUE(LEFT(T88,SEARCH("/",T88)-1)))</f>
        <v/>
      </c>
      <c r="W88" s="146">
        <f>IF(T88="","",VALUE(MID(T88,SEARCH("/",T88)+1,LEN(T88))))</f>
        <v/>
      </c>
    </row>
    <row r="89" customFormat="false" ht="15" hidden="false" customHeight="false" outlineLevel="0" collapsed="false">
      <c r="A89" s="135" t="s">
        <v>819</v>
      </c>
      <c r="B89" s="135" t="s">
        <v>169</v>
      </c>
      <c r="C89" s="257" t="s">
        <v>41</v>
      </c>
      <c r="D89" s="135" t="s">
        <v>820</v>
      </c>
      <c r="E89" s="135" t="s">
        <v>821</v>
      </c>
      <c r="F89" s="135" t="s">
        <v>4</v>
      </c>
      <c r="G89" s="135" t="s">
        <v>822</v>
      </c>
      <c r="H89" s="135" t="s">
        <v>4</v>
      </c>
      <c r="I89" s="135" t="s">
        <v>8</v>
      </c>
      <c r="J89" s="135" t="s">
        <v>823</v>
      </c>
      <c r="K89" s="135" t="s">
        <v>82</v>
      </c>
      <c r="L89" s="135" t="s">
        <v>86</v>
      </c>
      <c r="M89" s="135" t="s">
        <v>787</v>
      </c>
      <c r="N89" s="135" t="s">
        <v>83</v>
      </c>
      <c r="O89" s="135" t="s">
        <v>824</v>
      </c>
      <c r="P89" s="135" t="s">
        <v>825</v>
      </c>
      <c r="Q89" s="135" t="s">
        <v>86</v>
      </c>
      <c r="R89" s="135" t="s">
        <v>826</v>
      </c>
      <c r="S89" s="135" t="s">
        <v>827</v>
      </c>
      <c r="T89" s="135" t="s">
        <v>1</v>
      </c>
      <c r="U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V89" s="146">
        <f>IF(T89="","",VALUE(LEFT(T89,SEARCH("/",T89)-1)))</f>
        <v/>
      </c>
      <c r="W89" s="146">
        <f>IF(T89="","",VALUE(MID(T89,SEARCH("/",T89)+1,LEN(T89))))</f>
        <v/>
      </c>
    </row>
    <row r="90" customFormat="false" ht="15" hidden="false" customHeight="false" outlineLevel="0" collapsed="false">
      <c r="A90" s="135" t="s">
        <v>828</v>
      </c>
      <c r="B90" s="135" t="s">
        <v>180</v>
      </c>
      <c r="C90" s="258" t="s">
        <v>46</v>
      </c>
      <c r="D90" s="135" t="s">
        <v>829</v>
      </c>
      <c r="E90" s="135" t="s">
        <v>830</v>
      </c>
      <c r="F90" s="135" t="s">
        <v>831</v>
      </c>
      <c r="G90" s="135" t="s">
        <v>832</v>
      </c>
      <c r="H90" s="135" t="s">
        <v>4</v>
      </c>
      <c r="I90" s="135" t="s">
        <v>833</v>
      </c>
      <c r="J90" s="135" t="s">
        <v>834</v>
      </c>
      <c r="K90" s="135" t="s">
        <v>835</v>
      </c>
      <c r="L90" s="135" t="s">
        <v>1</v>
      </c>
      <c r="M90" s="135" t="s">
        <v>1</v>
      </c>
      <c r="N90" s="135" t="s">
        <v>423</v>
      </c>
      <c r="O90" s="135" t="s">
        <v>836</v>
      </c>
      <c r="P90" s="135" t="s">
        <v>837</v>
      </c>
      <c r="Q90" s="135" t="s">
        <v>86</v>
      </c>
      <c r="R90" s="135" t="s">
        <v>838</v>
      </c>
      <c r="S90" s="135" t="s">
        <v>88</v>
      </c>
      <c r="T90" s="135" t="s">
        <v>1</v>
      </c>
      <c r="U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V90" s="146">
        <f>IF(T90="","",VALUE(LEFT(T90,SEARCH("/",T90)-1)))</f>
        <v/>
      </c>
      <c r="W90" s="146">
        <f>IF(T90="","",VALUE(MID(T90,SEARCH("/",T90)+1,LEN(T90))))</f>
        <v/>
      </c>
    </row>
    <row r="91" customFormat="false" ht="15" hidden="false" customHeight="false" outlineLevel="0" collapsed="false">
      <c r="A91" s="135" t="s">
        <v>839</v>
      </c>
      <c r="B91" s="135" t="s">
        <v>840</v>
      </c>
      <c r="C91" s="258" t="s">
        <v>46</v>
      </c>
      <c r="D91" s="135" t="s">
        <v>841</v>
      </c>
      <c r="E91" s="135" t="s">
        <v>842</v>
      </c>
      <c r="F91" s="135" t="s">
        <v>843</v>
      </c>
      <c r="G91" s="135" t="s">
        <v>844</v>
      </c>
      <c r="H91" s="135" t="s">
        <v>4</v>
      </c>
      <c r="I91" s="135" t="s">
        <v>845</v>
      </c>
      <c r="J91" s="135" t="s">
        <v>846</v>
      </c>
      <c r="K91" s="135" t="s">
        <v>82</v>
      </c>
      <c r="L91" s="135" t="s">
        <v>86</v>
      </c>
      <c r="M91" s="135" t="s">
        <v>787</v>
      </c>
      <c r="N91" s="135" t="s">
        <v>83</v>
      </c>
      <c r="O91" s="135" t="s">
        <v>847</v>
      </c>
      <c r="P91" s="135" t="s">
        <v>848</v>
      </c>
      <c r="Q91" s="135" t="s">
        <v>86</v>
      </c>
      <c r="R91" s="135" t="s">
        <v>849</v>
      </c>
      <c r="S91" s="135" t="s">
        <v>88</v>
      </c>
      <c r="T91" s="135" t="s">
        <v>1</v>
      </c>
      <c r="U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V91" s="146">
        <f>IF(T91="","",VALUE(LEFT(T91,SEARCH("/",T91)-1)))</f>
        <v/>
      </c>
      <c r="W91" s="146">
        <f>IF(T91="","",VALUE(MID(T91,SEARCH("/",T91)+1,LEN(T91))))</f>
        <v/>
      </c>
    </row>
    <row r="92" customFormat="false" ht="15" hidden="false" customHeight="false" outlineLevel="0" collapsed="false">
      <c r="A92" s="135" t="s">
        <v>850</v>
      </c>
      <c r="B92" s="135" t="s">
        <v>840</v>
      </c>
      <c r="C92" s="258" t="s">
        <v>46</v>
      </c>
      <c r="D92" s="135" t="s">
        <v>851</v>
      </c>
      <c r="E92" s="135" t="s">
        <v>852</v>
      </c>
      <c r="F92" s="135" t="s">
        <v>853</v>
      </c>
      <c r="G92" s="135" t="s">
        <v>854</v>
      </c>
      <c r="H92" s="135" t="s">
        <v>4</v>
      </c>
      <c r="I92" s="135" t="s">
        <v>4</v>
      </c>
      <c r="J92" s="135" t="s">
        <v>855</v>
      </c>
      <c r="K92" s="135" t="s">
        <v>82</v>
      </c>
      <c r="L92" s="135" t="s">
        <v>86</v>
      </c>
      <c r="M92" s="135" t="s">
        <v>787</v>
      </c>
      <c r="N92" s="135" t="s">
        <v>83</v>
      </c>
      <c r="O92" s="135" t="s">
        <v>856</v>
      </c>
      <c r="P92" s="135" t="s">
        <v>857</v>
      </c>
      <c r="Q92" s="135" t="s">
        <v>86</v>
      </c>
      <c r="R92" s="135" t="s">
        <v>858</v>
      </c>
      <c r="S92" s="135" t="s">
        <v>111</v>
      </c>
      <c r="T92" s="135" t="s">
        <v>1</v>
      </c>
      <c r="U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V92" s="146">
        <f>IF(T92="","",VALUE(LEFT(T92,SEARCH("/",T92)-1)))</f>
        <v/>
      </c>
      <c r="W92" s="146">
        <f>IF(T92="","",VALUE(MID(T92,SEARCH("/",T92)+1,LEN(T92))))</f>
        <v/>
      </c>
    </row>
    <row r="93" customFormat="false" ht="15" hidden="false" customHeight="false" outlineLevel="0" collapsed="false">
      <c r="A93" s="135" t="s">
        <v>859</v>
      </c>
      <c r="B93" s="135" t="s">
        <v>840</v>
      </c>
      <c r="C93" s="258" t="s">
        <v>46</v>
      </c>
      <c r="D93" s="135" t="s">
        <v>860</v>
      </c>
      <c r="E93" s="135" t="s">
        <v>861</v>
      </c>
      <c r="F93" s="135" t="s">
        <v>862</v>
      </c>
      <c r="G93" s="135" t="s">
        <v>863</v>
      </c>
      <c r="H93" s="135" t="s">
        <v>4</v>
      </c>
      <c r="I93" s="135" t="s">
        <v>4</v>
      </c>
      <c r="J93" s="135" t="s">
        <v>864</v>
      </c>
      <c r="K93" s="135" t="s">
        <v>82</v>
      </c>
      <c r="L93" s="135" t="s">
        <v>86</v>
      </c>
      <c r="M93" s="135" t="s">
        <v>787</v>
      </c>
      <c r="N93" s="135" t="s">
        <v>83</v>
      </c>
      <c r="O93" s="135" t="s">
        <v>865</v>
      </c>
      <c r="P93" s="135" t="s">
        <v>866</v>
      </c>
      <c r="Q93" s="135" t="s">
        <v>86</v>
      </c>
      <c r="R93" s="135" t="s">
        <v>867</v>
      </c>
      <c r="S93" s="135" t="s">
        <v>328</v>
      </c>
      <c r="T93" s="135" t="s">
        <v>1</v>
      </c>
      <c r="U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V93" s="146">
        <f>IF(T93="","",VALUE(LEFT(T93,SEARCH("/",T93)-1)))</f>
        <v/>
      </c>
      <c r="W93" s="146">
        <f>IF(T93="","",VALUE(MID(T93,SEARCH("/",T93)+1,LEN(T93))))</f>
        <v/>
      </c>
    </row>
    <row r="94" customFormat="false" ht="15" hidden="false" customHeight="false" outlineLevel="0" collapsed="false">
      <c r="A94" s="135" t="s">
        <v>868</v>
      </c>
      <c r="B94" s="135" t="s">
        <v>840</v>
      </c>
      <c r="C94" s="258" t="s">
        <v>46</v>
      </c>
      <c r="D94" s="135" t="s">
        <v>869</v>
      </c>
      <c r="E94" s="135" t="s">
        <v>870</v>
      </c>
      <c r="F94" s="135" t="s">
        <v>871</v>
      </c>
      <c r="G94" s="135" t="s">
        <v>872</v>
      </c>
      <c r="H94" s="135" t="s">
        <v>4</v>
      </c>
      <c r="I94" s="135" t="s">
        <v>4</v>
      </c>
      <c r="J94" s="135" t="s">
        <v>873</v>
      </c>
      <c r="K94" s="135" t="s">
        <v>82</v>
      </c>
      <c r="L94" s="135" t="s">
        <v>86</v>
      </c>
      <c r="M94" s="135" t="s">
        <v>787</v>
      </c>
      <c r="N94" s="135" t="s">
        <v>83</v>
      </c>
      <c r="O94" s="135" t="s">
        <v>874</v>
      </c>
      <c r="P94" s="135" t="s">
        <v>875</v>
      </c>
      <c r="Q94" s="135" t="s">
        <v>86</v>
      </c>
      <c r="R94" s="135" t="s">
        <v>876</v>
      </c>
      <c r="S94" s="135" t="s">
        <v>328</v>
      </c>
      <c r="T94" s="135" t="s">
        <v>1</v>
      </c>
      <c r="U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V94" s="146">
        <f>IF(T94="","",VALUE(LEFT(T94,SEARCH("/",T94)-1)))</f>
        <v/>
      </c>
      <c r="W94" s="146">
        <f>IF(T94="","",VALUE(MID(T94,SEARCH("/",T94)+1,LEN(T94))))</f>
        <v/>
      </c>
    </row>
    <row r="95" customFormat="false" ht="15" hidden="false" customHeight="false" outlineLevel="0" collapsed="false">
      <c r="A95" s="135" t="s">
        <v>877</v>
      </c>
      <c r="B95" s="135" t="s">
        <v>659</v>
      </c>
      <c r="C95" s="258" t="s">
        <v>46</v>
      </c>
      <c r="D95" s="135" t="s">
        <v>58</v>
      </c>
      <c r="E95" s="135" t="s">
        <v>878</v>
      </c>
      <c r="F95" s="135" t="s">
        <v>879</v>
      </c>
      <c r="G95" s="135" t="s">
        <v>880</v>
      </c>
      <c r="H95" s="135" t="s">
        <v>4</v>
      </c>
      <c r="I95" s="135" t="s">
        <v>881</v>
      </c>
      <c r="J95" s="135" t="s">
        <v>882</v>
      </c>
      <c r="K95" s="135" t="s">
        <v>188</v>
      </c>
      <c r="L95" s="135" t="s">
        <v>1</v>
      </c>
      <c r="M95" s="135" t="s">
        <v>1</v>
      </c>
      <c r="N95" s="135" t="s">
        <v>423</v>
      </c>
      <c r="O95" s="135" t="s">
        <v>883</v>
      </c>
      <c r="P95" s="135" t="s">
        <v>884</v>
      </c>
      <c r="Q95" s="135" t="s">
        <v>86</v>
      </c>
      <c r="R95" s="135" t="s">
        <v>885</v>
      </c>
      <c r="S95" s="135" t="s">
        <v>886</v>
      </c>
      <c r="T95" s="135" t="s">
        <v>1</v>
      </c>
      <c r="U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V95" s="146">
        <f>IF(T95="","",VALUE(LEFT(T95,SEARCH("/",T95)-1)))</f>
        <v/>
      </c>
      <c r="W95" s="146">
        <f>IF(T95="","",VALUE(MID(T95,SEARCH("/",T95)+1,LEN(T95))))</f>
        <v/>
      </c>
    </row>
    <row r="96" customFormat="false" ht="15" hidden="false" customHeight="false" outlineLevel="0" collapsed="false">
      <c r="A96" s="135" t="s">
        <v>887</v>
      </c>
      <c r="B96" s="135" t="s">
        <v>768</v>
      </c>
      <c r="C96" s="259" t="s">
        <v>26</v>
      </c>
      <c r="D96" s="135" t="s">
        <v>888</v>
      </c>
      <c r="E96" s="135" t="s">
        <v>889</v>
      </c>
      <c r="F96" s="135" t="s">
        <v>890</v>
      </c>
      <c r="G96" s="135" t="s">
        <v>891</v>
      </c>
      <c r="H96" s="135" t="s">
        <v>4</v>
      </c>
      <c r="I96" s="135" t="s">
        <v>4</v>
      </c>
      <c r="J96" s="135" t="s">
        <v>892</v>
      </c>
      <c r="K96" s="135" t="s">
        <v>82</v>
      </c>
      <c r="L96" s="135" t="s">
        <v>86</v>
      </c>
      <c r="M96" s="135" t="s">
        <v>893</v>
      </c>
      <c r="N96" s="135" t="s">
        <v>894</v>
      </c>
      <c r="O96" s="135" t="s">
        <v>895</v>
      </c>
      <c r="P96" s="135" t="s">
        <v>896</v>
      </c>
      <c r="Q96" s="135" t="s">
        <v>86</v>
      </c>
      <c r="R96" s="135" t="s">
        <v>897</v>
      </c>
      <c r="S96" s="135" t="s">
        <v>111</v>
      </c>
      <c r="T96" s="135" t="s">
        <v>1</v>
      </c>
      <c r="U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V96" s="146">
        <f>IF(T96="","",VALUE(LEFT(T96,SEARCH("/",T96)-1)))</f>
        <v/>
      </c>
      <c r="W96" s="146">
        <f>IF(T96="","",VALUE(MID(T96,SEARCH("/",T96)+1,LEN(T96))))</f>
        <v/>
      </c>
    </row>
    <row r="97" customFormat="false" ht="15" hidden="false" customHeight="false" outlineLevel="0" collapsed="false">
      <c r="A97" s="135" t="s">
        <v>898</v>
      </c>
      <c r="B97" s="135" t="s">
        <v>768</v>
      </c>
      <c r="C97" s="259" t="s">
        <v>26</v>
      </c>
      <c r="D97" s="135" t="s">
        <v>899</v>
      </c>
      <c r="E97" s="135" t="s">
        <v>900</v>
      </c>
      <c r="F97" s="135" t="s">
        <v>901</v>
      </c>
      <c r="G97" s="135" t="s">
        <v>902</v>
      </c>
      <c r="H97" s="135" t="s">
        <v>903</v>
      </c>
      <c r="I97" s="135" t="s">
        <v>904</v>
      </c>
      <c r="J97" s="135" t="s">
        <v>905</v>
      </c>
      <c r="K97" s="135" t="s">
        <v>82</v>
      </c>
      <c r="L97" s="135" t="s">
        <v>86</v>
      </c>
      <c r="M97" s="135" t="s">
        <v>893</v>
      </c>
      <c r="N97" s="135" t="s">
        <v>894</v>
      </c>
      <c r="O97" s="135" t="s">
        <v>906</v>
      </c>
      <c r="P97" s="135" t="s">
        <v>907</v>
      </c>
      <c r="Q97" s="135" t="s">
        <v>86</v>
      </c>
      <c r="R97" s="135" t="s">
        <v>908</v>
      </c>
      <c r="S97" s="135" t="s">
        <v>328</v>
      </c>
      <c r="T97" s="135" t="s">
        <v>1</v>
      </c>
      <c r="U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V97" s="146">
        <f>IF(T97="","",VALUE(LEFT(T97,SEARCH("/",T97)-1)))</f>
        <v/>
      </c>
      <c r="W97" s="146">
        <f>IF(T97="","",VALUE(MID(T97,SEARCH("/",T97)+1,LEN(T97))))</f>
        <v/>
      </c>
    </row>
    <row r="98" customFormat="false" ht="15" hidden="false" customHeight="false" outlineLevel="0" collapsed="false">
      <c r="A98" s="135" t="s">
        <v>909</v>
      </c>
      <c r="B98" s="135" t="s">
        <v>155</v>
      </c>
      <c r="C98" s="259" t="s">
        <v>26</v>
      </c>
      <c r="D98" s="135" t="s">
        <v>910</v>
      </c>
      <c r="E98" s="135" t="s">
        <v>911</v>
      </c>
      <c r="F98" s="135" t="s">
        <v>912</v>
      </c>
      <c r="G98" s="135" t="s">
        <v>913</v>
      </c>
      <c r="H98" s="135" t="s">
        <v>4</v>
      </c>
      <c r="I98" s="135" t="s">
        <v>914</v>
      </c>
      <c r="J98" s="135" t="s">
        <v>915</v>
      </c>
      <c r="K98" s="135" t="s">
        <v>82</v>
      </c>
      <c r="L98" s="135" t="s">
        <v>86</v>
      </c>
      <c r="M98" s="135" t="s">
        <v>893</v>
      </c>
      <c r="N98" s="135" t="s">
        <v>894</v>
      </c>
      <c r="O98" s="135" t="s">
        <v>916</v>
      </c>
      <c r="P98" s="135" t="s">
        <v>917</v>
      </c>
      <c r="Q98" s="135" t="s">
        <v>86</v>
      </c>
      <c r="R98" s="135" t="s">
        <v>918</v>
      </c>
      <c r="S98" s="135" t="s">
        <v>248</v>
      </c>
      <c r="T98" s="135" t="s">
        <v>1</v>
      </c>
      <c r="U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Done</v>
      </c>
      <c r="V98" s="146">
        <f>IF(T98="","",VALUE(LEFT(T98,SEARCH("/",T98)-1)))</f>
        <v/>
      </c>
      <c r="W98" s="146">
        <f>IF(T98="","",VALUE(MID(T98,SEARCH("/",T98)+1,LEN(T98))))</f>
        <v/>
      </c>
    </row>
    <row r="99" customFormat="false" ht="15" hidden="false" customHeight="false" outlineLevel="0" collapsed="false">
      <c r="A99" s="136" t="s">
        <v>919</v>
      </c>
      <c r="B99" s="136" t="s">
        <v>155</v>
      </c>
      <c r="C99" s="259" t="s">
        <v>26</v>
      </c>
      <c r="D99" s="136" t="s">
        <v>920</v>
      </c>
      <c r="E99" s="136" t="s">
        <v>921</v>
      </c>
      <c r="F99" s="136" t="s">
        <v>922</v>
      </c>
      <c r="G99" s="136" t="s">
        <v>923</v>
      </c>
      <c r="H99" s="136" t="s">
        <v>4</v>
      </c>
      <c r="I99" s="136" t="s">
        <v>924</v>
      </c>
      <c r="J99" s="136" t="s">
        <v>925</v>
      </c>
      <c r="K99" s="136" t="s">
        <v>926</v>
      </c>
      <c r="L99" s="136" t="s">
        <v>1</v>
      </c>
      <c r="M99" s="136" t="s">
        <v>1</v>
      </c>
      <c r="N99" s="136" t="s">
        <v>927</v>
      </c>
      <c r="O99" s="136" t="s">
        <v>928</v>
      </c>
      <c r="P99" s="136" t="s">
        <v>929</v>
      </c>
      <c r="Q99" s="136" t="s">
        <v>1</v>
      </c>
      <c r="R99" s="136" t="s">
        <v>930</v>
      </c>
      <c r="S99" s="136" t="s">
        <v>931</v>
      </c>
      <c r="T99" s="136" t="s">
        <v>932</v>
      </c>
      <c r="U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Pending</v>
      </c>
      <c r="V99" s="146">
        <f>IF(T99="","",VALUE(LEFT(T99,SEARCH("/",T99)-1)))</f>
        <v>70</v>
      </c>
      <c r="W99" s="146">
        <f>IF(T99="","",VALUE(MID(T99,SEARCH("/",T99)+1,LEN(T99))))</f>
        <v>165</v>
      </c>
    </row>
    <row r="100" customFormat="false" ht="15" hidden="false" customHeight="false" outlineLevel="0" collapsed="false">
      <c r="A100" s="135" t="s">
        <v>933</v>
      </c>
      <c r="B100" s="135" t="s">
        <v>180</v>
      </c>
      <c r="C100" s="259" t="s">
        <v>26</v>
      </c>
      <c r="D100" s="135" t="s">
        <v>934</v>
      </c>
      <c r="E100" s="135" t="s">
        <v>935</v>
      </c>
      <c r="F100" s="135" t="s">
        <v>936</v>
      </c>
      <c r="G100" s="135" t="s">
        <v>937</v>
      </c>
      <c r="H100" s="135" t="s">
        <v>938</v>
      </c>
      <c r="I100" s="135" t="s">
        <v>939</v>
      </c>
      <c r="J100" s="135" t="s">
        <v>940</v>
      </c>
      <c r="K100" s="135" t="s">
        <v>82</v>
      </c>
      <c r="L100" s="135" t="s">
        <v>1</v>
      </c>
      <c r="M100" s="135" t="s">
        <v>1</v>
      </c>
      <c r="N100" s="135" t="s">
        <v>927</v>
      </c>
      <c r="O100" s="135" t="s">
        <v>941</v>
      </c>
      <c r="P100" s="135" t="s">
        <v>942</v>
      </c>
      <c r="Q100" s="135" t="s">
        <v>86</v>
      </c>
      <c r="R100" s="135" t="s">
        <v>943</v>
      </c>
      <c r="S100" s="135" t="s">
        <v>88</v>
      </c>
      <c r="T100" s="135" t="s">
        <v>1</v>
      </c>
      <c r="U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Done</v>
      </c>
      <c r="V100" s="146">
        <f>IF(T100="","",VALUE(LEFT(T100,SEARCH("/",T100)-1)))</f>
        <v/>
      </c>
      <c r="W100" s="146">
        <f>IF(T100="","",VALUE(MID(T100,SEARCH("/",T100)+1,LEN(T100))))</f>
        <v/>
      </c>
    </row>
    <row r="101" customFormat="false" ht="15" hidden="false" customHeight="false" outlineLevel="0" collapsed="false">
      <c r="A101" s="136" t="s">
        <v>944</v>
      </c>
      <c r="B101" s="136" t="s">
        <v>945</v>
      </c>
      <c r="C101" s="259" t="s">
        <v>26</v>
      </c>
      <c r="D101" s="136" t="s">
        <v>946</v>
      </c>
      <c r="E101" s="136" t="s">
        <v>947</v>
      </c>
      <c r="F101" s="136" t="s">
        <v>948</v>
      </c>
      <c r="G101" s="136" t="s">
        <v>949</v>
      </c>
      <c r="H101" s="136" t="s">
        <v>4</v>
      </c>
      <c r="I101" s="136" t="s">
        <v>950</v>
      </c>
      <c r="J101" s="136" t="s">
        <v>951</v>
      </c>
      <c r="K101" s="136" t="s">
        <v>952</v>
      </c>
      <c r="L101" s="136" t="s">
        <v>1</v>
      </c>
      <c r="M101" s="136" t="s">
        <v>1</v>
      </c>
      <c r="N101" s="136" t="s">
        <v>927</v>
      </c>
      <c r="O101" s="136" t="s">
        <v>953</v>
      </c>
      <c r="P101" s="136" t="s">
        <v>954</v>
      </c>
      <c r="Q101" s="136" t="s">
        <v>1</v>
      </c>
      <c r="R101" s="136" t="s">
        <v>955</v>
      </c>
      <c r="S101" s="136" t="s">
        <v>111</v>
      </c>
      <c r="T101" s="136" t="s">
        <v>956</v>
      </c>
      <c r="U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Pending</v>
      </c>
      <c r="V101" s="146">
        <f>IF(T101="","",VALUE(LEFT(T101,SEARCH("/",T101)-1)))</f>
        <v>65</v>
      </c>
      <c r="W101" s="146">
        <f>IF(T101="","",VALUE(MID(T101,SEARCH("/",T101)+1,LEN(T101))))</f>
        <v>155</v>
      </c>
    </row>
    <row r="102" customFormat="false" ht="15" hidden="false" customHeight="false" outlineLevel="0" collapsed="false">
      <c r="A102" s="135" t="s">
        <v>957</v>
      </c>
      <c r="B102" s="135" t="s">
        <v>155</v>
      </c>
      <c r="C102" s="259" t="s">
        <v>26</v>
      </c>
      <c r="D102" s="135" t="s">
        <v>958</v>
      </c>
      <c r="E102" s="135" t="s">
        <v>959</v>
      </c>
      <c r="F102" s="135" t="s">
        <v>960</v>
      </c>
      <c r="G102" s="135" t="s">
        <v>961</v>
      </c>
      <c r="H102" s="135" t="s">
        <v>4</v>
      </c>
      <c r="I102" s="135" t="s">
        <v>962</v>
      </c>
      <c r="J102" s="135" t="s">
        <v>963</v>
      </c>
      <c r="K102" s="135" t="s">
        <v>82</v>
      </c>
      <c r="L102" s="135" t="s">
        <v>86</v>
      </c>
      <c r="M102" s="135" t="s">
        <v>86</v>
      </c>
      <c r="N102" s="135" t="s">
        <v>964</v>
      </c>
      <c r="O102" s="135" t="s">
        <v>965</v>
      </c>
      <c r="P102" s="135" t="s">
        <v>966</v>
      </c>
      <c r="Q102" s="135" t="s">
        <v>86</v>
      </c>
      <c r="R102" s="135" t="s">
        <v>967</v>
      </c>
      <c r="S102" s="135" t="s">
        <v>248</v>
      </c>
      <c r="T102" s="135" t="s">
        <v>1</v>
      </c>
      <c r="U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Done</v>
      </c>
      <c r="V102" s="146">
        <f>IF(T102="","",VALUE(LEFT(T102,SEARCH("/",T102)-1)))</f>
        <v/>
      </c>
      <c r="W102" s="146">
        <f>IF(T102="","",VALUE(MID(T102,SEARCH("/",T102)+1,LEN(T102))))</f>
        <v/>
      </c>
    </row>
    <row r="103" customFormat="false" ht="15" hidden="false" customHeight="false" outlineLevel="0" collapsed="false">
      <c r="A103" s="135" t="s">
        <v>968</v>
      </c>
      <c r="B103" s="135" t="s">
        <v>180</v>
      </c>
      <c r="C103" s="261" t="s">
        <v>32</v>
      </c>
      <c r="D103" s="135" t="s">
        <v>969</v>
      </c>
      <c r="E103" s="135" t="s">
        <v>970</v>
      </c>
      <c r="F103" s="135" t="s">
        <v>4</v>
      </c>
      <c r="G103" s="135" t="s">
        <v>4</v>
      </c>
      <c r="H103" s="135" t="s">
        <v>4</v>
      </c>
      <c r="I103" s="135" t="s">
        <v>4</v>
      </c>
      <c r="J103" s="135" t="s">
        <v>971</v>
      </c>
      <c r="K103" s="135" t="s">
        <v>685</v>
      </c>
      <c r="L103" s="135" t="s">
        <v>1</v>
      </c>
      <c r="M103" s="135" t="s">
        <v>1</v>
      </c>
      <c r="N103" s="135" t="s">
        <v>423</v>
      </c>
      <c r="O103" s="135" t="s">
        <v>972</v>
      </c>
      <c r="P103" s="135" t="s">
        <v>973</v>
      </c>
      <c r="Q103" s="135" t="s">
        <v>86</v>
      </c>
      <c r="R103" s="135" t="s">
        <v>974</v>
      </c>
      <c r="S103" s="135" t="s">
        <v>248</v>
      </c>
      <c r="T103" s="135" t="s">
        <v>1</v>
      </c>
      <c r="U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Done</v>
      </c>
      <c r="V103" s="146">
        <f>IF(T103="","",VALUE(LEFT(T103,SEARCH("/",T103)-1)))</f>
        <v/>
      </c>
      <c r="W103" s="146">
        <f>IF(T103="","",VALUE(MID(T103,SEARCH("/",T103)+1,LEN(T103))))</f>
        <v/>
      </c>
    </row>
    <row r="104" customFormat="false" ht="15" hidden="false" customHeight="false" outlineLevel="0" collapsed="false">
      <c r="A104" s="135" t="s">
        <v>975</v>
      </c>
      <c r="B104" s="135" t="s">
        <v>180</v>
      </c>
      <c r="C104" s="261" t="s">
        <v>32</v>
      </c>
      <c r="D104" s="135" t="s">
        <v>976</v>
      </c>
      <c r="E104" s="135" t="s">
        <v>977</v>
      </c>
      <c r="F104" s="135" t="s">
        <v>4</v>
      </c>
      <c r="G104" s="135" t="s">
        <v>4</v>
      </c>
      <c r="H104" s="135" t="s">
        <v>4</v>
      </c>
      <c r="I104" s="135" t="s">
        <v>4</v>
      </c>
      <c r="J104" s="135" t="s">
        <v>978</v>
      </c>
      <c r="K104" s="135" t="s">
        <v>685</v>
      </c>
      <c r="L104" s="135" t="s">
        <v>1</v>
      </c>
      <c r="M104" s="135" t="s">
        <v>1</v>
      </c>
      <c r="N104" s="135" t="s">
        <v>423</v>
      </c>
      <c r="O104" s="135" t="s">
        <v>979</v>
      </c>
      <c r="P104" s="135" t="s">
        <v>980</v>
      </c>
      <c r="Q104" s="135" t="s">
        <v>86</v>
      </c>
      <c r="R104" s="135" t="s">
        <v>981</v>
      </c>
      <c r="S104" s="135" t="s">
        <v>317</v>
      </c>
      <c r="T104" s="135" t="s">
        <v>1</v>
      </c>
      <c r="U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Done</v>
      </c>
      <c r="V104" s="146">
        <f>IF(T104="","",VALUE(LEFT(T104,SEARCH("/",T104)-1)))</f>
        <v/>
      </c>
      <c r="W104" s="146">
        <f>IF(T104="","",VALUE(MID(T104,SEARCH("/",T104)+1,LEN(T104))))</f>
        <v/>
      </c>
    </row>
    <row r="105" customFormat="false" ht="15" hidden="false" customHeight="false" outlineLevel="0" collapsed="false">
      <c r="A105" s="135" t="s">
        <v>982</v>
      </c>
      <c r="B105" s="135" t="s">
        <v>155</v>
      </c>
      <c r="C105" s="261" t="s">
        <v>32</v>
      </c>
      <c r="D105" s="135" t="s">
        <v>983</v>
      </c>
      <c r="E105" s="135" t="s">
        <v>984</v>
      </c>
      <c r="F105" s="135" t="s">
        <v>985</v>
      </c>
      <c r="G105" s="135" t="s">
        <v>986</v>
      </c>
      <c r="H105" s="135" t="s">
        <v>4</v>
      </c>
      <c r="I105" s="135" t="s">
        <v>4</v>
      </c>
      <c r="J105" s="135" t="s">
        <v>987</v>
      </c>
      <c r="K105" s="135" t="s">
        <v>82</v>
      </c>
      <c r="L105" s="135" t="s">
        <v>86</v>
      </c>
      <c r="M105" s="135" t="s">
        <v>86</v>
      </c>
      <c r="N105" s="135" t="s">
        <v>964</v>
      </c>
      <c r="O105" s="135" t="s">
        <v>988</v>
      </c>
      <c r="P105" s="135" t="s">
        <v>989</v>
      </c>
      <c r="Q105" s="135" t="s">
        <v>86</v>
      </c>
      <c r="R105" s="135" t="s">
        <v>990</v>
      </c>
      <c r="S105" s="135" t="s">
        <v>991</v>
      </c>
      <c r="T105" s="135" t="s">
        <v>1</v>
      </c>
      <c r="U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Done</v>
      </c>
      <c r="V105" s="146">
        <f>IF(T105="","",VALUE(LEFT(T105,SEARCH("/",T105)-1)))</f>
        <v/>
      </c>
      <c r="W105" s="146">
        <f>IF(T105="","",VALUE(MID(T105,SEARCH("/",T105)+1,LEN(T105))))</f>
        <v/>
      </c>
    </row>
    <row r="106" customFormat="false" ht="15" hidden="false" customHeight="false" outlineLevel="0" collapsed="false">
      <c r="A106" s="135" t="s">
        <v>992</v>
      </c>
      <c r="B106" s="135" t="s">
        <v>155</v>
      </c>
      <c r="C106" s="255" t="s">
        <v>38</v>
      </c>
      <c r="D106" s="135" t="s">
        <v>993</v>
      </c>
      <c r="E106" s="135" t="s">
        <v>994</v>
      </c>
      <c r="F106" s="135" t="s">
        <v>995</v>
      </c>
      <c r="G106" s="135" t="s">
        <v>996</v>
      </c>
      <c r="H106" s="135" t="s">
        <v>4</v>
      </c>
      <c r="I106" s="135" t="s">
        <v>997</v>
      </c>
      <c r="J106" s="135" t="s">
        <v>998</v>
      </c>
      <c r="K106" s="135" t="s">
        <v>999</v>
      </c>
      <c r="L106" s="135" t="s">
        <v>1</v>
      </c>
      <c r="M106" s="135" t="s">
        <v>1</v>
      </c>
      <c r="N106" s="135" t="s">
        <v>1000</v>
      </c>
      <c r="O106" s="135" t="s">
        <v>1001</v>
      </c>
      <c r="P106" s="135" t="s">
        <v>1002</v>
      </c>
      <c r="Q106" s="135" t="s">
        <v>86</v>
      </c>
      <c r="R106" s="135" t="s">
        <v>1003</v>
      </c>
      <c r="S106" s="135" t="s">
        <v>111</v>
      </c>
      <c r="T106" s="135" t="s">
        <v>1</v>
      </c>
      <c r="U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Done</v>
      </c>
      <c r="V106" s="146">
        <f>IF(T106="","",VALUE(LEFT(T106,SEARCH("/",T106)-1)))</f>
        <v/>
      </c>
      <c r="W106" s="146">
        <f>IF(T106="","",VALUE(MID(T106,SEARCH("/",T106)+1,LEN(T106))))</f>
        <v/>
      </c>
    </row>
    <row r="107" customFormat="false" ht="15" hidden="false" customHeight="false" outlineLevel="0" collapsed="false">
      <c r="A107" s="136" t="s">
        <v>1004</v>
      </c>
      <c r="B107" s="136" t="s">
        <v>155</v>
      </c>
      <c r="C107" s="255" t="s">
        <v>38</v>
      </c>
      <c r="D107" s="136" t="s">
        <v>1005</v>
      </c>
      <c r="E107" s="136" t="s">
        <v>1006</v>
      </c>
      <c r="F107" s="136" t="s">
        <v>1007</v>
      </c>
      <c r="G107" s="136" t="s">
        <v>1008</v>
      </c>
      <c r="H107" s="136" t="s">
        <v>1009</v>
      </c>
      <c r="I107" s="136" t="s">
        <v>1010</v>
      </c>
      <c r="J107" s="136" t="s">
        <v>1011</v>
      </c>
      <c r="K107" s="136" t="s">
        <v>1012</v>
      </c>
      <c r="L107" s="136" t="s">
        <v>1</v>
      </c>
      <c r="M107" s="136" t="s">
        <v>1</v>
      </c>
      <c r="N107" s="136" t="s">
        <v>1000</v>
      </c>
      <c r="O107" s="136" t="s">
        <v>1013</v>
      </c>
      <c r="P107" s="136" t="s">
        <v>1014</v>
      </c>
      <c r="Q107" s="136" t="s">
        <v>1012</v>
      </c>
      <c r="R107" s="136" t="s">
        <v>1015</v>
      </c>
      <c r="S107" s="136" t="s">
        <v>260</v>
      </c>
      <c r="T107" s="136" t="s">
        <v>1016</v>
      </c>
      <c r="U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Pending</v>
      </c>
      <c r="V107" s="146">
        <f>IF(T107="","",VALUE(LEFT(T107,SEARCH("/",T107)-1)))</f>
        <v>55</v>
      </c>
      <c r="W107" s="146">
        <f>IF(T107="","",VALUE(MID(T107,SEARCH("/",T107)+1,LEN(T107))))</f>
        <v>130</v>
      </c>
    </row>
    <row r="108" customFormat="false" ht="15" hidden="false" customHeight="false" outlineLevel="0" collapsed="false">
      <c r="A108" s="135" t="s">
        <v>1017</v>
      </c>
      <c r="B108" s="135" t="s">
        <v>169</v>
      </c>
      <c r="C108" s="255" t="s">
        <v>38</v>
      </c>
      <c r="D108" s="135" t="s">
        <v>1018</v>
      </c>
      <c r="E108" s="135" t="s">
        <v>1019</v>
      </c>
      <c r="F108" s="135" t="s">
        <v>4</v>
      </c>
      <c r="G108" s="135" t="s">
        <v>1020</v>
      </c>
      <c r="H108" s="135" t="s">
        <v>4</v>
      </c>
      <c r="I108" s="135" t="s">
        <v>8</v>
      </c>
      <c r="J108" s="135" t="s">
        <v>1021</v>
      </c>
      <c r="K108" s="135" t="s">
        <v>86</v>
      </c>
      <c r="L108" s="135" t="s">
        <v>1</v>
      </c>
      <c r="M108" s="135" t="s">
        <v>1</v>
      </c>
      <c r="N108" s="135" t="s">
        <v>1000</v>
      </c>
      <c r="O108" s="135" t="s">
        <v>1022</v>
      </c>
      <c r="P108" s="135" t="s">
        <v>1023</v>
      </c>
      <c r="Q108" s="135" t="s">
        <v>86</v>
      </c>
      <c r="R108" s="135" t="s">
        <v>1024</v>
      </c>
      <c r="S108" s="135" t="s">
        <v>827</v>
      </c>
      <c r="T108" s="135" t="s">
        <v>1</v>
      </c>
      <c r="U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Done</v>
      </c>
      <c r="V108" s="146">
        <f>IF(T108="","",VALUE(LEFT(T108,SEARCH("/",T108)-1)))</f>
        <v/>
      </c>
      <c r="W108" s="146">
        <f>IF(T108="","",VALUE(MID(T108,SEARCH("/",T108)+1,LEN(T108))))</f>
        <v/>
      </c>
    </row>
    <row r="109" customFormat="false" ht="15" hidden="false" customHeight="false" outlineLevel="0" collapsed="false">
      <c r="A109" s="135" t="s">
        <v>1025</v>
      </c>
      <c r="B109" s="135" t="s">
        <v>155</v>
      </c>
      <c r="C109" s="255" t="s">
        <v>38</v>
      </c>
      <c r="D109" s="135" t="s">
        <v>1026</v>
      </c>
      <c r="E109" s="135" t="s">
        <v>1027</v>
      </c>
      <c r="F109" s="135" t="s">
        <v>1028</v>
      </c>
      <c r="G109" s="135" t="s">
        <v>1029</v>
      </c>
      <c r="H109" s="135" t="s">
        <v>4</v>
      </c>
      <c r="I109" s="135" t="s">
        <v>1030</v>
      </c>
      <c r="J109" s="135" t="s">
        <v>1031</v>
      </c>
      <c r="K109" s="135" t="s">
        <v>86</v>
      </c>
      <c r="L109" s="135" t="s">
        <v>1</v>
      </c>
      <c r="M109" s="135" t="s">
        <v>1</v>
      </c>
      <c r="N109" s="135" t="s">
        <v>1000</v>
      </c>
      <c r="O109" s="135" t="s">
        <v>1032</v>
      </c>
      <c r="P109" s="135" t="s">
        <v>1033</v>
      </c>
      <c r="Q109" s="135" t="s">
        <v>86</v>
      </c>
      <c r="R109" s="135" t="s">
        <v>1034</v>
      </c>
      <c r="S109" s="135" t="s">
        <v>328</v>
      </c>
      <c r="T109" s="135" t="s">
        <v>1</v>
      </c>
      <c r="U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Done</v>
      </c>
      <c r="V109" s="146">
        <f>IF(T109="","",VALUE(LEFT(T109,SEARCH("/",T109)-1)))</f>
        <v/>
      </c>
      <c r="W109" s="146">
        <f>IF(T109="","",VALUE(MID(T109,SEARCH("/",T109)+1,LEN(T109))))</f>
        <v/>
      </c>
    </row>
    <row r="110" customFormat="false" ht="15" hidden="false" customHeight="false" outlineLevel="0" collapsed="false">
      <c r="A110" s="135" t="s">
        <v>1035</v>
      </c>
      <c r="B110" s="135" t="s">
        <v>155</v>
      </c>
      <c r="C110" s="255" t="s">
        <v>38</v>
      </c>
      <c r="D110" s="135" t="s">
        <v>1036</v>
      </c>
      <c r="E110" s="135" t="s">
        <v>1037</v>
      </c>
      <c r="F110" s="135" t="s">
        <v>1038</v>
      </c>
      <c r="G110" s="135" t="s">
        <v>1039</v>
      </c>
      <c r="H110" s="135" t="s">
        <v>4</v>
      </c>
      <c r="I110" s="135" t="s">
        <v>1040</v>
      </c>
      <c r="J110" s="135" t="s">
        <v>1041</v>
      </c>
      <c r="K110" s="135" t="s">
        <v>1042</v>
      </c>
      <c r="L110" s="135" t="s">
        <v>1</v>
      </c>
      <c r="M110" s="135" t="s">
        <v>1</v>
      </c>
      <c r="N110" s="135" t="s">
        <v>1000</v>
      </c>
      <c r="O110" s="135" t="s">
        <v>1043</v>
      </c>
      <c r="P110" s="135" t="s">
        <v>1044</v>
      </c>
      <c r="Q110" s="135" t="s">
        <v>86</v>
      </c>
      <c r="R110" s="135" t="s">
        <v>1045</v>
      </c>
      <c r="S110" s="135" t="s">
        <v>88</v>
      </c>
      <c r="T110" s="135" t="s">
        <v>1</v>
      </c>
      <c r="U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Done</v>
      </c>
      <c r="V110" s="146">
        <f>IF(T110="","",VALUE(LEFT(T110,SEARCH("/",T110)-1)))</f>
        <v/>
      </c>
      <c r="W110" s="146">
        <f>IF(T110="","",VALUE(MID(T110,SEARCH("/",T110)+1,LEN(T110))))</f>
        <v/>
      </c>
    </row>
    <row r="111" customFormat="false" ht="15" hidden="false" customHeight="false" outlineLevel="0" collapsed="false">
      <c r="A111" s="135" t="s">
        <v>1046</v>
      </c>
      <c r="B111" s="135" t="s">
        <v>1047</v>
      </c>
      <c r="C111" s="255" t="s">
        <v>38</v>
      </c>
      <c r="D111" s="135" t="s">
        <v>1048</v>
      </c>
      <c r="E111" s="135" t="s">
        <v>1049</v>
      </c>
      <c r="F111" s="135" t="s">
        <v>4</v>
      </c>
      <c r="G111" s="135" t="s">
        <v>4</v>
      </c>
      <c r="H111" s="135" t="s">
        <v>4</v>
      </c>
      <c r="I111" s="135" t="s">
        <v>1050</v>
      </c>
      <c r="J111" s="135" t="s">
        <v>1051</v>
      </c>
      <c r="K111" s="135" t="s">
        <v>1052</v>
      </c>
      <c r="L111" s="135" t="s">
        <v>1</v>
      </c>
      <c r="M111" s="135" t="s">
        <v>1</v>
      </c>
      <c r="N111" s="135" t="s">
        <v>1053</v>
      </c>
      <c r="O111" s="135" t="s">
        <v>1054</v>
      </c>
      <c r="P111" s="135" t="s">
        <v>1055</v>
      </c>
      <c r="Q111" s="135" t="s">
        <v>86</v>
      </c>
      <c r="R111" s="135" t="s">
        <v>1056</v>
      </c>
      <c r="S111" s="135" t="s">
        <v>1057</v>
      </c>
      <c r="T111" s="135" t="s">
        <v>1</v>
      </c>
      <c r="U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Done</v>
      </c>
      <c r="V111" s="146">
        <f>IF(T111="","",VALUE(LEFT(T111,SEARCH("/",T111)-1)))</f>
        <v/>
      </c>
      <c r="W111" s="146">
        <f>IF(T111="","",VALUE(MID(T111,SEARCH("/",T111)+1,LEN(T111))))</f>
        <v/>
      </c>
    </row>
    <row r="112" customFormat="false" ht="15" hidden="false" customHeight="false" outlineLevel="0" collapsed="false">
      <c r="A112" s="135" t="s">
        <v>1058</v>
      </c>
      <c r="B112" s="135" t="s">
        <v>1059</v>
      </c>
      <c r="C112" s="263" t="s">
        <v>44</v>
      </c>
      <c r="D112" s="135" t="s">
        <v>58</v>
      </c>
      <c r="E112" s="135" t="s">
        <v>1060</v>
      </c>
      <c r="F112" s="135" t="s">
        <v>1061</v>
      </c>
      <c r="G112" s="135" t="s">
        <v>4</v>
      </c>
      <c r="H112" s="135" t="s">
        <v>4</v>
      </c>
      <c r="I112" s="135" t="s">
        <v>4</v>
      </c>
      <c r="J112" s="135" t="s">
        <v>4</v>
      </c>
      <c r="K112" s="135" t="s">
        <v>685</v>
      </c>
      <c r="L112" s="135" t="s">
        <v>1</v>
      </c>
      <c r="M112" s="135" t="s">
        <v>1</v>
      </c>
      <c r="N112" s="135" t="s">
        <v>189</v>
      </c>
      <c r="O112" s="135" t="s">
        <v>1062</v>
      </c>
      <c r="P112" s="135" t="s">
        <v>1063</v>
      </c>
      <c r="Q112" s="135" t="s">
        <v>86</v>
      </c>
      <c r="R112" s="135" t="s">
        <v>1064</v>
      </c>
      <c r="S112" s="135" t="s">
        <v>1065</v>
      </c>
      <c r="T112" s="135" t="s">
        <v>1</v>
      </c>
      <c r="U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Done</v>
      </c>
      <c r="V112" s="146">
        <f>IF(T112="","",VALUE(LEFT(T112,SEARCH("/",T112)-1)))</f>
        <v/>
      </c>
      <c r="W112" s="146">
        <f>IF(T112="","",VALUE(MID(T112,SEARCH("/",T112)+1,LEN(T112))))</f>
        <v/>
      </c>
    </row>
    <row r="113" customFormat="false" ht="15" hidden="false" customHeight="false" outlineLevel="0" collapsed="false">
      <c r="A113" s="138" t="s">
        <v>1066</v>
      </c>
      <c r="B113" s="138" t="s">
        <v>155</v>
      </c>
      <c r="C113" s="263" t="s">
        <v>44</v>
      </c>
      <c r="D113" s="138" t="s">
        <v>1067</v>
      </c>
      <c r="E113" s="138" t="s">
        <v>1068</v>
      </c>
      <c r="F113" s="138" t="s">
        <v>1069</v>
      </c>
      <c r="G113" s="138" t="s">
        <v>1070</v>
      </c>
      <c r="H113" s="138" t="s">
        <v>1071</v>
      </c>
      <c r="I113" s="138" t="s">
        <v>1072</v>
      </c>
      <c r="J113" s="138" t="s">
        <v>1073</v>
      </c>
      <c r="K113" s="138" t="s">
        <v>1074</v>
      </c>
      <c r="L113" s="138" t="s">
        <v>1</v>
      </c>
      <c r="M113" s="138" t="s">
        <v>1</v>
      </c>
      <c r="N113" s="138" t="s">
        <v>1</v>
      </c>
      <c r="O113" s="138" t="s">
        <v>1075</v>
      </c>
      <c r="P113" s="138" t="s">
        <v>1076</v>
      </c>
      <c r="Q113" s="138" t="s">
        <v>1</v>
      </c>
      <c r="R113" s="138" t="s">
        <v>1077</v>
      </c>
      <c r="S113" s="138" t="s">
        <v>248</v>
      </c>
      <c r="T113" s="138" t="s">
        <v>1078</v>
      </c>
      <c r="U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V113" s="146">
        <f>IF(T113="","",VALUE(LEFT(T113,SEARCH("/",T113)-1)))</f>
        <v>75</v>
      </c>
      <c r="W113" s="146">
        <f>IF(T113="","",VALUE(MID(T113,SEARCH("/",T113)+1,LEN(T113))))</f>
        <v>180</v>
      </c>
    </row>
    <row r="114" customFormat="false" ht="15" hidden="false" customHeight="false" outlineLevel="0" collapsed="false">
      <c r="A114" s="136" t="s">
        <v>1079</v>
      </c>
      <c r="B114" s="136" t="s">
        <v>155</v>
      </c>
      <c r="C114" s="263" t="s">
        <v>44</v>
      </c>
      <c r="D114" s="136" t="s">
        <v>1080</v>
      </c>
      <c r="E114" s="136" t="s">
        <v>1081</v>
      </c>
      <c r="F114" s="136" t="s">
        <v>1082</v>
      </c>
      <c r="G114" s="136" t="s">
        <v>1083</v>
      </c>
      <c r="H114" s="136" t="s">
        <v>1084</v>
      </c>
      <c r="I114" s="136" t="s">
        <v>1085</v>
      </c>
      <c r="J114" s="136" t="s">
        <v>1086</v>
      </c>
      <c r="K114" s="136" t="s">
        <v>1087</v>
      </c>
      <c r="L114" s="136" t="s">
        <v>1</v>
      </c>
      <c r="M114" s="136" t="s">
        <v>1</v>
      </c>
      <c r="N114" s="136" t="s">
        <v>189</v>
      </c>
      <c r="O114" s="136" t="s">
        <v>1088</v>
      </c>
      <c r="P114" s="136" t="s">
        <v>1089</v>
      </c>
      <c r="Q114" s="136" t="s">
        <v>1090</v>
      </c>
      <c r="R114" s="136" t="s">
        <v>1091</v>
      </c>
      <c r="S114" s="136" t="s">
        <v>1092</v>
      </c>
      <c r="T114" s="136" t="s">
        <v>1093</v>
      </c>
      <c r="U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Pending</v>
      </c>
      <c r="V114" s="146">
        <f>IF(T114="","",VALUE(LEFT(T114,SEARCH("/",T114)-1)))</f>
        <v>60</v>
      </c>
      <c r="W114" s="146">
        <f>IF(T114="","",VALUE(MID(T114,SEARCH("/",T114)+1,LEN(T114))))</f>
        <v>145</v>
      </c>
    </row>
    <row r="115" customFormat="false" ht="15" hidden="false" customHeight="false" outlineLevel="0" collapsed="false">
      <c r="A115" s="138" t="s">
        <v>1094</v>
      </c>
      <c r="B115" s="138" t="s">
        <v>155</v>
      </c>
      <c r="C115" s="263" t="s">
        <v>44</v>
      </c>
      <c r="D115" s="138" t="s">
        <v>1095</v>
      </c>
      <c r="E115" s="138" t="s">
        <v>1096</v>
      </c>
      <c r="F115" s="138" t="s">
        <v>1097</v>
      </c>
      <c r="G115" s="138" t="s">
        <v>1098</v>
      </c>
      <c r="H115" s="138" t="s">
        <v>1099</v>
      </c>
      <c r="I115" s="138" t="s">
        <v>1100</v>
      </c>
      <c r="J115" s="138" t="s">
        <v>1101</v>
      </c>
      <c r="K115" s="138" t="s">
        <v>1074</v>
      </c>
      <c r="L115" s="138" t="s">
        <v>1</v>
      </c>
      <c r="M115" s="138" t="s">
        <v>1</v>
      </c>
      <c r="N115" s="138" t="s">
        <v>1</v>
      </c>
      <c r="O115" s="138" t="s">
        <v>1102</v>
      </c>
      <c r="P115" s="138" t="s">
        <v>1103</v>
      </c>
      <c r="Q115" s="138" t="s">
        <v>1</v>
      </c>
      <c r="R115" s="138" t="s">
        <v>1104</v>
      </c>
      <c r="S115" s="138" t="s">
        <v>1105</v>
      </c>
      <c r="T115" s="138" t="s">
        <v>1106</v>
      </c>
      <c r="U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V115" s="146">
        <f>IF(T115="","",VALUE(LEFT(T115,SEARCH("/",T115)-1)))</f>
        <v>130</v>
      </c>
      <c r="W115" s="146">
        <f>IF(T115="","",VALUE(MID(T115,SEARCH("/",T115)+1,LEN(T115))))</f>
        <v>310</v>
      </c>
    </row>
    <row r="116" customFormat="false" ht="15" hidden="false" customHeight="false" outlineLevel="0" collapsed="false">
      <c r="A116" s="136" t="s">
        <v>1107</v>
      </c>
      <c r="B116" s="136" t="s">
        <v>155</v>
      </c>
      <c r="C116" s="243" t="s">
        <v>49</v>
      </c>
      <c r="D116" s="136" t="s">
        <v>1108</v>
      </c>
      <c r="E116" s="136" t="s">
        <v>1109</v>
      </c>
      <c r="F116" s="136" t="s">
        <v>4</v>
      </c>
      <c r="G116" s="136" t="s">
        <v>1110</v>
      </c>
      <c r="H116" s="136" t="s">
        <v>4</v>
      </c>
      <c r="I116" s="136" t="s">
        <v>1111</v>
      </c>
      <c r="J116" s="136" t="s">
        <v>1112</v>
      </c>
      <c r="K116" s="136" t="s">
        <v>1113</v>
      </c>
      <c r="L116" s="136" t="s">
        <v>1</v>
      </c>
      <c r="M116" s="136" t="s">
        <v>1</v>
      </c>
      <c r="N116" s="136" t="s">
        <v>1053</v>
      </c>
      <c r="O116" s="136" t="s">
        <v>1114</v>
      </c>
      <c r="P116" s="136" t="s">
        <v>1115</v>
      </c>
      <c r="Q116" s="136" t="s">
        <v>1116</v>
      </c>
      <c r="R116" s="136" t="s">
        <v>1117</v>
      </c>
      <c r="S116" s="136" t="s">
        <v>88</v>
      </c>
      <c r="T116" s="136" t="s">
        <v>1093</v>
      </c>
      <c r="U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Pending</v>
      </c>
      <c r="V116" s="146">
        <f>IF(T116="","",VALUE(LEFT(T116,SEARCH("/",T116)-1)))</f>
        <v>60</v>
      </c>
      <c r="W116" s="146">
        <f>IF(T116="","",VALUE(MID(T116,SEARCH("/",T116)+1,LEN(T116))))</f>
        <v>145</v>
      </c>
    </row>
    <row r="117" customFormat="false" ht="15" hidden="false" customHeight="false" outlineLevel="0" collapsed="false">
      <c r="A117" s="138" t="s">
        <v>1118</v>
      </c>
      <c r="B117" s="138" t="s">
        <v>155</v>
      </c>
      <c r="C117" s="243" t="s">
        <v>49</v>
      </c>
      <c r="D117" s="138" t="s">
        <v>1119</v>
      </c>
      <c r="E117" s="138" t="s">
        <v>1120</v>
      </c>
      <c r="F117" s="138" t="s">
        <v>1121</v>
      </c>
      <c r="G117" s="138" t="s">
        <v>1122</v>
      </c>
      <c r="H117" s="138" t="s">
        <v>1123</v>
      </c>
      <c r="I117" s="138" t="s">
        <v>1124</v>
      </c>
      <c r="J117" s="138" t="s">
        <v>1125</v>
      </c>
      <c r="K117" s="138" t="s">
        <v>1074</v>
      </c>
      <c r="L117" s="138" t="s">
        <v>1</v>
      </c>
      <c r="M117" s="138" t="s">
        <v>1</v>
      </c>
      <c r="N117" s="138" t="s">
        <v>1</v>
      </c>
      <c r="O117" s="138" t="s">
        <v>1126</v>
      </c>
      <c r="P117" s="138" t="s">
        <v>1127</v>
      </c>
      <c r="Q117" s="138" t="s">
        <v>1</v>
      </c>
      <c r="R117" s="138" t="s">
        <v>1128</v>
      </c>
      <c r="S117" s="138" t="s">
        <v>88</v>
      </c>
      <c r="T117" s="138" t="s">
        <v>1078</v>
      </c>
      <c r="U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V117" s="146">
        <f>IF(T117="","",VALUE(LEFT(T117,SEARCH("/",T117)-1)))</f>
        <v>75</v>
      </c>
      <c r="W117" s="146">
        <f>IF(T117="","",VALUE(MID(T117,SEARCH("/",T117)+1,LEN(T117))))</f>
        <v>180</v>
      </c>
    </row>
    <row r="118" customFormat="false" ht="15" hidden="false" customHeight="false" outlineLevel="0" collapsed="false">
      <c r="A118" s="138" t="s">
        <v>1129</v>
      </c>
      <c r="B118" s="138" t="s">
        <v>155</v>
      </c>
      <c r="C118" s="243" t="s">
        <v>49</v>
      </c>
      <c r="D118" s="138" t="s">
        <v>1130</v>
      </c>
      <c r="E118" s="138" t="s">
        <v>1131</v>
      </c>
      <c r="F118" s="138" t="s">
        <v>4</v>
      </c>
      <c r="G118" s="138" t="s">
        <v>1132</v>
      </c>
      <c r="H118" s="138" t="s">
        <v>4</v>
      </c>
      <c r="I118" s="138" t="s">
        <v>1133</v>
      </c>
      <c r="J118" s="138" t="s">
        <v>1134</v>
      </c>
      <c r="K118" s="138" t="s">
        <v>1074</v>
      </c>
      <c r="L118" s="138" t="s">
        <v>1</v>
      </c>
      <c r="M118" s="138" t="s">
        <v>1</v>
      </c>
      <c r="N118" s="138" t="s">
        <v>1</v>
      </c>
      <c r="O118" s="138" t="s">
        <v>1135</v>
      </c>
      <c r="P118" s="138" t="s">
        <v>1136</v>
      </c>
      <c r="Q118" s="138" t="s">
        <v>1</v>
      </c>
      <c r="R118" s="138" t="s">
        <v>1137</v>
      </c>
      <c r="S118" s="138" t="s">
        <v>111</v>
      </c>
      <c r="T118" s="138" t="s">
        <v>1138</v>
      </c>
      <c r="U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V118" s="146">
        <f>IF(T118="","",VALUE(LEFT(T118,SEARCH("/",T118)-1)))</f>
        <v>30</v>
      </c>
      <c r="W118" s="146">
        <f>IF(T118="","",VALUE(MID(T118,SEARCH("/",T118)+1,LEN(T118))))</f>
        <v>80</v>
      </c>
    </row>
    <row r="119" customFormat="false" ht="15" hidden="false" customHeight="false" outlineLevel="0" collapsed="false">
      <c r="A119" s="138" t="s">
        <v>1139</v>
      </c>
      <c r="B119" s="138" t="s">
        <v>155</v>
      </c>
      <c r="C119" s="243" t="s">
        <v>49</v>
      </c>
      <c r="D119" s="138" t="s">
        <v>1140</v>
      </c>
      <c r="E119" s="138" t="s">
        <v>1141</v>
      </c>
      <c r="F119" s="138" t="s">
        <v>1142</v>
      </c>
      <c r="G119" s="138" t="s">
        <v>1143</v>
      </c>
      <c r="H119" s="138" t="s">
        <v>4</v>
      </c>
      <c r="I119" s="138" t="s">
        <v>1144</v>
      </c>
      <c r="J119" s="138" t="s">
        <v>1145</v>
      </c>
      <c r="K119" s="138" t="s">
        <v>1074</v>
      </c>
      <c r="L119" s="138" t="s">
        <v>1</v>
      </c>
      <c r="M119" s="138" t="s">
        <v>1</v>
      </c>
      <c r="N119" s="138" t="s">
        <v>1</v>
      </c>
      <c r="O119" s="138" t="s">
        <v>1146</v>
      </c>
      <c r="P119" s="138" t="s">
        <v>1147</v>
      </c>
      <c r="Q119" s="138" t="s">
        <v>1</v>
      </c>
      <c r="R119" s="138" t="s">
        <v>1148</v>
      </c>
      <c r="S119" s="138" t="s">
        <v>991</v>
      </c>
      <c r="T119" s="138" t="s">
        <v>1138</v>
      </c>
      <c r="U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V119" s="146">
        <f>IF(T119="","",VALUE(LEFT(T119,SEARCH("/",T119)-1)))</f>
        <v>30</v>
      </c>
      <c r="W119" s="146">
        <f>IF(T119="","",VALUE(MID(T119,SEARCH("/",T119)+1,LEN(T119))))</f>
        <v>80</v>
      </c>
    </row>
  </sheetData>
  <mergeCells count="28">
    <mergeCell ref="A1:B1"/>
    <mergeCell ref="A6:T6"/>
    <mergeCell ref="A7:B7"/>
    <mergeCell ref="D7:E7"/>
    <mergeCell ref="F7:G7"/>
    <mergeCell ref="I7:J7"/>
    <mergeCell ref="A8:B8"/>
    <mergeCell ref="D8:E8"/>
    <mergeCell ref="F8:G8"/>
    <mergeCell ref="I8:J8"/>
    <mergeCell ref="A9:B9"/>
    <mergeCell ref="D9:E9"/>
    <mergeCell ref="F9:G9"/>
    <mergeCell ref="I9:J9"/>
    <mergeCell ref="A10:B10"/>
    <mergeCell ref="D10:E10"/>
    <mergeCell ref="F10:G10"/>
    <mergeCell ref="I10:J10"/>
    <mergeCell ref="A11:B11"/>
    <mergeCell ref="D11:E11"/>
    <mergeCell ref="F11:G11"/>
    <mergeCell ref="I11:J11"/>
    <mergeCell ref="A12:B12"/>
    <mergeCell ref="D12:E12"/>
    <mergeCell ref="F12:G12"/>
    <mergeCell ref="I12:J12"/>
    <mergeCell ref="A13:T13"/>
    <mergeCell ref="L14:M1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