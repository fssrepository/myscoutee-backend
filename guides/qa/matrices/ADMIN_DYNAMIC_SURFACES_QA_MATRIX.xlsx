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MIN_DYNAMIC_SURFACES_QA_MATRI" sheetId="1" state="visible" r:id="rId2"/>
  </sheets>
  <calcPr iterateCount="100" refMode="A1" iterate="false" iterateDelta="0.001" calcMode="auto" fullCalcOnLoad="1" forceFullCalc="1"/>
  <extLst>
    <ext uri="{7626C862-2A13-11E5-B345-FEFF819CDC9F}">
      <ns2:extCalcPr stringRefSyntax="CalcA1"/>
    </ext>
  </extLst>
</workbook>
</file>

<file path=xl/sharedStrings.xml><?xml version="1.0" encoding="utf-8"?>
<sst xmlns="http://schemas.openxmlformats.org/spreadsheetml/2006/main" count="3260" uniqueCount="1104">
  <si>
    <t>EFFECT / SCOPE MARKERS</t>
  </si>
  <si>
    <t/>
  </si>
  <si>
    <t>Done</t>
  </si>
  <si>
    <t>144 (99%)</t>
  </si>
  <si>
    <t>X</t>
  </si>
  <si>
    <t>No expected effect — An unchanged X cell is PASS</t>
  </si>
  <si>
    <t>Pending</t>
  </si>
  <si>
    <t>1</t>
  </si>
  <si>
    <t>DELTA</t>
  </si>
  <si>
    <t>Required direct effect — Record before/after count and direction</t>
  </si>
  <si>
    <t>Not started</t>
  </si>
  <si>
    <t>INDIRECT</t>
  </si>
  <si>
    <t>Conditional effect — State the condition and prove it occurred</t>
  </si>
  <si>
    <t>Failed</t>
  </si>
  <si>
    <t>0</t>
  </si>
  <si>
    <t>GAP</t>
  </si>
  <si>
    <t>Known observability gap — Record FAIL/GAP separately from domain PASS</t>
  </si>
  <si>
    <t>Total</t>
  </si>
  <si>
    <t>146</t>
  </si>
  <si>
    <t>DOMAIN PRIORITY</t>
  </si>
  <si>
    <t>QA domain</t>
  </si>
  <si>
    <t>Priority</t>
  </si>
  <si>
    <t>Progress / remaining min/max</t>
  </si>
  <si>
    <t>API test</t>
  </si>
  <si>
    <t>15</t>
  </si>
  <si>
    <t>8 passed / 8 total (100%) · 0/0</t>
  </si>
  <si>
    <t>Group</t>
  </si>
  <si>
    <t>8</t>
  </si>
  <si>
    <t>11 passed / 11 total (100%) · 0/0</t>
  </si>
  <si>
    <t>QA infrastructure</t>
  </si>
  <si>
    <t>14</t>
  </si>
  <si>
    <t>2 passed / 2 total (100%) · 0/0</t>
  </si>
  <si>
    <t>Content</t>
  </si>
  <si>
    <t>7</t>
  </si>
  <si>
    <t>4 passed / 4 total (100%) · 0/0</t>
  </si>
  <si>
    <t>Identity &amp; access</t>
  </si>
  <si>
    <t>13</t>
  </si>
  <si>
    <t>10 passed / 11 total (91%) · 180/425</t>
  </si>
  <si>
    <t>Notifications</t>
  </si>
  <si>
    <t>6</t>
  </si>
  <si>
    <t>6 passed / 6 total (100%) · 0/0</t>
  </si>
  <si>
    <t>Event</t>
  </si>
  <si>
    <t>12</t>
  </si>
  <si>
    <t>58 passed / 58 total (100%) · 0/0</t>
  </si>
  <si>
    <t>Administration</t>
  </si>
  <si>
    <t>5</t>
  </si>
  <si>
    <t>Tournament</t>
  </si>
  <si>
    <t>11</t>
  </si>
  <si>
    <t>16 passed / 16 total (100%) · 0/0</t>
  </si>
  <si>
    <t>General UI</t>
  </si>
  <si>
    <t>4</t>
  </si>
  <si>
    <t>2 passed / 3 total (67%) · 20/45</t>
  </si>
  <si>
    <t>Chat</t>
  </si>
  <si>
    <t>10</t>
  </si>
  <si>
    <t>9 passed / 9 total (100%) · 0/0</t>
  </si>
  <si>
    <t>Operator</t>
  </si>
  <si>
    <t>3</t>
  </si>
  <si>
    <t>5 passed / 5 total (100%) · 0/0</t>
  </si>
  <si>
    <t>Asset</t>
  </si>
  <si>
    <t>9</t>
  </si>
  <si>
    <t>7 passed / 7 total (100%) · 0/0</t>
  </si>
  <si>
    <t>QA TEST CASES</t>
  </si>
  <si>
    <t>ENVIRONMENTS</t>
  </si>
  <si>
    <t>ID</t>
  </si>
  <si>
    <t>Type</t>
  </si>
  <si>
    <t>Area</t>
  </si>
  <si>
    <t>Scenario</t>
  </si>
  <si>
    <t>Statistics</t>
  </si>
  <si>
    <t>Monitoring / Metrics</t>
  </si>
  <si>
    <t>Affinity Graph</t>
  </si>
  <si>
    <t>Admin Jobs</t>
  </si>
  <si>
    <t>Domain / other UI</t>
  </si>
  <si>
    <t>Manual status</t>
  </si>
  <si>
    <t>Dev</t>
  </si>
  <si>
    <t>Local</t>
  </si>
  <si>
    <t>Last manual date</t>
  </si>
  <si>
    <t>Automated coverage</t>
  </si>
  <si>
    <t>Next manual oracle</t>
  </si>
  <si>
    <t>Result</t>
  </si>
  <si>
    <t>Evidence / notes</t>
  </si>
  <si>
    <t>Manual QA priority</t>
  </si>
  <si>
    <t>Remaining QA complexity (min/max)</t>
  </si>
  <si>
    <t>INTEGRATION-API-001</t>
  </si>
  <si>
    <t>Release integration</t>
  </si>
  <si>
    <t>Integration API</t>
  </si>
  <si>
    <t>API key, Java client, image-bearing Event/Asset creation, participant approval, callback and revocation.</t>
  </si>
  <si>
    <t>DELTA durable webhook subscription/delivery and terminal callback</t>
  </si>
  <si>
    <t>Detailed oracle in linked record.</t>
  </si>
  <si>
    <t>BASE + EXTENSION PASS / CLOSED</t>
  </si>
  <si>
    <t>PASS</t>
  </si>
  <si>
    <t>2026-09-22</t>
  </si>
  <si>
    <t>Recorded checks: see detail link.</t>
  </si>
  <si>
    <t>Closed for the recorded scope.</t>
  </si>
  <si>
    <t>../reference/QA_MATRIX_DETAILS_20261014.md#integration-api-001</t>
  </si>
  <si>
    <t>P0 100</t>
  </si>
  <si>
    <t>AFFILIATE-INVITATION-001</t>
  </si>
  <si>
    <t>Affiliate invitations</t>
  </si>
  <si>
    <t>New personal-link registration; API import of two participants; claim one; repeat/reload; revoke without counter deletion</t>
  </si>
  <si>
    <t>Personal badge 0→1; API badge 0/0→0/2→1/2; replay/reload/revoke preserve counts</t>
  </si>
  <si>
    <t>AUTOMATED CDP PASS / CLOSED</t>
  </si>
  <si>
    <t>NOT RUN</t>
  </si>
  <si>
    <t>../reference/QA_MATRIX_DETAILS_20261014.md#affiliate-invitation-001</t>
  </si>
  <si>
    <t>ADMIN-CLIENT-API-001</t>
  </si>
  <si>
    <t>Delegated full-flow journey</t>
  </si>
  <si>
    <t>Private admin API and Linux monitor</t>
  </si>
  <si>
    <t>Create scoped admin API key and connect v1.0.2 Linux client; verify aggregate metrics, configurable polling, notification-center delivery, background reopen, disconnect, revocation and package startup.</t>
  </si>
  <si>
    <t>DELTA aggregate profile/registration/attention snapshots, bounded polling and deduplicated desktop notifications</t>
  </si>
  <si>
    <t>DELTA: Detailed oracle in linked record.</t>
  </si>
  <si>
    <t>2026-09-23</t>
  </si>
  <si>
    <t>../reference/QA_MATRIX_DETAILS_20261014.md#admin-client-api-001</t>
  </si>
  <si>
    <t>P0 80</t>
  </si>
  <si>
    <t>AFFILIATE-REVENUE-001</t>
  </si>
  <si>
    <t>Affiliate turnover, FX summaries and refunds</t>
  </si>
  <si>
    <t>Refer a disposable user, capture EUR/HUF purchases and event checkouts, complete refunds, replay callbacks and recover interrupted counter writes; inspect normal-user Revenue popup and compact mobile controls.</t>
  </si>
  <si>
    <t>DELTA write-side partner totals and versioned contribution ledger; idempotent capture/refund recovery</t>
  </si>
  <si>
    <t>2026-09-24</t>
  </si>
  <si>
    <t>../reference/QA_MATRIX_DETAILS_20261014.md#affiliate-revenue-001</t>
  </si>
  <si>
    <t>P0 86</t>
  </si>
  <si>
    <t>INTEGRATION-API-GROUP-001</t>
  </si>
  <si>
    <t>Group regression journey</t>
  </si>
  <si>
    <t>Group participant invitation links</t>
  </si>
  <si>
    <t>Shared Event invitation API flow: ordered stable URLs, new registration and existing-account claim, accepted group membership, active workspace, replay/conflict/failure handling and unchanged Event acceptance/payment.</t>
  </si>
  <si>
    <t>INDIRECT only existing producers; compare before/after</t>
  </si>
  <si>
    <t>DELTA authorized writes and denied cross-scope requests; no secrets</t>
  </si>
  <si>
    <t>INDIRECT workspace-owned rating/following mutations only</t>
  </si>
  <si>
    <t>INDIRECT configured moderation worker only; no invented scheduling rule</t>
  </si>
  <si>
    <t>CLOSED / PASS — recorded dev scope</t>
  </si>
  <si>
    <t>PASS — 7/7 ordered blocks; HTTP/simulator</t>
  </si>
  <si>
    <t>PASS — keys, profile isolation and EN/HU help; external OAuth N/A</t>
  </si>
  <si>
    <t>2026-09-28</t>
  </si>
  <si>
    <t>../reference/QA_MATRIX_DETAILS_20261014.md#integration-api-group-001</t>
  </si>
  <si>
    <t>P0 85</t>
  </si>
  <si>
    <t>MSC115-CAMPAIGN-API</t>
  </si>
  <si>
    <t>Flow</t>
  </si>
  <si>
    <t>Campaign create through existing API/MCP architecture</t>
  </si>
  <si>
    <t>Steps 37–39: Campaign draft API, ownership and unchanged Event/Group contracts.</t>
  </si>
  <si>
    <t>CLOSED / PASS — accepted development scope</t>
  </si>
  <si>
    <t>PASS — recorded scope</t>
  </si>
  <si>
    <t>2026-10-15</t>
  </si>
  <si>
    <t>None for MSC-115. Separate template and live-deployment QA retain their own status.</t>
  </si>
  <si>
    <t>../reference/QA_MATRIX_DETAILS_20261014.md#msc115-campaign-api</t>
  </si>
  <si>
    <t>P1</t>
  </si>
  <si>
    <t>INTEGRATION-ACCESS-001</t>
  </si>
  <si>
    <t>Feature extension</t>
  </si>
  <si>
    <t>API/MCP access packs</t>
  </si>
  <si>
    <t>MSC-116/119: contextual Blocked/Write/Read/Full access packs; atomic parent save; HTTP/local parity; OAuth/discovery downgrade; role access and personal-decision exclusion. Follow INTEGRATION-ACCESS-001.</t>
  </si>
  <si>
    <t>Existing operation and error evidence only</t>
  </si>
  <si>
    <t>See stable checklist</t>
  </si>
  <si>
    <t>PASS — delegated development scope</t>
  </si>
  <si>
    <t>137 focused Events tests / 17 suites PASS; embedded and Go checks; recorded browser/API/local checks.</t>
  </si>
  <si>
    <t>Closed. Template runtime and real external-host/publication qualification remain separate.</t>
  </si>
  <si>
    <t>../evidence/general/MSC116-closure-20261015/summary.json; consolidated checklist blocks closed once. KVM focused sample PASS; no equivalent historical performance baseline.</t>
  </si>
  <si>
    <t>MCP-EVENTS-001</t>
  </si>
  <si>
    <t>MCP Events and OAuth users</t>
  </si>
  <si>
    <t>MSC-116/119: Full-only signed subscriptions, user grants and role/node filters; revocation/downgrade, bounded delivery, retries and idempotence. Follow MCP-EVENTS-001.</t>
  </si>
  <si>
    <t>Queue status; sanitized protocol error categories</t>
  </si>
  <si>
    <t>Existing integration-webhooks worker</t>
  </si>
  <si>
    <t>EN/HU MCP guide; host subscription flow</t>
  </si>
  <si>
    <t>N/A — external callbacks require backend</t>
  </si>
  <si>
    <t>CLEANUP</t>
  </si>
  <si>
    <t>Safety</t>
  </si>
  <si>
    <t>Environment</t>
  </si>
  <si>
    <t>Reset fixture and revert parameters</t>
  </si>
  <si>
    <t>No fixture-induced future delta</t>
  </si>
  <si>
    <t>No fixture queue left pending/failed</t>
  </si>
  <si>
    <t>Baseline graph restored where data was reverted</t>
  </si>
  <si>
    <t>No fixture rule running; original rule config restored</t>
  </si>
  <si>
    <t>No prepared fixture; original parameter versions active by value</t>
  </si>
  <si>
    <t>PASS / CLOSED</t>
  </si>
  <si>
    <t>2026-08-30</t>
  </si>
  <si>
    <t>../reference/QA_MATRIX_DETAILS_20261014.md#cleanup</t>
  </si>
  <si>
    <t>QA-RESET-001</t>
  </si>
  <si>
    <t>Harness defect retest</t>
  </si>
  <si>
    <t>Manual QA isolation</t>
  </si>
  <si>
    <t>Reset a scheduler scenario after it creates an invitation and notification</t>
  </si>
  <si>
    <t>Reloaded invitee shows the exact pre-stage Invitations and Notifications badge values and no fixture-owned rows</t>
  </si>
  <si>
    <t>../reference/QA_MATRIX_DETAILS_20261014.md#qa-reset-001</t>
  </si>
  <si>
    <t>P0 88</t>
  </si>
  <si>
    <t>ENTRY-DEMO-REG-001</t>
  </si>
  <si>
    <t>Expansion checkpoint CP03</t>
  </si>
  <si>
    <t>Entry and registration</t>
  </si>
  <si>
    <t>Register and onboard one fresh identity with Firebase inactive</t>
  </si>
  <si>
    <t>INDIRECT user inventory</t>
  </si>
  <si>
    <t>DELTA one user/profile and consent lineage</t>
  </si>
  <si>
    <t>INDIRECT after normal profile processing</t>
  </si>
  <si>
    <t>MANUAL UI + SERVER ORACLE PASS / CLOSED</t>
  </si>
  <si>
    <t>2026-08-13</t>
  </si>
  <si>
    <t>../reference/QA_MATRIX_DETAILS_20261014.md#entry-demo-reg-001</t>
  </si>
  <si>
    <t>P0 98</t>
  </si>
  <si>
    <t>ENTRY-CONSENT-001</t>
  </si>
  <si>
    <t>Entry privacy consent</t>
  </si>
  <si>
    <t>Accept required privacy and selected optional sections before registration</t>
  </si>
  <si>
    <t>DELTA immutable exact-revision consent</t>
  </si>
  <si>
    <t>Anonymous evidence transfers once to authenticated user without broadening selected consent</t>
  </si>
  <si>
    <t>../reference/QA_MATRIX_DETAILS_20261014.md#entry-consent-001</t>
  </si>
  <si>
    <t>ENTRY-CONSENT-002</t>
  </si>
  <si>
    <t>Reject once, activate a newer revision, then reaccept</t>
  </si>
  <si>
    <t>DELTA rejection/no-session then new immutable consent</t>
  </si>
  <si>
    <t>Old acceptance cannot satisfy new privacy revision and old audit history remains intact</t>
  </si>
  <si>
    <t>../reference/QA_MATRIX_DETAILS_20261014.md#entry-consent-002</t>
  </si>
  <si>
    <t>ENTRY-CONSENT-003</t>
  </si>
  <si>
    <t>Carry stable optional choices into a new revision that adds one rubric</t>
  </si>
  <si>
    <t>DELTA one immutable v5 consent; v4 unchanged</t>
  </si>
  <si>
    <t>Only previously approved matching stable IDs are preselected; new and prior-unselected rubrics remain opt-in</t>
  </si>
  <si>
    <t>../reference/QA_MATRIX_DETAILS_20261014.md#entry-consent-003</t>
  </si>
  <si>
    <t>AUTH-SESSION-001</t>
  </si>
  <si>
    <t>Security checkpoint</t>
  </si>
  <si>
    <t>Authentication / concurrent sessions</t>
  </si>
  <si>
    <t>Authenticate one controlled user from three isolated clients and enforce a server-side maximum of two active sessions</t>
  </si>
  <si>
    <t>INDIRECT authentication/security metrics only if separately attributed</t>
  </si>
  <si>
    <t>2026-08-14</t>
  </si>
  <si>
    <t>../reference/QA_MATRIX_DETAILS_20261014.md#auth-session-001</t>
  </si>
  <si>
    <t>LANDING-ELIGIBILITY-001</t>
  </si>
  <si>
    <t>Public landing / regional login eligibility</t>
  </si>
  <si>
    <t>• Budapest and London with granted browser geolocation• Paris as an absent-country control• Paris target after permission reset and Block</t>
  </si>
  <si>
    <t>X for read-only eligibility checks unless dedicated security metrics are later specified</t>
  </si>
  <si>
    <t>2026-08-15</t>
  </si>
  <si>
    <t>../reference/QA_MATRIX_DETAILS_20261014.md#landing-eligibility-001</t>
  </si>
  <si>
    <t>ROLE-TRIAD-CORE-001</t>
  </si>
  <si>
    <t>Consolidated journey</t>
  </si>
  <si>
    <t>Three-role authorization, configuration and moderation</t>
  </si>
  <si>
    <t>Keep exactly one member, admin and operator session open; prove route boundaries, persist one branding revision, then execute warn/report/feedback/support/block/unblock as one lifecycle</t>
  </si>
  <si>
    <t>INDIRECT: Detailed oracle in linked record.</t>
  </si>
  <si>
    <t>X: Detailed oracle in linked record.</t>
  </si>
  <si>
    <t>MANUAL UI + PERSISTED ORACLE PASS / CLOSED</t>
  </si>
  <si>
    <t>2026-08-31</t>
  </si>
  <si>
    <t>../reference/QA_MATRIX_DETAILS_20261014.md#role-triad-core-001</t>
  </si>
  <si>
    <t>P1 94</t>
  </si>
  <si>
    <t>JOB-PURGE</t>
  </si>
  <si>
    <t>Scheduled job</t>
  </si>
  <si>
    <t>account-purge</t>
  </si>
  <si>
    <t>Real scheduler purges due deleted account</t>
  </si>
  <si>
    <t>INDIRECT network graph after user removal; ordinary deletion counted earlier</t>
  </si>
  <si>
    <t>DELTA scheduler/audit; X for new profile.deleted event at purge time</t>
  </si>
  <si>
    <t>INDIRECT member/edge totals after removal</t>
  </si>
  <si>
    <t>DELTA removed/anonymized data and terminal purge job</t>
  </si>
  <si>
    <t>../reference/QA_MATRIX_DETAILS_20261014.md#job-purge</t>
  </si>
  <si>
    <t>DEPLOY-EXTERNAL-CONFIG-001</t>
  </si>
  <si>
    <t>Configured deployment QA</t>
  </si>
  <si>
    <t>Firebase and remote MCP external configuration</t>
  </si>
  <si>
    <t>Configured authentication, registration/profile fields, location retry, invitation denial and Android permissions.</t>
  </si>
  <si>
    <t>DELTA normal authenticated session and provider outcomes</t>
  </si>
  <si>
    <t>No demo substitution for real provider authentication; no cross-account grant or pending-coordinate leakage</t>
  </si>
  <si>
    <t>CLOSED / PASS</t>
  </si>
  <si>
    <t>N/A</t>
  </si>
  <si>
    <t>../reference/QA_MATRIX_DETAILS_20261014.md#deploy-external-config-001</t>
  </si>
  <si>
    <t>P2 60</t>
  </si>
  <si>
    <t>MSC115-LANDING</t>
  </si>
  <si>
    <t>Shared landing and demo selection</t>
  </si>
  <si>
    <t>MSC-115 steps 4–17: Mode selection, articles, demo entry, consent/login, workspace identity and build-defined landing palette.</t>
  </si>
  <si>
    <t>../reference/QA_MATRIX_DETAILS_20261014.md#msc115-landing</t>
  </si>
  <si>
    <t>ROLE-GUIDES-NOTIFICATIONS-001</t>
  </si>
  <si>
    <t>Role guides and notifications</t>
  </si>
  <si>
    <t>MSC-118:37 system contexts/189 conditional fields; role guides, controls and inbox targets</t>
  </si>
  <si>
    <t>Existing outbox and login audit evidence</t>
  </si>
  <si>
    <t>Existing notification worker; signed release discovery</t>
  </si>
  <si>
    <t>Guide/card/read/mute/context behavior only; business actions use their own fixtures</t>
  </si>
  <si>
    <t>PARTIAL — MSC115 coverage credited</t>
  </si>
  <si>
    <t>PARTIAL</t>
  </si>
  <si>
    <t>PARTIAL (accepted samples)</t>
  </si>
  <si>
    <t>Prior role probes PASS; MSC115 shared guide/browser evidence credited.</t>
  </si>
  <si>
    <t>MSC118 ordered steps1-39; run only uncovered role/control/inbox cells.</t>
  </si>
  <si>
    <t>../evidence/general/MSC117_118_QA_RECONCILIATION_20261015.json</t>
  </si>
  <si>
    <t>180/425</t>
  </si>
  <si>
    <t>EVENT-FOLLOWING-001</t>
  </si>
  <si>
    <t>Followed organizers</t>
  </si>
  <si>
    <t>Organizer follow, current-event counter, filtered Explore, shared Members, expiry and Watchlist independence</t>
  </si>
  <si>
    <t>Separate stored following count and members; excluded avatar aggregate</t>
  </si>
  <si>
    <t>UNIT PASS</t>
  </si>
  <si>
    <t>../reference/QA_MATRIX_DETAILS_20261014.md#event-following-001</t>
  </si>
  <si>
    <t>EVENT-FOLLOWING-002</t>
  </si>
  <si>
    <t>Following menus and confirmation</t>
  </si>
  <si>
    <t>Activities external/follow menus, confirmation, signed save deltas, live removal and persisted poll</t>
  </si>
  <si>
    <t>../reference/QA_MATRIX_DETAILS_20261014.md#event-following-002</t>
  </si>
  <si>
    <t>EVENT-MODE-REGRESSION-001</t>
  </si>
  <si>
    <t>Regression journey</t>
  </si>
  <si>
    <t>Event formats and Explore</t>
  </si>
  <si>
    <t>Standard/Tournament isolation, Speed meeting rounds and feedback, saved Explore preferences, external links, local restart persistence</t>
  </si>
  <si>
    <t>Observe real writes only</t>
  </si>
  <si>
    <t>Met plus reciprocal positive ratings</t>
  </si>
  <si>
    <t>Existing workers only</t>
  </si>
  <si>
    <t>Editor, Explore, filters, members, rounds, feedback and landing</t>
  </si>
  <si>
    <t>DELEGATED AUTOMATED PASS / CLOSED</t>
  </si>
  <si>
    <t>PASS (adapter/IndexedDB)</t>
  </si>
  <si>
    <t>../reference/QA_MATRIX_DETAILS_20261014.md#event-mode-regression-001</t>
  </si>
  <si>
    <t>EVENT-ACTIVITY-RATING-001</t>
  </si>
  <si>
    <t>Fixture-backed manual journey</t>
  </si>
  <si>
    <t>Activity rating by event format</t>
  </si>
  <si>
    <t>Two starting states: meeting before first rating; one-sided rating without meeting -&gt; Mutual. Side-menu total-rate badge.</t>
  </si>
  <si>
    <t>Observe actual rating writes; no synthetic result seeded</t>
  </si>
  <si>
    <t>Existing rating sync and projection jobs</t>
  </si>
  <si>
    <t>Observe reciprocal Met friendship; no outcome seeded</t>
  </si>
  <si>
    <t>Existing event-counter-expiry, temporarily shortened for preparation then restored</t>
  </si>
  <si>
    <t>Manual Rates buckets, scores from both perspectives, save/reopen/reload, distinct feedback peer</t>
  </si>
  <si>
    <t>PASS / CLOSED — corrected numbered checklist coverage</t>
  </si>
  <si>
    <t>PASS (fixture and persisted reads)</t>
  </si>
  <si>
    <t>../reference/QA_MATRIX_DETAILS_20261014.md#event-activity-rating-001</t>
  </si>
  <si>
    <t>P0 99</t>
  </si>
  <si>
    <t>EVENT-EDITOR-001</t>
  </si>
  <si>
    <t>Checkpoint</t>
  </si>
  <si>
    <t>Event Editor</t>
  </si>
  <si>
    <t>Create, save and reopen one draft event</t>
  </si>
  <si>
    <t>INDIRECT after the statistics snapshot worker</t>
  </si>
  <si>
    <t>DELTA event write and recompute queue</t>
  </si>
  <si>
    <t>INDIRECT after recompute</t>
  </si>
  <si>
    <t>DELTA affinity recompute task; active-only schedulers X</t>
  </si>
  <si>
    <t>Draft appears once in Hosting/Drafts and every saved field reopens exactly</t>
  </si>
  <si>
    <t>MANUAL UI + FUNCTIONAL PASS</t>
  </si>
  <si>
    <t>2026-08-04</t>
  </si>
  <si>
    <t>../reference/QA_MATRIX_DETAILS_20261014.md#event-editor-001</t>
  </si>
  <si>
    <t>EVENT-TIMEZONE-001</t>
  </si>
  <si>
    <t>Defect retest</t>
  </si>
  <si>
    <t>Event Editor date/time</t>
  </si>
  <si>
    <t>Preserve a locally entered event range across UTC persistence and editor reopen</t>
  </si>
  <si>
    <t>INDIRECT only after the normal snapshot worker</t>
  </si>
  <si>
    <t>DELTA only for the intentional corrective Save</t>
  </si>
  <si>
    <t>INDIRECT only after recompute</t>
  </si>
  <si>
    <t>Time-dependent jobs consume the corrected UTC instant; no job is invoked by reopen</t>
  </si>
  <si>
    <t>Europe/Bratislava 18:00-20:00 persists as 16:00Z-18:00Z and reopens as 18:00-20:00</t>
  </si>
  <si>
    <t>../reference/QA_MATRIX_DETAILS_20261014.md#event-timezone-001</t>
  </si>
  <si>
    <t>EVENT-EDITOR-002</t>
  </si>
  <si>
    <t>Publish one controlled draft</t>
  </si>
  <si>
    <t>INDIRECT event inventory delta</t>
  </si>
  <si>
    <t>DELTA event lifecycle and recompute</t>
  </si>
  <si>
    <t>DELTA affinity recompute; slot/reminder consumers conditional</t>
  </si>
  <si>
    <t>Hosting and Explore visibility obey user and visibility boundaries</t>
  </si>
  <si>
    <t>../reference/QA_MATRIX_DETAILS_20261014.md#event-editor-002</t>
  </si>
  <si>
    <t>P0 90</t>
  </si>
  <si>
    <t>EVENT-VISIBILITY-001</t>
  </si>
  <si>
    <t>Continuation checkpoint / defect retest</t>
  </si>
  <si>
    <t>Event visibility</t>
  </si>
  <si>
    <t>After EVENT-TICKET-007, change the same event to Friends Only and enforce discovery for external friend/non-friend controls</t>
  </si>
  <si>
    <t>DELTA normal event recompute only for owning lifecycle writes; Explore reads X</t>
  </si>
  <si>
    <t>../reference/QA_MATRIX_DETAILS_20261014.md#event-visibility-001</t>
  </si>
  <si>
    <t>P1 99</t>
  </si>
  <si>
    <t>EVENT-PUBLISH-CHAT-001</t>
  </si>
  <si>
    <t>Defect retest / lifecycle checkpoint</t>
  </si>
  <si>
    <t>Event publish + chat authorization and persisted counters</t>
  </si>
  <si>
    <t>Stage one isolated Draft with Casey accepted and Nova/Riley pending, record all three Chat baselines, then publish once from the Casey Draft card</t>
  </si>
  <si>
    <t>DELTA publish lifecycle, event recompute and exactly one main-event chat; chat attention counts stay unchanged</t>
  </si>
  <si>
    <t>DELTA normal publish recompute; scheduler X</t>
  </si>
  <si>
    <t>MANUAL UI + FUNCTIONAL PASS; FIX VERIFIED</t>
  </si>
  <si>
    <t>../reference/QA_MATRIX_DETAILS_20261014.md#event-publish-chat-001</t>
  </si>
  <si>
    <t>EVENT-EDITOR-003</t>
  </si>
  <si>
    <t>Event Editor + Auto inviter</t>
  </si>
  <si>
    <t>Auto inviter after draft publish; persisted periodic scheduling and live recipient lists.</t>
  </si>
  <si>
    <t>INDIRECT event/member activity</t>
  </si>
  <si>
    <t>DELTA event save and card lifecycle; member/outbox X before publish</t>
  </si>
  <si>
    <t>INDIRECT after event/member recompute</t>
  </si>
  <si>
    <t>X while draft; DELTA only after schedule-auto-inviter makes the named real rule due</t>
  </si>
  <si>
    <t>../reference/QA_MATRIX_DETAILS_20261014.md#event-editor-003</t>
  </si>
  <si>
    <t>P0 94</t>
  </si>
  <si>
    <t>EVENT-ACTIVITY-REFRESH-001</t>
  </si>
  <si>
    <t>Defect retest / cross-cutting checkpoint</t>
  </si>
  <si>
    <t>Event activity buckets</t>
  </si>
  <si>
    <t>Keep Nova Invitations, Riley Invitations and Casey My Events open while the EVENT-EDITOR-003 real periodic run adds Riley; observe without popup or browser refresh</t>
  </si>
  <si>
    <t>X for the read-only poll; DELTA belongs only to the owning mutation</t>
  </si>
  <si>
    <t>X for the poll; the auto-inviter worker belongs only to EVENT-EDITOR-003</t>
  </si>
  <si>
    <t>MANUAL UI PASS; FIX VERIFIED</t>
  </si>
  <si>
    <t>../reference/QA_MATRIX_DETAILS_20261014.md#event-activity-refresh-001</t>
  </si>
  <si>
    <t>P1 78</t>
  </si>
  <si>
    <t>EVENT-MEMBER-CREATOR-001</t>
  </si>
  <si>
    <t>Defect checkpoint</t>
  </si>
  <si>
    <t>Event creator/admin membership</t>
  </si>
  <si>
    <t>Publish an event with no creator member document, add pending invitations, then compare event-card occupancy with Event Members and the exact member oracle before acceptance</t>
  </si>
  <si>
    <t>INDIRECT only after a real membership mutation</t>
  </si>
  <si>
    <t>DELTA belongs to publish/invite; read-only comparison is X</t>
  </si>
  <si>
    <t>INDIRECT because downstream graph may consume canonical membership</t>
  </si>
  <si>
    <t>X for the read-only comparison</t>
  </si>
  <si>
    <t>../reference/QA_MATRIX_DETAILS_20261014.md#event-member-creator-001</t>
  </si>
  <si>
    <t>EVENT-CAPACITY-SYNC-001</t>
  </si>
  <si>
    <t>Event card capacity projection</t>
  </si>
  <si>
    <t>Keep occupancy stable across Unpublish and SmartList scope changes</t>
  </si>
  <si>
    <t>DELTA event lifecycle only; occupancy remains authoritative</t>
  </si>
  <si>
    <t>My Events and Drafts show the same canonical occupancy before and after reload</t>
  </si>
  <si>
    <t>../reference/QA_MATRIX_DETAILS_20261014.md#event-capacity-sync-001</t>
  </si>
  <si>
    <t>P1 72</t>
  </si>
  <si>
    <t>EVENT-SLOT-TOURNAMENT-001</t>
  </si>
  <si>
    <t>Tournament definition and recurring-slot lifecycle</t>
  </si>
  <si>
    <t>Save/reopen one tournament definition with a weekly template and two occurrences, inspect host/participant action gating, then close an ended stage and edit one past leaderboard score</t>
  </si>
  <si>
    <t>INDIRECT event activity; INDIRECT event inventory after Save; X; INDIRECT stage activity; INDIRECT score activity</t>
  </si>
  <si>
    <t>INDIRECT after recompute; INDIRECT after event recompute; X</t>
  </si>
  <si>
    <t>2026-09-01</t>
  </si>
  <si>
    <t>../reference/QA_MATRIX_DETAILS_20261014.md#event-slot-tournament-001</t>
  </si>
  <si>
    <t>EVENT-EDIT-RUNTIME-001</t>
  </si>
  <si>
    <t>Event creation, runtime view switching and active edit</t>
  </si>
  <si>
    <t>Event root/slot lifecycle, scoped resources, publish/edit and resource invite/delete/reassignment.</t>
  </si>
  <si>
    <t>INDIRECT after each owning create/edit/publish delta; every View/reload X</t>
  </si>
  <si>
    <t>INDIRECT only after documented owning Event/resource recompute</t>
  </si>
  <si>
    <t>MANUAL UI + FUNCTIONAL PASS; FIX VERIFIED; CLOSED</t>
  </si>
  <si>
    <t>2026-09-02</t>
  </si>
  <si>
    <t>../reference/QA_MATRIX_DETAILS_20261014.md#event-edit-runtime-001</t>
  </si>
  <si>
    <t>EVENT-LIFE-001</t>
  </si>
  <si>
    <t>Event lifecycle</t>
  </si>
  <si>
    <t>Unpublish active event to draft</t>
  </si>
  <si>
    <t>INDIRECT lifecycle inventory delta</t>
  </si>
  <si>
    <t>DELTA affinity recompute; reminders/attachments conditional</t>
  </si>
  <si>
    <t>Explore removes it; organizer Drafts/Hosting contains it once</t>
  </si>
  <si>
    <t>../reference/QA_MATRIX_DETAILS_20261014.md#event-life-001</t>
  </si>
  <si>
    <t>P0 92</t>
  </si>
  <si>
    <t>EVENT-LIFE-002</t>
  </si>
  <si>
    <t>Trash one organizer event</t>
  </si>
  <si>
    <t>INDIRECT active/trash inventory delta</t>
  </si>
  <si>
    <t>DELTA lifecycle, recompute and conditional notification</t>
  </si>
  <si>
    <t>DELTA affinity recompute; auto-inviter becomes ineligible</t>
  </si>
  <si>
    <t>MANUAL UI + FUNCTIONAL PASS; COUNTER FIX VERIFIED</t>
  </si>
  <si>
    <t>../reference/QA_MATRIX_DETAILS_20261014.md#event-life-002</t>
  </si>
  <si>
    <t>P0 96</t>
  </si>
  <si>
    <t>EVENT-LIFE-003</t>
  </si>
  <si>
    <t>Restore one organizer event from Trash</t>
  </si>
  <si>
    <t>INDIRECT restored inventory delta</t>
  </si>
  <si>
    <t>DELTA lifecycle and recompute</t>
  </si>
  <si>
    <t>DELTA affinity recompute</t>
  </si>
  <si>
    <t>Preserved draft/active bucket returns with no duplicate members or resources</t>
  </si>
  <si>
    <t>../reference/QA_MATRIX_DETAILS_20261014.md#event-life-003</t>
  </si>
  <si>
    <t>EVENT-LIFE-004</t>
  </si>
  <si>
    <t>Event participation lifecycle</t>
  </si>
  <si>
    <t>Participant leave and restore without organizer authority</t>
  </si>
  <si>
    <t>INDIRECT participation delta</t>
  </si>
  <si>
    <t>DELTA member mutation; event lifecycle X</t>
  </si>
  <si>
    <t>INDIRECT only if membership evidence changes affinity</t>
  </si>
  <si>
    <t>CONDITIONAL member recompute; organizer lifecycle job X</t>
  </si>
  <si>
    <t>Viewer Attending/Trash changes; canonical event stays active for others</t>
  </si>
  <si>
    <t>../reference/QA_MATRIX_DETAILS_20261014.md#event-life-004</t>
  </si>
  <si>
    <t>EVENT-LIFE-005</t>
  </si>
  <si>
    <t>Event buckets</t>
  </si>
  <si>
    <t>Open and refresh Hosting, Drafts, Attending, Invitations and Trash</t>
  </si>
  <si>
    <t>Each identity appears only in its documented bucket; no writes occur</t>
  </si>
  <si>
    <t>../reference/QA_MATRIX_DETAILS_20261014.md#event-life-005</t>
  </si>
  <si>
    <t>P1 74</t>
  </si>
  <si>
    <t>EVENT-INV-001</t>
  </si>
  <si>
    <t>Event membership</t>
  </si>
  <si>
    <t>Owner/admin manually invites one controlled user</t>
  </si>
  <si>
    <t>INDIRECT member activity</t>
  </si>
  <si>
    <t>DELTA membership write and notification outbox</t>
  </si>
  <si>
    <t>INDIRECT after membership evidence/recompute</t>
  </si>
  <si>
    <t>Notification outbox conditional; scheduler X</t>
  </si>
  <si>
    <t>One pending Event Members row and one recipient invitation; pending invite creates no chat or chat-counter increment</t>
  </si>
  <si>
    <t>../reference/QA_MATRIX_DETAILS_20261014.md#event-inv-001</t>
  </si>
  <si>
    <t>EVENT-INV-002</t>
  </si>
  <si>
    <t>Pending invitation privacy and authorization</t>
  </si>
  <si>
    <t>With owner, invited target and unrelated control isolated, inspect one pending invitation before acceptance through list and detail paths</t>
  </si>
  <si>
    <t>Accepted-only controls, chat and resources are hidden; Firebase-authenticated direct/deep-link denial is external</t>
  </si>
  <si>
    <t>MANUAL UI PASS; LOCAL EVENT GATE CLOSED</t>
  </si>
  <si>
    <t>../reference/QA_MATRIX_DETAILS_20261014.md#event-inv-002</t>
  </si>
  <si>
    <t>EVENT-INV-003</t>
  </si>
  <si>
    <t>Accept an owner/admin invitation once</t>
  </si>
  <si>
    <t>INDIRECT membership and later chat deltas</t>
  </si>
  <si>
    <t>DELTA accepted membership, resolved invitation and visibility-scoped acceptance notifications</t>
  </si>
  <si>
    <t>INDIRECT after membership recompute</t>
  </si>
  <si>
    <t>CONDITIONAL direct recompute/notification outbox; scheduler X</t>
  </si>
  <si>
    <t>../reference/QA_MATRIX_DETAILS_20261014.md#event-inv-003</t>
  </si>
  <si>
    <t>EVENT-INV-004</t>
  </si>
  <si>
    <t>Event membership approval</t>
  </si>
  <si>
    <t>Ordinary accepted member invites a target; target responds, then Admin approves</t>
  </si>
  <si>
    <t>INDIRECT only after terminal acceptance</t>
  </si>
  <si>
    <t>DELTA target response remains pending; Admin approval creates accepted membership</t>
  </si>
  <si>
    <t>INDIRECT after terminal transition</t>
  </si>
  <si>
    <t>CONDITIONAL recompute/outbox; scheduler X</t>
  </si>
  <si>
    <t>Chat stays denied after the target response and appears only after terminal Admin approval</t>
  </si>
  <si>
    <t>../reference/QA_MATRIX_DETAILS_20261014.md#event-inv-004</t>
  </si>
  <si>
    <t>EVENT-INV-005</t>
  </si>
  <si>
    <t>Event membership edges</t>
  </si>
  <si>
    <t>Reject, cancel, capacity-block and repeat acceptance independently</t>
  </si>
  <si>
    <t>INDIRECT only for real state changes</t>
  </si>
  <si>
    <t>DELTA per real mutation; no-op repeats X</t>
  </si>
  <si>
    <t>CONDITIONAL; duplicate tasks/outbox forbidden</t>
  </si>
  <si>
    <t>No duplicate member, overbooking, stale bell or rejected-user chat access</t>
  </si>
  <si>
    <t>../reference/QA_MATRIX_DETAILS_20261014.md#event-inv-005</t>
  </si>
  <si>
    <t>EVENT-INV-006</t>
  </si>
  <si>
    <t>Event acceptance notification privacy</t>
  </si>
  <si>
    <t>Accept equivalent invitations in one Open and one Blind event</t>
  </si>
  <si>
    <t>INDIRECT membership delta</t>
  </si>
  <si>
    <t>DELTA one acceptance event notification per visibility-authorized non-actor recipient; system-chat notification X</t>
  </si>
  <si>
    <t>../reference/QA_MATRIX_DETAILS_20261014.md#event-inv-006</t>
  </si>
  <si>
    <t>EVENT-FEEDBACK-001</t>
  </si>
  <si>
    <t>Event feedback</t>
  </si>
  <si>
    <t>Cross the feedback eligibility boundary</t>
  </si>
  <si>
    <t>DELTA exact persisted users.activities.feedback and eventFeedback.pending at the eligibility write; popup/menu reads X</t>
  </si>
  <si>
    <t>CONDITIONAL bounded due-event worker materializes the eligibility transition once; repeated pass X</t>
  </si>
  <si>
    <t>MANUAL UI + FUNCTIONAL PASS; MENU BADGE DEFECT FIXED</t>
  </si>
  <si>
    <t>2026-08-05</t>
  </si>
  <si>
    <t>../reference/QA_MATRIX_DETAILS_20261014.md#event-feedback-001</t>
  </si>
  <si>
    <t>EVENT-FEEDBACK-002</t>
  </si>
  <si>
    <t>Submit controlled event feedback responses with an optional event opinion</t>
  </si>
  <si>
    <t>DELTA event feedback activity after snapshot</t>
  </si>
  <si>
    <t>DELTA feedback telemetry, counters and outbox</t>
  </si>
  <si>
    <t>INDIRECT after target-user recompute</t>
  </si>
  <si>
    <t>DELTA affinity recompute; first-submit outbox</t>
  </si>
  <si>
    <t>../reference/QA_MATRIX_DETAILS_20261014.md#event-feedback-002</t>
  </si>
  <si>
    <t>EVENT-FEEDBACK-005</t>
  </si>
  <si>
    <t>Event feedback metadata</t>
  </si>
  <si>
    <t>Save and reopen one participant note to the organizer</t>
  </si>
  <si>
    <t>INDIRECT received-feedback counter refresh only</t>
  </si>
  <si>
    <t>../reference/QA_MATRIX_DETAILS_20261014.md#event-feedback-005</t>
  </si>
  <si>
    <t>EVENT-FEEDBACK-006</t>
  </si>
  <si>
    <t>Event feedback lifecycle</t>
  </si>
  <si>
    <t>Remove and restore one pending feedback item before submission</t>
  </si>
  <si>
    <t>DELTA exact feedback pending/removed buckets; answers and outbox X</t>
  </si>
  <si>
    <t>../reference/QA_MATRIX_DETAILS_20261014.md#event-feedback-006</t>
  </si>
  <si>
    <t>EVENT-IMPRESSION-001</t>
  </si>
  <si>
    <t>Profile Impressions</t>
  </si>
  <si>
    <t>Observe target profile after controlled event feedback</t>
  </si>
  <si>
    <t>INDIRECT normal user-realtime snapshot only</t>
  </si>
  <si>
    <t>INDIRECT because feedback submit queued target recompute</t>
  </si>
  <si>
    <t>Correct Host or Attendee trait evidence changes; unrelated user and section remain unchanged</t>
  </si>
  <si>
    <t>../reference/QA_MATRIX_DETAILS_20261014.md#event-impression-001</t>
  </si>
  <si>
    <t>EVENT-IMPRESSION-002</t>
  </si>
  <si>
    <t>Open a non-zero Impressions Feedback tile and observe UI acknowledgement plus authoritative poll reconciliation</t>
  </si>
  <si>
    <t>../reference/QA_MATRIX_DETAILS_20261014.md#event-impression-002</t>
  </si>
  <si>
    <t>P0 95</t>
  </si>
  <si>
    <t>EVENT-CHECKOUT-001</t>
  </si>
  <si>
    <t>Event Explore Stripe checkout and Cash-only control</t>
  </si>
  <si>
    <t>From Event Explore traverse paid review, resumable basket, Cancel and one successful Stripe payment, then compare free, approval-required and waitlist action states</t>
  </si>
  <si>
    <t>INDIRECT one Event participation delta after successful Stripe payment; draft/cancel/summary reads X</t>
  </si>
  <si>
    <t>DELTA one basket/payment/membership chain for success and one closed Cancel audit; every reload/summary read X</t>
  </si>
  <si>
    <t>INDIRECT only after accepted membership evidence/recompute</t>
  </si>
  <si>
    <t>CONDITIONAL normal member/chat/affinity/outbox and simulator callback work for the selected demo branch</t>
  </si>
  <si>
    <t>2026-09-06</t>
  </si>
  <si>
    <t>../reference/QA_MATRIX_DETAILS_20261014.md#event-checkout-001</t>
  </si>
  <si>
    <t>EVENT-TICKET-001</t>
  </si>
  <si>
    <t>Event ticketing</t>
  </si>
  <si>
    <t>Enable ticketing and reopen the event</t>
  </si>
  <si>
    <t>INDIRECT event definition delta</t>
  </si>
  <si>
    <t>DELTA event save and recompute</t>
  </si>
  <si>
    <t>DELTA affinity recompute; ticket scheduler X</t>
  </si>
  <si>
    <t>2026-08-06</t>
  </si>
  <si>
    <t>../reference/QA_MATRIX_DETAILS_20261014.md#event-ticket-001</t>
  </si>
  <si>
    <t>EVENT-TICKET-002</t>
  </si>
  <si>
    <t>Publish Ticketing On through the real UI path and create one accepted-participant physical ticket while retaining a pending control</t>
  </si>
  <si>
    <t>DELTA publish-owned event/ticket projection; Ticket reads X</t>
  </si>
  <si>
    <t>INDIRECT after publish recompute</t>
  </si>
  <si>
    <t>DELTA only for publish recompute; Ticket reads X</t>
  </si>
  <si>
    <t>../reference/QA_MATRIX_DETAILS_20261014.md#event-ticket-002</t>
  </si>
  <si>
    <t>EVENT-TICKET-POLL-001</t>
  </si>
  <si>
    <t>Event ticket live refresh</t>
  </si>
  <si>
    <t>Prove foreground Ticket-popup convergence, then close it and prove the background side-menu poll resumes after Unpublish</t>
  </si>
  <si>
    <t>INDIRECT shared frontend ActivityStore counter signal; persisted users counters remain write-owned</t>
  </si>
  <si>
    <t>X for polls; DELTA one normal recompute for publish and lifecycle revocation/counter refresh for unpublish</t>
  </si>
  <si>
    <t>../reference/QA_MATRIX_DETAILS_20261014.md#event-ticket-poll-001</t>
  </si>
  <si>
    <t>EVENT-TICKET-003</t>
  </si>
  <si>
    <t>Physical-phone Admin QR check-in through ADB localhost tunnel</t>
  </si>
  <si>
    <t>INDIRECT check-in counter only if documented</t>
  </si>
  <si>
    <t>../reference/QA_MATRIX_DETAILS_20261014.md#event-ticket-003</t>
  </si>
  <si>
    <t>EVENT-TICKET-004</t>
  </si>
  <si>
    <t>Event ticketing lifecycle</t>
  </si>
  <si>
    <t>Prove physical ticket A/D audit history across Unpublish and a later republish</t>
  </si>
  <si>
    <t>INDIRECT lifecycle delta owned by the event mutation</t>
  </si>
  <si>
    <t>DELTA event lifecycle/recompute; ticket reads X</t>
  </si>
  <si>
    <t>INDIRECT after event recompute</t>
  </si>
  <si>
    <t>DELTA only for the owning lifecycle mutation</t>
  </si>
  <si>
    <t>../reference/QA_MATRIX_DETAILS_20261014.md#event-ticket-004</t>
  </si>
  <si>
    <t>EVENT-TICKET-005</t>
  </si>
  <si>
    <t>Event ticket join approval</t>
  </si>
  <si>
    <t>Discover a Public event in Explore; prove repeated Join/Cancel signal removal, visible-basket reload retention and terminal admin-approval ticket ownership</t>
  </si>
  <si>
    <t>INDIRECT Join/cancel/approval counter deltas</t>
  </si>
  <si>
    <t>INDIRECT after Join/cancel/approval recompute</t>
  </si>
  <si>
    <t>PASS / CLOSED; TWO REPAIRS VERIFIED</t>
  </si>
  <si>
    <t>2026-08-12</t>
  </si>
  <si>
    <t>../reference/QA_MATRIX_DETAILS_20261014.md#event-ticket-005</t>
  </si>
  <si>
    <t>EVENT-TICKET-006</t>
  </si>
  <si>
    <t>Event ticket past lifecycle</t>
  </si>
  <si>
    <t>Move an ended event ticket from Upcoming to Past without changing physical A/D status</t>
  </si>
  <si>
    <t>INDIRECT normal event-expiry convergence</t>
  </si>
  <si>
    <t>DELTA only for the existing event-expiry counter worker</t>
  </si>
  <si>
    <t>Same A ticket id/code moves Upcoming -&gt; Past; expired scan is rejected without mutation or replacement</t>
  </si>
  <si>
    <t>../reference/QA_MATRIX_DETAILS_20261014.md#event-ticket-006</t>
  </si>
  <si>
    <t>EVENT-TICKET-007</t>
  </si>
  <si>
    <t>Event ticket invitation acceptance</t>
  </si>
  <si>
    <t>Let accepted Nova invite Riley; Riley responds first and stays ticketless pending Casey approval; Casey's later terminal approval creates Riley's ticket</t>
  </si>
  <si>
    <t>INDIRECT invitation/invitee-response/Admin-approval deltas</t>
  </si>
  <si>
    <t>INDIRECT after terminal Admin approval recompute</t>
  </si>
  <si>
    <t>../reference/QA_MATRIX_DETAILS_20261014.md#event-ticket-007</t>
  </si>
  <si>
    <t>EVENT-TICKET-008</t>
  </si>
  <si>
    <t>Event ticket isolation</t>
  </si>
  <si>
    <t>Keep two similar ticketed events with the same Casey Admin, Nova accepted Member and Riley pending roles, then mutate only one event</t>
  </si>
  <si>
    <t>INDIRECT only for the selected event lifecycle</t>
  </si>
  <si>
    <t>DELTA only for selected-event lifecycle/ticket counters; reads X</t>
  </si>
  <si>
    <t>INDIRECT only after selected-event recompute</t>
  </si>
  <si>
    <t>DELTA only for the selected event's owning mutation</t>
  </si>
  <si>
    <t>../reference/QA_MATRIX_DETAILS_20261014.md#event-ticket-008</t>
  </si>
  <si>
    <t>EVENT-TICKET-009</t>
  </si>
  <si>
    <t>Event ticket offline holder</t>
  </si>
  <si>
    <t>Prove a warmed authenticated holder session survives offline reload and can present the cached QR while only that client is offline, then an online Admin scanner checks it in exactly once</t>
  </si>
  <si>
    <t>DELTA one canonical ticket-use mutation from the online scanner</t>
  </si>
  <si>
    <t>X; check-in is a direct request path</t>
  </si>
  <si>
    <t>../reference/QA_MATRIX_DETAILS_20261014.md#event-ticket-009</t>
  </si>
  <si>
    <t>EVENT-TICKET-010</t>
  </si>
  <si>
    <t>Event ticket replay warning</t>
  </si>
  <si>
    <t>With holder Nova online throughout, audit every authenticated already-used replay actor while aggregating holder warnings into one counted inbox row</t>
  </si>
  <si>
    <t>INDIRECT bounded/collapsible outbox delivery; ticket/event workers X</t>
  </si>
  <si>
    <t>../reference/QA_MATRIX_DETAILS_20261014.md#event-ticket-010</t>
  </si>
  <si>
    <t>EVENT-TICKET-011</t>
  </si>
  <si>
    <t>Defect retest checkpoint</t>
  </si>
  <si>
    <t>Event ticket attendance</t>
  </si>
  <si>
    <t>Project the first successful physical-ticket check-in into the event-scoped Members list without replacing membership acceptance</t>
  </si>
  <si>
    <t>INDIRECT attendance statistics only after a separately owned aggregation</t>
  </si>
  <si>
    <t>INDIRECT only after later attendance-affinity policy is explicitly defined</t>
  </si>
  <si>
    <t>X; first check-in and idempotent replay recovery are direct request paths</t>
  </si>
  <si>
    <t>../reference/QA_MATRIX_DETAILS_20261014.md#event-ticket-011</t>
  </si>
  <si>
    <t>EVENT-TICKET-012</t>
  </si>
  <si>
    <t>Event ticket revocation</t>
  </si>
  <si>
    <t>Scan the previously saved physical-ticket QR after Casey Unpublishes but before Republish</t>
  </si>
  <si>
    <t>X; rejected scan is a strict no-op and prior replay/audit/unread counts remain stable</t>
  </si>
  <si>
    <t>X; direct request path</t>
  </si>
  <si>
    <t>../reference/QA_MATRIX_DETAILS_20261014.md#event-ticket-012</t>
  </si>
  <si>
    <t>EVENT-NOTIFICATION-001</t>
  </si>
  <si>
    <t>Event lifecycle notifications + shared polling</t>
  </si>
  <si>
    <t>Deliver Unpublish and Republish lifecycle notifications while another popup owns foreground polling</t>
  </si>
  <si>
    <t>DELTA event-definition scheduled task only for each lifecycle mutation; poll X</t>
  </si>
  <si>
    <t>../reference/QA_MATRIX_DETAILS_20261014.md#event-notification-001</t>
  </si>
  <si>
    <t>EVENT-CHAT-LIFECYCLE-001</t>
  </si>
  <si>
    <t>Event chat lifecycle</t>
  </si>
  <si>
    <t>Keep every physical event-bound chat and its history usable across Unpublish and Republish</t>
  </si>
  <si>
    <t>X; direct event lifecycle write path</t>
  </si>
  <si>
    <t>../reference/QA_MATRIX_DETAILS_20261014.md#event-chat-lifecycle-001</t>
  </si>
  <si>
    <t>MEDIA-IMG-001</t>
  </si>
  <si>
    <t>Event Editor subcase</t>
  </si>
  <si>
    <t>Within the closed Event Editor save/reopen flow, upload one managed non-square image once and retain one canonical URL</t>
  </si>
  <si>
    <t>MANUAL UI + ORACLE PASS; FIX VERIFIED</t>
  </si>
  <si>
    <t>../reference/QA_MATRIX_DETAILS_20261014.md#media-img-001</t>
  </si>
  <si>
    <t>EVENT-SCHEDULERS-001</t>
  </si>
  <si>
    <t>Event background-worker lifecycle</t>
  </si>
  <si>
    <t>Prepare bounded random-group, counter/ticket-expiry and checkout-basket-purge inputs and let each real scheduler process its exact work once</t>
  </si>
  <si>
    <t>DELTA status/count/duration/history; DELTA</t>
  </si>
  <si>
    <t>../reference/QA_MATRIX_DETAILS_20261014.md#event-schedulers-001</t>
  </si>
  <si>
    <t>P1 76</t>
  </si>
  <si>
    <t>JOB-AUTO</t>
  </si>
  <si>
    <t>event-auto-inviter</t>
  </si>
  <si>
    <t>Real scheduler invites eligible users</t>
  </si>
  <si>
    <t>DELTA event/member activity when invites created</t>
  </si>
  <si>
    <t>DELTA scheduler/audit and Events/Members/outbox</t>
  </si>
  <si>
    <t>INDIRECT after affinity evidence/recompute</t>
  </si>
  <si>
    <t>DELTA invites/member state/bell</t>
  </si>
  <si>
    <t>../reference/QA_MATRIX_DETAILS_20261014.md#job-auto</t>
  </si>
  <si>
    <t>P0 84</t>
  </si>
  <si>
    <t>STAT-012</t>
  </si>
  <si>
    <t>Causal</t>
  </si>
  <si>
    <t>Invite or join one event member</t>
  </si>
  <si>
    <t>Event activity delta; Activities interaction changes</t>
  </si>
  <si>
    <t>Events/Members and outbox deltas</t>
  </si>
  <si>
    <t>Auto-inviter may be the trigger</t>
  </si>
  <si>
    <t>Member state and notification agree</t>
  </si>
  <si>
    <t>../reference/QA_MATRIX_DETAILS_20261014.md#stat-012</t>
  </si>
  <si>
    <t>PAYMENT-METHODS-HISTORY-001</t>
  </si>
  <si>
    <t>Member side-menu Payment history and saved cards</t>
  </si>
  <si>
    <t>Payment history/totals, Cash-only gating, Stripe/Barion registration, 3DS, retokenization and expired cards.</t>
  </si>
  <si>
    <t>X; exact user payment totals remain unchanged</t>
  </si>
  <si>
    <t>X; Payment History and card reads do not create audit or queue work</t>
  </si>
  <si>
    <t>X; expiry job generation is machine-proven separately and is not rerun by this UI fixture</t>
  </si>
  <si>
    <t>-</t>
  </si>
  <si>
    <t>../reference/QA_MATRIX_DETAILS_20261014.md#payment-methods-history-001</t>
  </si>
  <si>
    <t>EVENT-GALLERY-FEED-001</t>
  </si>
  <si>
    <t>Gallery, Photo Feed and content moderation</t>
  </si>
  <si>
    <t>Exercise five-image shared editing/read-only galleries, Event cover, Article image metadata, profile info scrolling, localized Feed and shared admin moderation with category/state buckets.</t>
  </si>
  <si>
    <t>DELTA persisted moderation counters and support-message deduplication</t>
  </si>
  <si>
    <t>DELTA content-auto-approve eligibility, delay, suspension and repeat-run history</t>
  </si>
  <si>
    <t>DELTA gallery save/reopen, mobile fit, Feed ordering/visibility, moderation SmartList moves and shared settings/counters</t>
  </si>
  <si>
    <t>../reference/QA_MATRIX_DETAILS_20261014.md#event-gallery-feed-001</t>
  </si>
  <si>
    <t>P1 75</t>
  </si>
  <si>
    <t>EVENT-CALENDAR-EXPORT-001</t>
  </si>
  <si>
    <t>Manual calendar ICS export</t>
  </si>
  <si>
    <t>Download own upcoming/ongoing published or accepted events from Profile; verify private snapshot, stable IDs, actual Android import window, repeated/changed import and offline calendar reminder.</t>
  </si>
  <si>
    <t>../reference/QA_MATRIX_DETAILS_20261014.md#event-calendar-export-001</t>
  </si>
  <si>
    <t>P1 73</t>
  </si>
  <si>
    <t>EVENT-PAST-BADGES-001</t>
  </si>
  <si>
    <t>Regression follow-up</t>
  </si>
  <si>
    <t>Time-bound activity badges</t>
  </si>
  <si>
    <t>Stored Event badges before/after expiry, subsequent write-side recount and repeated worker; Rates excluded</t>
  </si>
  <si>
    <t>Close past events; Followed expiry; batch implementation retained</t>
  </si>
  <si>
    <t>Event dropdown All binding; Event scopes, Tickets and Followed time boundaries</t>
  </si>
  <si>
    <t>PASS / CLOSED (server expiry regression)</t>
  </si>
  <si>
    <t>2026-09-30</t>
  </si>
  <si>
    <t>../reference/QA_MATRIX_DETAILS_20261014.md#event-past-badges-001</t>
  </si>
  <si>
    <t>MSC115-WORK-EVENT</t>
  </si>
  <si>
    <t>Campaign-scoped invitation, capacity and related filters</t>
  </si>
  <si>
    <t>MSC-115 steps 33–36: Campaign-selected event with its own capacity; Events and feedback filters; recipient-only invitations/acceptance/removal/feedback; Work excluded from random-room generation.</t>
  </si>
  <si>
    <t>PARTIAL — recorded samples</t>
  </si>
  <si>
    <t>../reference/QA_MATRIX_DETAILS_20261014.md#msc115-work-event</t>
  </si>
  <si>
    <t>MSC115-PAYMENT</t>
  </si>
  <si>
    <t>Group-scoped history, member basket and manual transfer</t>
  </si>
  <si>
    <t>MSC-115 steps 88–91: Member-scoped payment history, manual cash/transfer receipts, retry/refund and workspace isolation.</t>
  </si>
  <si>
    <t>../reference/QA_MATRIX_DETAILS_20261014.md#msc115-payment</t>
  </si>
  <si>
    <t>TOURNAMENT-001</t>
  </si>
  <si>
    <t>Inspect saved tournament definition before grouping</t>
  </si>
  <si>
    <t>INDIRECT event inventory only</t>
  </si>
  <si>
    <t>DELTA definition write; runtime processing X</t>
  </si>
  <si>
    <t>Tournament grouping/review X</t>
  </si>
  <si>
    <t>Parent, stages, capacities, sequence and initial counts agree</t>
  </si>
  <si>
    <t>MANUAL UI PASS</t>
  </si>
  <si>
    <t>../reference/QA_MATRIX_DETAILS_20261014.md#tournament-001</t>
  </si>
  <si>
    <t>TOURNAMENT-002</t>
  </si>
  <si>
    <t>Run real grouping and inspect group membership</t>
  </si>
  <si>
    <t>DELTA group/member/chat materialization</t>
  </si>
  <si>
    <t>INDIRECT after membership changes</t>
  </si>
  <si>
    <t>DELTA named real grouping path</t>
  </si>
  <si>
    <t>Each accepted user occurs once in the correct group and group chat</t>
  </si>
  <si>
    <t>../reference/QA_MATRIX_DETAILS_20261014.md#tournament-002</t>
  </si>
  <si>
    <t>TOURNAMENT-003</t>
  </si>
  <si>
    <t>Finalize stage and let real review advance it</t>
  </si>
  <si>
    <t>INDIRECT stage/member activity</t>
  </si>
  <si>
    <t>DELTA stage, membership and outbox</t>
  </si>
  <si>
    <t>INDIRECT after advancement recompute</t>
  </si>
  <si>
    <t>DELTA event-tournament-review real run</t>
  </si>
  <si>
    <t>Winners advance once; losers and stale groups are removed correctly</t>
  </si>
  <si>
    <t>../reference/QA_MATRIX_DETAILS_20261014.md#tournament-003</t>
  </si>
  <si>
    <t>TOURNAMENT-004</t>
  </si>
  <si>
    <t>Expansion checkpoint CP12</t>
  </si>
  <si>
    <t>Tournament final lifecycle</t>
  </si>
  <si>
    <t>Start the advanced Final stage, then finalize the completed tournament</t>
  </si>
  <si>
    <t>INDIRECT stage/event notification counters</t>
  </si>
  <si>
    <t>DELTA Final runtime, whole-tournament result and ordered notification outbox</t>
  </si>
  <si>
    <t>DELTA real stage lifecycle; automatic branch conditional</t>
  </si>
  <si>
    <t>2026-08-16</t>
  </si>
  <si>
    <t>../reference/QA_MATRIX_DETAILS_20261014.md#tournament-004</t>
  </si>
  <si>
    <t>TOURNAMENT-ROOM-LIFE-001</t>
  </si>
  <si>
    <t>Tournament room nested visibility</t>
  </si>
  <si>
    <t>Inspect one active parent tournament and its accepted generated rooms through the parent → stage → Groups path</t>
  </si>
  <si>
    <t>READ parent-linked/generated rooms with accepted-only membership; no mutation</t>
  </si>
  <si>
    <t>../reference/QA_MATRIX_DETAILS_20261014.md#tournament-room-life-001</t>
  </si>
  <si>
    <t>TOURNAMENT-CARD-001</t>
  </si>
  <si>
    <t>Tournament parent card current stage</t>
  </si>
  <si>
    <t>Persist and display the current stage summary on the root tournament event card</t>
  </si>
  <si>
    <t>DELTA parent card stage row updates in place and survives reload; generated rooms remain hidden</t>
  </si>
  <si>
    <t>DELTA parent event current-stage wire value on lifecycle transition; nested runtime remains authoritative and consistent</t>
  </si>
  <si>
    <t>../reference/QA_MATRIX_DETAILS_20261014.md#tournament-card-001</t>
  </si>
  <si>
    <t>P1 90</t>
  </si>
  <si>
    <t>TOURNAMENT-ADMISSION-001</t>
  </si>
  <si>
    <t>Tournament first-stage admission boundary</t>
  </si>
  <si>
    <t>Attempt late join, existing-invitation acceptance and Admin approval after the first stage Start boundary</t>
  </si>
  <si>
    <t>X for all rejected branches; each returns the localized registration-closed result</t>
  </si>
  <si>
    <t>2026-08-17</t>
  </si>
  <si>
    <t>../reference/QA_MATRIX_DETAILS_20261014.md#tournament-admission-001</t>
  </si>
  <si>
    <t>TOURNAMENT-SCORE-REOPEN-001</t>
  </si>
  <si>
    <t>Tournament corrected score revision</t>
  </si>
  <si>
    <t>Auto-close one stage to Score review, Finalize once, then Reopen scores, change one deterministic outcome and Finalize again</t>
  </si>
  <si>
    <t>INDIRECT result and unread counters change once per approved revision</t>
  </si>
  <si>
    <t>DELTA tournament-review worker consumes each approved revision exactly once</t>
  </si>
  <si>
    <t>../reference/QA_MATRIX_DETAILS_20261014.md#tournament-score-reopen-001</t>
  </si>
  <si>
    <t>TOURNAMENT-SCORE-REOPEN-002</t>
  </si>
  <si>
    <t>Tournament late correction safety</t>
  </si>
  <si>
    <t>Compare Reopen scores before and after the dependent next stage starts</t>
  </si>
  <si>
    <t>DELTA allow correction only before downstream play; late rejection preserves every domain and notification record</t>
  </si>
  <si>
    <t>No ordinary Reopen after a dependent stage is active/closed; a future explicit rollback workflow is separate</t>
  </si>
  <si>
    <t>../reference/QA_MATRIX_DETAILS_20261014.md#tournament-score-reopen-002</t>
  </si>
  <si>
    <t>TOURNAMENT-MEMBER-001</t>
  </si>
  <si>
    <t>Expansion checkpoint CP14</t>
  </si>
  <si>
    <t>Tournament first-stage materialization admission cutoff</t>
  </si>
  <si>
    <t>Accept one invitation while a scheduled first-stage Start is in flight, retain one pending invitation, then complete the materialization once</t>
  </si>
  <si>
    <t>INDIRECT accepted/pending participation counts</t>
  </si>
  <si>
    <t>DELTA successful first-stage materialization determines the exact participant set; no duplicate room membership or chat</t>
  </si>
  <si>
    <t>INDIRECT existing affinity may select a group but is not mutated</t>
  </si>
  <si>
    <t>X for scheduled Start itself; Casey may complete one stuck in-flight materialization</t>
  </si>
  <si>
    <t>MANUAL UI + FUNCTIONAL PASS / CLOSED</t>
  </si>
  <si>
    <t>2026-08-25</t>
  </si>
  <si>
    <t>../reference/QA_MATRIX_DETAILS_20261014.md#tournament-member-001</t>
  </si>
  <si>
    <t>TOURNAMENT-MEMBER-002</t>
  </si>
  <si>
    <t>Tournament active-member removal</t>
  </si>
  <si>
    <t>From an already-started nonblocked Tournament with parent currentStage and Qualifiers runtime both A, remove one accepted participant after its generated room and leaderboard row exist</t>
  </si>
  <si>
    <t>INDIRECT participant, activity and unread counts</t>
  </si>
  <si>
    <t>PARITY IMPLEMENTED / NOT EXECUTED</t>
  </si>
  <si>
    <t>../reference/QA_MATRIX_DETAILS_20261014.md#tournament-member-002</t>
  </si>
  <si>
    <t>TOURNAMENT-MEMBER-003</t>
  </si>
  <si>
    <t>Tournament removal notification fan-out</t>
  </si>
  <si>
    <t>Remove one scored non-host participant from a single four-person generated group while the actor and two other parent participants stay active</t>
  </si>
  <si>
    <t>../reference/QA_MATRIX_DETAILS_20261014.md#tournament-member-003</t>
  </si>
  <si>
    <t>TOURNAMENT-DQ-001</t>
  </si>
  <si>
    <t>Tournament disqualification and reinstatement</t>
  </si>
  <si>
    <t>Disqualify one scored participant, inspect ranking and advancement, then reinstate before a separate finalization replay</t>
  </si>
  <si>
    <t>INDIRECT eligible/advanced result counts</t>
  </si>
  <si>
    <t>DELTA tournament review excludes DQ rows and remains idempotent</t>
  </si>
  <si>
    <t>../reference/QA_MATRIX_DETAILS_20261014.md#tournament-dq-001</t>
  </si>
  <si>
    <t>TOURNAMENT-RESOURCE-001</t>
  </si>
  <si>
    <t>Generated group resource aggregation</t>
  </si>
  <si>
    <t>Assign controlled Transport, Accommodation and Supplies to one generated Tournament group and inspect every aggregate level</t>
  </si>
  <si>
    <t>INDIRECT event/resource activity</t>
  </si>
  <si>
    <t>X unless an explicitly documented resource notification task is produced</t>
  </si>
  <si>
    <t>../reference/QA_MATRIX_DETAILS_20261014.md#tournament-resource-001</t>
  </si>
  <si>
    <t>JOB-TOURNAMENT</t>
  </si>
  <si>
    <t>event-tournament-review</t>
  </si>
  <si>
    <t>Real scheduler reviews stage transitions</t>
  </si>
  <si>
    <t>DELTA scheduler/audit; INDIRECT domain/outbox</t>
  </si>
  <si>
    <t>DELTA stage review/advancement/score-plan/notifications</t>
  </si>
  <si>
    <t>../reference/QA_MATRIX_DETAILS_20261014.md#job-tournament</t>
  </si>
  <si>
    <t>MSC115-MIXING</t>
  </si>
  <si>
    <t>Priority-off Mingle and Tournament</t>
  </si>
  <si>
    <t>MSC-115 steps 92–94: Private Community Mingle/Tournament without affinity weighting; manual/automatic notification recipients and Dating control.</t>
  </si>
  <si>
    <t>../reference/QA_MATRIX_DETAILS_20261014.md#msc115-mixing</t>
  </si>
  <si>
    <t>CHAT-AUTH-001</t>
  </si>
  <si>
    <t>Event chat authorization</t>
  </si>
  <si>
    <t>Compare Admin, accepted, pending and left membership against the same event chat</t>
  </si>
  <si>
    <t>INDIRECT only for the controlled proof messages; causal Statistics replay is STAT-011</t>
  </si>
  <si>
    <t>DELTA chat writes only after accepted state</t>
  </si>
  <si>
    <t>X unless a message creates documented delivery work</t>
  </si>
  <si>
    <t>Admin and accepted member share history; pending/left users have no channel and are server-denied</t>
  </si>
  <si>
    <t>MANUAL UI + FUNCTIONAL PASS; WEBSOCKET DEFECT FIXED</t>
  </si>
  <si>
    <t>../reference/QA_MATRIX_DETAILS_20261014.md#chat-auth-001</t>
  </si>
  <si>
    <t>CHAT-FLOW-001</t>
  </si>
  <si>
    <t>Consolidated checkpoint CP13</t>
  </si>
  <si>
    <t>Everyday conversation and recovery</t>
  </si>
  <si>
    <t>Three-user chat history, typing, exact-once send, unread/read receipt and reconnect catch-up.</t>
  </si>
  <si>
    <t>DELTA two ordinary chat.message.sent events; list/history/typing reads X</t>
  </si>
  <si>
    <t>DELTA exact recipient unread/read and reader identities; no lost/duplicate message across reconnect</t>
  </si>
  <si>
    <t>X unless documented message delivery work is produced</t>
  </si>
  <si>
    <t>../reference/QA_MATRIX_DETAILS_20261014.md#chat-flow-001</t>
  </si>
  <si>
    <t>CHAT-ACTIONS-001</t>
  </si>
  <si>
    <t>Message action lifecycle</t>
  </si>
  <si>
    <t>Against one existing three-user thread, reply to an older message, aggregate/change/remove reactions, pin and locate the source, edit as owner with non-owner denial, then unpin and unsend with non-owner denial</t>
  </si>
  <si>
    <t>INDIRECT one ordinary reply message; mutations do not add messages</t>
  </si>
  <si>
    <t>DELTA same-message reply/reaction/pin/edit/tombstone state only; unauthorized writes X</t>
  </si>
  <si>
    <t>../reference/QA_MATRIX_DETAILS_20261014.md#chat-actions-001</t>
  </si>
  <si>
    <t>CHAT-CONTENT-001</t>
  </si>
  <si>
    <t>Rich-content conversation</t>
  </si>
  <si>
    <t>In one accepted Group thread send one image, short voice clip, two-option poll, Event card and Asset/link card; consume them as Nova/Riley, change one vote and exercise denied recorder plus unavailable-target controls</t>
  </si>
  <si>
    <t>INDIRECT five chat messages</t>
  </si>
  <si>
    <t>DELTA one canonical attachment/target record per sent message and exact per-user poll votes</t>
  </si>
  <si>
    <t>../reference/QA_MATRIX_DETAILS_20261014.md#chat-content-001</t>
  </si>
  <si>
    <t>CHAT-GOVERNANCE-001</t>
  </si>
  <si>
    <t>Members and moderation intake</t>
  </si>
  <si>
    <t>Inspect canonical Event and Group members, including pending/left/other-group negative controls, then report one accepted participant message twice and open the resulting Admin review item</t>
  </si>
  <si>
    <t>INDIRECT one moderation input</t>
  </si>
  <si>
    <t>DELTA exactly one idempotent report/review identity; member reads X</t>
  </si>
  <si>
    <t>../reference/QA_MATRIX_DETAILS_20261014.md#chat-governance-001</t>
  </si>
  <si>
    <t>STAT-011</t>
  </si>
  <si>
    <t>Send controlled ordinary chat messages</t>
  </si>
  <si>
    <t>Messages timeline +1 per message; Communication +1 per message</t>
  </si>
  <si>
    <t>Chat flow +1 per message; outbox conditional</t>
  </si>
  <si>
    <t>Notification outbox conditional</t>
  </si>
  <si>
    <t>Message and unread/read projection correct</t>
  </si>
  <si>
    <t>../reference/QA_MATRIX_DETAILS_20261014.md#stat-011</t>
  </si>
  <si>
    <t>P1 66</t>
  </si>
  <si>
    <t>MSC115-WORK-CHAT</t>
  </si>
  <si>
    <t>Campaign questions and event group chat</t>
  </si>
  <si>
    <t>MSC-115 steps 30–32: Rating before organizer questions; Campaign chat, recipient notifications/unread and retry; separate real Event group chat.</t>
  </si>
  <si>
    <t>../reference/QA_MATRIX_DETAILS_20261014.md#msc115-work-chat</t>
  </si>
  <si>
    <t>MSC115-CASE-CHAT</t>
  </si>
  <si>
    <t>Shared case channel and permission changes</t>
  </si>
  <si>
    <t>MSC-115 steps 64–69: Case and quotation channels, current membership access, recipient unread, direct Tasks navigation and failure/retry without an underlying Cases list.</t>
  </si>
  <si>
    <t>../reference/QA_MATRIX_DETAILS_20261014.md#msc115-case-chat</t>
  </si>
  <si>
    <t>CHAT-CALL-001</t>
  </si>
  <si>
    <t>Dedicated checkpoint MSC-117</t>
  </si>
  <si>
    <t>Chat WebRTC group calls</t>
  </si>
  <si>
    <t>MSC117 remaining steps1-29: group media, controls, admin/coordinator actions, paging/RTP and call/volume guides; credited two-party calls excluded.</t>
  </si>
  <si>
    <t>X: signaling is not a saved chat message</t>
  </si>
  <si>
    <t>DELTA live STUN health via existing WebSocket</t>
  </si>
  <si>
    <t>N/A (no call transport)</t>
  </si>
  <si>
    <t>2026-10-16</t>
  </si>
  <si>
    <t>Focused actual WASM pre-join MLS and watcher-AOT early-offer regression PASS; prior tests credited.</t>
  </si>
  <si>
    <t>No replay of accepted blocks. Template/live qualification separate; explicit coverage limitations in evidence.</t>
  </si>
  <si>
    <t>../evidence/general/MSC117-20261016/summary.json; 3/7-party actual RTP, controls, transport, EN/HU guides, muted entry; cleanup complete. Final targeted follow-up PASS: 42/42 connected; same fresh build; real mobile error is two lines with ellipsis, red frame and unobscured 60px avatar.</t>
  </si>
  <si>
    <t>ASSET-LIFE-001</t>
  </si>
  <si>
    <t>Asset lifecycle and type schemas</t>
  </si>
  <si>
    <t>Create one Transport, one Accommodation and one Supplies asset; edit one shared field, then delete the Transport</t>
  </si>
  <si>
    <t>INDIRECT asset inventory counts</t>
  </si>
  <si>
    <t>DELTA canonical asset documents and lifecycle status; assigned projections are unchanged until a later assignment case</t>
  </si>
  <si>
    <t>NOT EXECUTED</t>
  </si>
  <si>
    <t>2026-09-03</t>
  </si>
  <si>
    <t>../reference/QA_MATRIX_DETAILS_20261014.md#asset-life-001</t>
  </si>
  <si>
    <t>ASSET-VIS-001</t>
  </si>
  <si>
    <t>Asset visibility and discovery</t>
  </si>
  <si>
    <t>Compare one Public, Friends only and Invitation only asset as owner, friend and unrelated member; edit Public to Invitation only and reload</t>
  </si>
  <si>
    <t>INDIRECT visible asset counts</t>
  </si>
  <si>
    <t>X for reads; DELTA one canonical Asset Visibility/update audit for the Edit</t>
  </si>
  <si>
    <t>INDIRECT existing friendship graph; DELTA edited-Asset affinity/boost recompute only</t>
  </si>
  <si>
    <t>X for reads; DELTA one collapsed ASSET_CHANGED task for the Save</t>
  </si>
  <si>
    <t>../reference/QA_MATRIX_DETAILS_20261014.md#asset-vis-001</t>
  </si>
  <si>
    <t>ASSET-MEMBER-LIFECYCLE-001</t>
  </si>
  <si>
    <t>Asset invitation and join membership lifecycle</t>
  </si>
  <si>
    <t>Asset invitation/join approval, delegated management, removal and invitation rejection.</t>
  </si>
  <si>
    <t>INDIRECT asset/member activity</t>
  </si>
  <si>
    <t>../reference/QA_MATRIX_DETAILS_20261014.md#asset-member-lifecycle-001</t>
  </si>
  <si>
    <t>ASSET-BORROW-001</t>
  </si>
  <si>
    <t>One-unit free and paid Borrow, timeframe, capacity and exact-scope Organizer-only lifecycle</t>
  </si>
  <si>
    <t>Free/paid Borrow lifecycle, duplicate submissions, overlap capacity and Organizer-only scope.</t>
  </si>
  <si>
    <t>Normal Asset request notification/outbox and affinity-task effects; Barion once per paid submission; schedulers X</t>
  </si>
  <si>
    <t>2026-09-17</t>
  </si>
  <si>
    <t>../reference/QA_MATRIX_DETAILS_20261014.md#asset-borrow-001</t>
  </si>
  <si>
    <t>P2 72</t>
  </si>
  <si>
    <t>ASSET-CHECKOUT-001</t>
  </si>
  <si>
    <t>Resource/Asset Explore Barion and 3DS checkout</t>
  </si>
  <si>
    <t>From scoped Asset Explore traverse review, resumable checkout, one Barion payment, pending owner request and terminal acceptance while comparing free, unavailable, Cancel, decline and timeout action states</t>
  </si>
  <si>
    <t>INDIRECT one paid Asset request/accepted-resource delta; draft/payment-summary reads X</t>
  </si>
  <si>
    <t>X; no Event or Tournament affinity role is created</t>
  </si>
  <si>
    <t>CONDITIONAL normal Asset request/outbox work; simulator callback work follows the selected Barion/3DS branch</t>
  </si>
  <si>
    <t>2026-09-08</t>
  </si>
  <si>
    <t>../reference/QA_MATRIX_DETAILS_20261014.md#asset-checkout-001</t>
  </si>
  <si>
    <t>ASSET-PRICING-001</t>
  </si>
  <si>
    <t>Interactive journey</t>
  </si>
  <si>
    <t>Interactive pricing configuration and payment-time snapshots</t>
  </si>
  <si>
    <t>Edit fixed and Hybrid Asset pricing, observe Borrow and payment disclosures, retain payment-time terms, and check independently submitted rentals and per-request member counts</t>
  </si>
  <si>
    <t>X before payment; indirect Asset visibility and Borrow price projection changes</t>
  </si>
  <si>
    <t>Barion provider runs exactly once per payment; no scheduler; normal Asset request/outbox and affinity effects only</t>
  </si>
  <si>
    <t>../reference/QA_MATRIX_DETAILS_20261014.md#asset-pricing-001</t>
  </si>
  <si>
    <t>ASSET-ASSIGNMENT-LIFECYCLE-001</t>
  </si>
  <si>
    <t>Normal sub-event and tournament-group assignment</t>
  </si>
  <si>
    <t>Assign Transport, Accommodation and multi-user Supplies to one normal sub-event, then edit/unassign/remove one Group A resource while Group B stays unchanged</t>
  </si>
  <si>
    <t>INDIRECT asset/event activity; INDIRECT per-type resource counts; INDIRECT exact resource/activity aggregate deltas</t>
  </si>
  <si>
    <t>2026-09-04</t>
  </si>
  <si>
    <t>../reference/QA_MATRIX_DETAILS_20261014.md#asset-assignment-lifecycle-001</t>
  </si>
  <si>
    <t>GROUP-LIFECYCLE-001</t>
  </si>
  <si>
    <t>Community group lifecycle</t>
  </si>
  <si>
    <t>Group lifecycle, roles, discovery, membership, workspace, moderation, counters and support.</t>
  </si>
  <si>
    <t>CLOSED / PASS — agreed HTTP scope</t>
  </si>
  <si>
    <t>CLOSED: HTTP29/29 current-scope blocks;26 full closures and3 scope-transfer closures.</t>
  </si>
  <si>
    <t>2026-09-27</t>
  </si>
  <si>
    <t>../reference/QA_MATRIX_DETAILS_20261014.md#group-lifecycle-001</t>
  </si>
  <si>
    <t>GROUP-ISOLATION-001</t>
  </si>
  <si>
    <t>Workspace privacy and domain samples</t>
  </si>
  <si>
    <t>Workspace isolation across nine checklist blocks: requests, discovery, notifications, moderation, support and membership.</t>
  </si>
  <si>
    <t>CLOSED / PASS — HTTP scope</t>
  </si>
  <si>
    <t>9/9 HTTP isolation blocks PASS; exact fixture/session restore complete.</t>
  </si>
  <si>
    <t>../reference/QA_MATRIX_DETAILS_20261014.md#group-isolation-001</t>
  </si>
  <si>
    <t>MSC115-INVITE</t>
  </si>
  <si>
    <t>Shared links, workspace registration and promotion</t>
  </si>
  <si>
    <t>MSC-115 steps 18–20: Work/Community shared links, registration/claim, workspace membership and independent Dating behavior.</t>
  </si>
  <si>
    <t>../reference/QA_MATRIX_DETAILS_20261014.md#msc115-invite</t>
  </si>
  <si>
    <t>MSC115-WORK-CAMPAIGN</t>
  </si>
  <si>
    <t>Campaign authoring and discovery</t>
  </si>
  <si>
    <t>MSC-115 steps 21–24: Campaign authoring/lifecycle, images and document tables, published picker, Home discovery and Details/Organizer navigation.</t>
  </si>
  <si>
    <t>../reference/QA_MATRIX_DETAILS_20261014.md#msc115-work-campaign</t>
  </si>
  <si>
    <t>MSC115-WORK-RATING</t>
  </si>
  <si>
    <t>Person ratings with optional Campaign context</t>
  </si>
  <si>
    <t>MSC-115 steps 25–29: Person aggregates and campaign history; campaign menu opens scoped Ratings, ordinary Ratings clears scope; revision, event-priority control and domain-specific criteria.</t>
  </si>
  <si>
    <t>../reference/QA_MATRIX_DETAILS_20261014.md#msc115-work-rating</t>
  </si>
  <si>
    <t>MSC115-SERVICE</t>
  </si>
  <si>
    <t>Community service sheet and priority discovery</t>
  </si>
  <si>
    <t>Steps 40–45, 95–99: services, staff, share links, provider calendar and completion feedback.</t>
  </si>
  <si>
    <t>../reference/QA_MATRIX_DETAILS_20261014.md#msc115-service</t>
  </si>
  <si>
    <t>MSC115-CASE</t>
  </si>
  <si>
    <t>Cases lifecycle, member access and task board</t>
  </si>
  <si>
    <t>MSC-115 steps 46–51, 58–63: Group-scoped case creation, member/admin ownership and lifecycle; task board, assignments, quotations, dependencies, agreed dates and provider calendar.</t>
  </si>
  <si>
    <t>../reference/QA_MATRIX_DETAILS_20261014.md#msc115-case</t>
  </si>
  <si>
    <t>MSC115-CASE-PROVIDER</t>
  </si>
  <si>
    <t>Recommendations, provider invitations and quotations</t>
  </si>
  <si>
    <t>MSC-115 steps 52–57: Chat-based provider recommendation/invitation; quotations, provider-specific quotation conversations, notifications and private-workspace isolation.</t>
  </si>
  <si>
    <t>../reference/QA_MATRIX_DETAILS_20261014.md#msc115-case-provider</t>
  </si>
  <si>
    <t>MSC115-SCHEDULE</t>
  </si>
  <si>
    <t>Scheduled task and 45-day case reminder</t>
  </si>
  <si>
    <t>MSC-115 steps 70–75: Personal/group schedules, 45-day occurrence boundary, case takeover, idempotence, recurrence progress, suspend/delete/restore and live counters.</t>
  </si>
  <si>
    <t>Focused command, recurrence and shared error-state tests PASS.</t>
  </si>
  <si>
    <t>../evidence/work-community/MSC115-step40-45-services-20261014.json</t>
  </si>
  <si>
    <t>MSC115-VOTING</t>
  </si>
  <si>
    <t>Member voting rights and final votes</t>
  </si>
  <si>
    <t>MSC-115 steps 82–87: Accepted-member voting rights, one final ballot per member, preserved ballots on revoke/regrant, results, deadline/worker and Voting filters. No apartment/unit weighting.</t>
  </si>
  <si>
    <t>../reference/QA_MATRIX_DETAILS_20261014.md#msc115-voting</t>
  </si>
  <si>
    <t>FEEDBACK-UI-001</t>
  </si>
  <si>
    <t>Domain refactor</t>
  </si>
  <si>
    <t>Feedback UI</t>
  </si>
  <si>
    <t>Central Feedback ownership; one page operation; labelled evaluation form, green badge, HTTP/local persistence and counters</t>
  </si>
  <si>
    <t>41 standard + 2 embedded JUnit PASS; watcher compile; transport schema checks</t>
  </si>
  <si>
    <t>Closed. Serial KVM packaging/page follow-up passed in the consolidated campaign; no full UI replay.</t>
  </si>
  <si>
    <t>../checklists/general/FEEDBACK-UI-001.md; ../evidence/general/FEEDBACK-UI-001-20261015/; retained guides/form credited, focused HTTP/local checks passed.</t>
  </si>
  <si>
    <t>P1 80</t>
  </si>
  <si>
    <t>ARTICLE-EDITOR-001</t>
  </si>
  <si>
    <t>Admin Article Editor</t>
  </si>
  <si>
    <t>Create, save and reopen one English Article draft; image upload is a subcase of the owning Save flow</t>
  </si>
  <si>
    <t>../reference/QA_MATRIX_DETAILS_20261014.md#article-editor-001</t>
  </si>
  <si>
    <t>LANDING-ARTICLE-001</t>
  </si>
  <si>
    <t>Public landing / Articles</t>
  </si>
  <si>
    <t>Publish the retained Article and compare a fresh landing load with any already-open landing surface</t>
  </si>
  <si>
    <t>../reference/QA_MATRIX_DETAILS_20261014.md#landing-article-001</t>
  </si>
  <si>
    <t>CONTENT-ADMIN-LIFECYCLE-001</t>
  </si>
  <si>
    <t>Admin content lifecycle</t>
  </si>
  <si>
    <t>Create/reopen four scoped inactive revisions, activate Privacy with per-user consent, delete inactive and active controls with fallback, then trash/restore/republish one disposable Article</t>
  </si>
  <si>
    <t>X; INDIRECT public/admin bucket count</t>
  </si>
  <si>
    <t>../reference/QA_MATRIX_DETAILS_20261014.md#content-admin-lifecycle-001</t>
  </si>
  <si>
    <t>P1 92</t>
  </si>
  <si>
    <t>MSC115-ANNOUNCEMENT</t>
  </si>
  <si>
    <t>Private Community Home and document editing</t>
  </si>
  <si>
    <t>MSC-115 steps 76–81, 100: Private Home notices/votes, document-table lifecycle, Ask the group admin, member visibility, read-only content and contextual badges.</t>
  </si>
  <si>
    <t>../reference/QA_MATRIX_DETAILS_20261014.md#msc115-announcement</t>
  </si>
  <si>
    <t>MOBILE-PUSH-LIFECYCLE-001</t>
  </si>
  <si>
    <t>Physical-device notification lifecycle</t>
  </si>
  <si>
    <t>Push foreground/background/cold delivery, target routing, permissions and token rotation/revocation.</t>
  </si>
  <si>
    <t>INDIRECT unread count; INDIRECT unread count becomes read after open; X</t>
  </si>
  <si>
    <t>DELTA one notification delivery task; X; DELTA only for eligible current token</t>
  </si>
  <si>
    <t>MANUAL PASS / CLOSED</t>
  </si>
  <si>
    <t>2026-09-15</t>
  </si>
  <si>
    <t>../reference/QA_MATRIX_DETAILS_20261014.md#mobile-push-lifecycle-001</t>
  </si>
  <si>
    <t>BELL-RATING-LIFECYCLE-001</t>
  </si>
  <si>
    <t>Rating, bell, Statistics and affinity lifecycle</t>
  </si>
  <si>
    <t>Read the initial bell, save one controlled rating/feedback once, verify target notification and exact Statistics delta, let the real affinity worker finish and compare the changed/control graph pair</t>
  </si>
  <si>
    <t>../reference/QA_MATRIX_DETAILS_20261014.md#bell-rating-lifecycle-001</t>
  </si>
  <si>
    <t>JOB-MESSAGES</t>
  </si>
  <si>
    <t>scheduled-messages</t>
  </si>
  <si>
    <t>Real scheduler dispatches due messages</t>
  </si>
  <si>
    <t>DELTA scheduler/audit; INDIRECT Notifications/outbox</t>
  </si>
  <si>
    <t>DELTA task audit plus notification/email result</t>
  </si>
  <si>
    <t>../reference/QA_MATRIX_DETAILS_20261014.md#job-messages</t>
  </si>
  <si>
    <t>NOTIFICATION-ADMIN-LIFECYCLE-001</t>
  </si>
  <si>
    <t>Admin rule, outbox and delivery lifecycle</t>
  </si>
  <si>
    <t>Save/reopen/validate one safe rule, run it for one target, let the real outbox worker process it, compare task/outbox/inbox/bell and prove unchanged second-run dedupe before restore</t>
  </si>
  <si>
    <t>X; INDIRECT unread count</t>
  </si>
  <si>
    <t>X; DELTA one named task/delivery; DELTA; Notification-outbox runState changes</t>
  </si>
  <si>
    <t>../reference/QA_MATRIX_DETAILS_20261014.md#notification-admin-lifecycle-001</t>
  </si>
  <si>
    <t>MOBILE-WEBVIEW-LIFECYCLE-001</t>
  </si>
  <si>
    <t>Android WebView, ADB and authenticated-cache lifecycle</t>
  </si>
  <si>
    <t>Use ADB to verify transport/tunnel, cold-start with old cache, resume after server mutation, switch/logout with authenticated caches and perform offline/online recovery</t>
  </si>
  <si>
    <t>X; INDIRECT current counters</t>
  </si>
  <si>
    <t>X; CONDITIONAL normal poll/task ownership only</t>
  </si>
  <si>
    <t>USER-AUTHORIZED ADB/CDP PASS / CLOSED</t>
  </si>
  <si>
    <t>../reference/QA_MATRIX_DETAILS_20261014.md#mobile-webview-lifecycle-001</t>
  </si>
  <si>
    <t>UI-POLL-JANK-001</t>
  </si>
  <si>
    <t>Performance defect retest</t>
  </si>
  <si>
    <t>Admin Jobs + Chat</t>
  </si>
  <si>
    <t>UI frame pacing during poll/live updates; logout attribution across intended sessions and browser close.</t>
  </si>
  <si>
    <t>USER-AUTHORIZED CDP PASS / CLOSED</t>
  </si>
  <si>
    <t>2026-09-14</t>
  </si>
  <si>
    <t>../reference/QA_MATRIX_DETAILS_20261014.md#ui-poll-jank-001</t>
  </si>
  <si>
    <t>P1 65</t>
  </si>
  <si>
    <t>BASE-STAT</t>
  </si>
  <si>
    <t>Baseline</t>
  </si>
  <si>
    <t>Render and refresh persisted dashboard</t>
  </si>
  <si>
    <t>All sections stable; refresh reloads snapshot</t>
  </si>
  <si>
    <t>../reference/QA_MATRIX_DETAILS_20261014.md#base-stat</t>
  </si>
  <si>
    <t>P1 68</t>
  </si>
  <si>
    <t>ADMIN-MONITORING-001</t>
  </si>
  <si>
    <t>Monitoring dashboard, queues and jobs</t>
  </si>
  <si>
    <t>Open All/Watch/Domains/Delivery/Workers once and reuse one recompute plus one parameter save/revert to observe exact pending-to-terminal states, filters, totals, health and job details</t>
  </si>
  <si>
    <t>X; Graph summary later; Per job matrix</t>
  </si>
  <si>
    <t>X; Changed edge visible after terminal; Per job matrix; Section-dependent</t>
  </si>
  <si>
    <t>X; Task terminal; Every domain oracle must pass independently; New config version and admin notification</t>
  </si>
  <si>
    <t>2026-09-16</t>
  </si>
  <si>
    <t>../reference/QA_MATRIX_DETAILS_20261014.md#admin-monitoring-001</t>
  </si>
  <si>
    <t>ADMIN-AFFINITY-GRAPH-001</t>
  </si>
  <si>
    <t>Affinity Graph exploration and materialization</t>
  </si>
  <si>
    <t>Open the known graph; traverse forest/component/member depths; change weights; exercise viewport controls and scale; then let the real layout worker materialize and reopen the graph</t>
  </si>
  <si>
    <t>X; Matching queue returns terminal; Matching queue transition; DELTA scheduler/audit</t>
  </si>
  <si>
    <t>X; Affinity recompute terminal; DELTA</t>
  </si>
  <si>
    <t>../reference/QA_MATRIX_DETAILS_20261014.md#admin-affinity-graph-001</t>
  </si>
  <si>
    <t>P2 52</t>
  </si>
  <si>
    <t>ADMIN-PARAMETERS-001</t>
  </si>
  <si>
    <t>All Parameters lifecycle and downstream controls</t>
  </si>
  <si>
    <t>In one session save/reopen/history/revert one safe value per section, reject each input type once, verify owned downstream effects and controls, then restore the full baseline</t>
  </si>
  <si>
    <t>../reference/QA_MATRIX_DETAILS_20261014.md#admin-parameters-001</t>
  </si>
  <si>
    <t>P3 38</t>
  </si>
  <si>
    <t>MSC115-ADMIN</t>
  </si>
  <si>
    <t>App-admin scope and aggregate badges</t>
  </si>
  <si>
    <t>MSC-115 steps 101–104: Admin workspace identity, scoped surfaces/counters, content/parameter isolation and payment-tool context.</t>
  </si>
  <si>
    <t>Admin selector8/8 frontend and moderation7/7 backend; monolith UI/HTTP checks recorded.</t>
  </si>
  <si>
    <t>../reference/QA_MATRIX_DETAILS_20261014.md#msc115-admin</t>
  </si>
  <si>
    <t>MSC115-JOBS</t>
  </si>
  <si>
    <t>Per-base-group job ownership and execution</t>
  </si>
  <si>
    <t>MSC-115 steps 105–107: Per-base-group job definitions, execution/results and Community scheduled-case/vote-close workers.</t>
  </si>
  <si>
    <t>Scoped UI job run and absent-job HTTP controls recorded.</t>
  </si>
  <si>
    <t>../reference/QA_MATRIX_DETAILS_20261014.md#msc115-jobs</t>
  </si>
  <si>
    <t>EXPLANATION-GUIDE-001</t>
  </si>
  <si>
    <t>Application explanation guides</t>
  </si>
  <si>
    <t>Dynamic compact tours: 110 contexts / 1331 conditional fields; EN/HU; desktop/mobile; WebRTC call/volume; one-step first-visit guide-button introduction; shared launcher overlap checks; one-step consent Accept guide</t>
  </si>
  <si>
    <t>CLOSED / PASS — accepted scope; remainder transferred</t>
  </si>
  <si>
    <t>PASS — accepted scope</t>
  </si>
  <si>
    <t>PASS — accepted samples</t>
  </si>
  <si>
    <t>MSC115 source guides/anonymous entry PASS; local samples credited.</t>
  </si>
  <si>
    <t>Closed. Remainder merged into MSC-116_AUTOMATIC_QA steps75-81 before KVM; standalone MSC119 QA removed. No new testcase or replay; call and role checks remain with MSC117/118.</t>
  </si>
  <si>
    <t>../checklists/general/EXPLANATION-GUIDE-001.md; ../evidence/general/MSC117_118_QA_RECONCILIATION_20261015.json; closure does not claim transferred checks passed.; MSC117 call/volume guide coverage closed once in MSC117-20261016/summary.json.</t>
  </si>
  <si>
    <t>MSC115-GUIDES</t>
  </si>
  <si>
    <t>Context guides and shared-surface continuity</t>
  </si>
  <si>
    <t>Steps 108–114: visible EN/HU guides, desktop/mobile, nested contexts and workspace isolation.</t>
  </si>
  <si>
    <t>PASS — scoped spot checks</t>
  </si>
  <si>
    <t>Source guide7/7 and stable-owner positioning6/6; compiled context assertions;118 transition frames +52 fresh-popup frames;118contexts/1513fields and15240 EN/HUmessages synchronized with backend.</t>
  </si>
  <si>
    <t>../evidence/work-community/MSC115-guides-20261015/summary.json</t>
  </si>
  <si>
    <t>MSC115-TEMPLATE-REGRESSION</t>
  </si>
  <si>
    <t>Dedicated checkpoint</t>
  </si>
  <si>
    <t>Shared fixes carried into template</t>
  </si>
  <si>
    <t>Batch verification of template counterparts affected by MSC-115 fixes.</t>
  </si>
  <si>
    <t>Source checks recorded separately.</t>
  </si>
  <si>
    <t>Separate template queue only; collect MSC115-119 shared fixes, retain completed baseline.</t>
  </si>
  <si>
    <t>../checklists/general/MSC115-TEMPLATE-REGRESSION.md; ../evidence/general/MSC117_118_QA_RECONCILIATION_20261015.json</t>
  </si>
  <si>
    <t>20/45</t>
  </si>
  <si>
    <t>OPERATOR-CONFIGURATION-LIFECYCLE-001</t>
  </si>
  <si>
    <t>Configuration workspace</t>
  </si>
  <si>
    <t>Firebase configuration lifecycle, authentication/messaging, activation and exact baseline restoration.</t>
  </si>
  <si>
    <t>DELTA one Firebase configuration revision, matching tested and active revisions</t>
  </si>
  <si>
    <t>CONDITIONAL only for the visible Firebase capability action; managed TLS owned by Update</t>
  </si>
  <si>
    <t>../reference/QA_MATRIX_DETAILS_20261014.md#operator-configuration-lifecycle-001</t>
  </si>
  <si>
    <t>OPERATOR-REGISTRY-LIFECYCLE-001</t>
  </si>
  <si>
    <t>Registration, claim, community and measurement</t>
  </si>
  <si>
    <t>Register one disposable binding, complete claim and community checks, synchronize measurements, then disconnect, reconnect as a new connection and resynchronize retained local data</t>
  </si>
  <si>
    <t>DELTA one measurement report; X for read-only leaderboard</t>
  </si>
  <si>
    <t>DELTA signed deployment membership, claim/group receipt and measurement receipt; X for read-only views</t>
  </si>
  <si>
    <t>INDIRECT registry leaderboard only</t>
  </si>
  <si>
    <t>CONDITIONAL registry or measurement operation</t>
  </si>
  <si>
    <t>../reference/QA_MATRIX_DETAILS_20261014.md#operator-registry-lifecycle-001</t>
  </si>
  <si>
    <t>OPERATOR-UPDATE-LIFECYCLE-001</t>
  </si>
  <si>
    <t>Signed update and managed HTTPS</t>
  </si>
  <si>
    <t>QA1 baseline; verified UI upgrade to QA2; UI rollback to QA1 with GitHub download on cache miss; disabled actions, visible progress, controlled failure/recovery; managed HTTPS and restoration.</t>
  </si>
  <si>
    <t>DELTA one verified release, update job and active version</t>
  </si>
  <si>
    <t>DELTA one durable update job</t>
  </si>
  <si>
    <t>../reference/QA_MATRIX_DETAILS_20261014.md#operator-update-lifecycle-001</t>
  </si>
  <si>
    <t>OPERATOR-REVENUE-LIFECYCLE-001</t>
  </si>
  <si>
    <t>Revenue reporting</t>
  </si>
  <si>
    <t>Open Revenue for one controlled captured/released payment set, synchronize once, inspect totals and one settlement, then reopen the view</t>
  </si>
  <si>
    <t>DELTA exact eligible-provider aggregation by currency and completed period</t>
  </si>
  <si>
    <t>DELTA daily revision-1 reports and signed acceptance receipts</t>
  </si>
  <si>
    <t>X — durable Revenue outbox delivery; no separate Admin Jobs row</t>
  </si>
  <si>
    <t>../reference/QA_MATRIX_DETAILS_20261014.md#operator-revenue-lifecycle-001</t>
  </si>
  <si>
    <t>OPERATOR-EMAIL-WARNING-001</t>
  </si>
  <si>
    <t>Email provider and deletion-warning Job</t>
  </si>
  <si>
    <t>Configure backend-catalog SendGrid with a non-delivering local stub; verify secret handling, fixed five-day warning eligibility, provider failures, repeat-run suppression and restore.</t>
  </si>
  <si>
    <t>DELTA stub request evidence and persisted warning outcomes; no real email delivery</t>
  </si>
  <si>
    <t>DELTA account deletion warning eligibility, suspension, persisted outcome and failure history</t>
  </si>
  <si>
    <t>DELTA Operator email configuration save/reopen, masked credentials, validation and permissions</t>
  </si>
  <si>
    <t>../reference/QA_MATRIX_DETAILS_20261014.md#operator-email-warning-001</t>
  </si>
  <si>
    <t>P0 83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</si>
</sst>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44546A"/>
        <bgColor rgb="FF1F4E78"/>
      </patternFill>
    </fill>
    <fill>
      <patternFill patternType="solid">
        <fgColor rgb="FF4472C4"/>
        <bgColor rgb="FF5B9BD5"/>
      </patternFill>
    </fill>
    <fill>
      <patternFill patternType="solid">
        <fgColor rgb="FFBFBFBF"/>
        <bgColor rgb="FFB4C6E7"/>
      </patternFill>
    </fill>
    <fill>
      <patternFill patternType="solid">
        <fgColor rgb="FF92D050"/>
        <bgColor rgb="FFBFBFBF"/>
      </patternFill>
    </fill>
    <fill>
      <patternFill patternType="solid">
        <fgColor rgb="FF5B9BD5"/>
        <bgColor rgb="FF4472C4"/>
      </patternFill>
    </fill>
    <fill>
      <patternFill patternType="solid">
        <fgColor rgb="FFFFC000"/>
        <bgColor rgb="FFFF9900"/>
      </patternFill>
    </fill>
    <fill>
      <patternFill patternType="solid">
        <fgColor rgb="FFB4A7D6"/>
        <bgColor rgb="FFBFBFBF"/>
      </patternFill>
    </fill>
    <fill>
      <patternFill patternType="solid">
        <fgColor rgb="FFB4C6E7"/>
        <bgColor rgb="FFBFBFBF"/>
      </patternFill>
    </fill>
    <fill>
      <patternFill patternType="solid">
        <fgColor rgb="FFFF7C80"/>
        <bgColor rgb="FFFF6666"/>
      </patternFill>
    </fill>
    <fill>
      <patternFill patternType="solid">
        <fgColor rgb="FFFF6666"/>
        <bgColor rgb="FFFF7C80"/>
      </patternFill>
    </fill>
    <fill>
      <patternFill patternType="solid">
        <fgColor rgb="FF1F4E78"/>
        <bgColor rgb="FF44546A"/>
      </patternFill>
    </fill>
    <fill>
      <patternFill patternType="solid">
        <fgColor rgb="FF7FC8C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76A5AF"/>
        <bgColor indexed="64"/>
      </patternFill>
    </fill>
    <fill>
      <patternFill patternType="solid">
        <fgColor rgb="FF45818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CBD7E7"/>
        <bgColor indexed="64"/>
      </patternFill>
    </fill>
    <fill>
      <patternFill patternType="solid">
        <fgColor rgb="FFEAF7BE"/>
        <bgColor indexed="64"/>
      </patternFill>
    </fill>
    <fill>
      <patternFill patternType="solid">
        <fgColor rgb="FFD9EAD3"/>
        <bgColor indexed="64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44546A"/>
      </left>
      <right/>
      <top style="medium">
        <color rgb="FF44546A"/>
      </top>
      <bottom/>
      <diagonal/>
    </border>
    <border diagonalUp="false" diagonalDown="false">
      <left/>
      <right/>
      <top style="medium">
        <color rgb="FF44546A"/>
      </top>
      <bottom/>
      <diagonal/>
    </border>
    <border diagonalUp="false" diagonalDown="false">
      <left/>
      <right style="medium">
        <color rgb="FF44546A"/>
      </right>
      <top/>
      <bottom/>
      <diagonal/>
    </border>
    <border diagonalUp="false" diagonalDown="false">
      <left style="medium">
        <color rgb="FF44546A"/>
      </left>
      <right/>
      <top/>
      <bottom/>
      <diagonal/>
    </border>
    <border diagonalUp="false" diagonalDown="false">
      <left/>
      <right/>
      <top/>
      <bottom style="medium">
        <color rgb="FF44546A"/>
      </bottom>
      <diagonal/>
    </border>
    <border diagonalUp="false" diagonalDown="false">
      <left/>
      <right style="medium">
        <color rgb="FF44546A"/>
      </right>
      <top/>
      <bottom style="medium">
        <color rgb="FF44546A"/>
      </bottom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>
      <left/>
      <right style="medium">
        <color rgb="FF44546A"/>
      </right>
      <top style="medium">
        <color rgb="FF44546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Fill="true" applyBorder="false" applyAlignment="false" applyProtection="false"/>
    <xf numFmtId="164" fontId="0" fillId="7" borderId="0" xfId="0" applyFont="false" applyFill="true" applyBorder="false" applyAlignment="false" applyProtection="false"/>
    <xf numFmtId="164" fontId="0" fillId="11" borderId="0" xfId="0" applyFont="false" applyFill="true" applyBorder="false" applyAlignment="false" applyProtection="false"/>
    <xf numFmtId="164" fontId="0" fillId="9" borderId="0" xfId="0" applyFont="false" applyFill="true" applyBorder="false" applyAlignment="false" applyProtection="false"/>
    <xf numFmtId="164" fontId="0" fillId="4" borderId="0" xfId="0" applyFont="false" applyFill="true" applyBorder="false" applyAlignment="false" applyProtection="false"/>
    <xf numFmtId="164" fontId="0" fillId="6" borderId="0" xfId="0" applyFont="false" applyFill="true" applyBorder="false" applyAlignment="false" applyProtection="false"/>
    <xf numFmtId="164" fontId="0" fillId="8" borderId="0" xfId="0" applyFont="false" applyFill="true" applyBorder="false" applyAlignment="false" applyProtection="false"/>
    <xf numFmtId="164" fontId="0" fillId="10" borderId="0" xfId="0" applyFont="false" applyFill="true" applyBorder="false" applyAlignment="false" applyProtection="false"/>
    <xf numFmtId="164" fontId="4" fillId="12" borderId="0" xfId="0" applyFont="true" applyFill="true" applyBorder="false" applyAlignment="false" applyProtection="false"/>
    <xf numFmtId="164" fontId="4" fillId="2" borderId="0" xfId="0" applyFont="true" applyFill="true" applyBorder="false" applyAlignment="false" applyProtection="false"/>
    <xf numFmtId="164" fontId="4" fillId="3" borderId="0" xfId="0" applyFont="true" applyFill="true" applyBorder="false" applyAlignment="false" applyProtection="false"/>
    <xf numFmtId="164" fontId="0" fillId="5" borderId="1" xfId="0" applyFont="false" applyFill="true" applyBorder="true" applyAlignment="false" applyProtection="false"/>
    <xf numFmtId="164" fontId="0" fillId="5" borderId="2" xfId="0" applyFont="false" applyFill="true" applyBorder="true" applyAlignment="false" applyProtection="false"/>
    <xf numFmtId="164" fontId="0" fillId="5" borderId="9" xfId="0" applyFont="false" applyFill="true" applyBorder="true" applyAlignment="false" applyProtection="false"/>
    <xf numFmtId="164" fontId="0" fillId="5" borderId="4" xfId="0" applyFont="false" applyFill="true" applyBorder="true" applyAlignment="false" applyProtection="false"/>
    <xf numFmtId="164" fontId="0" fillId="5" borderId="3" xfId="0" applyFont="false" applyFill="true" applyBorder="true" applyAlignment="false" applyProtection="false"/>
    <xf numFmtId="164" fontId="0" fillId="5" borderId="7" xfId="0" applyFont="false" applyFill="true" applyBorder="true" applyAlignment="false" applyProtection="false"/>
    <xf numFmtId="164" fontId="0" fillId="5" borderId="5" xfId="0" applyFont="false" applyFill="true" applyBorder="true" applyAlignment="false" applyProtection="false"/>
    <xf numFmtId="164" fontId="0" fillId="5" borderId="6" xfId="0" applyFont="false" applyFill="true" applyBorder="true" applyAlignment="false" applyProtection="false"/>
    <xf numFmtId="164" fontId="0" fillId="7" borderId="1" xfId="0" applyFont="false" applyFill="true" applyBorder="true" applyAlignment="false" applyProtection="false"/>
    <xf numFmtId="164" fontId="0" fillId="7" borderId="2" xfId="0" applyFont="false" applyFill="true" applyBorder="true" applyAlignment="false" applyProtection="false"/>
    <xf numFmtId="164" fontId="0" fillId="7" borderId="9" xfId="0" applyFont="false" applyFill="true" applyBorder="true" applyAlignment="false" applyProtection="false"/>
    <xf numFmtId="164" fontId="0" fillId="7" borderId="4" xfId="0" applyFont="false" applyFill="true" applyBorder="true" applyAlignment="false" applyProtection="false"/>
    <xf numFmtId="164" fontId="0" fillId="7" borderId="3" xfId="0" applyFont="false" applyFill="true" applyBorder="true" applyAlignment="false" applyProtection="false"/>
    <xf numFmtId="164" fontId="0" fillId="7" borderId="7" xfId="0" applyFont="false" applyFill="true" applyBorder="true" applyAlignment="false" applyProtection="false"/>
    <xf numFmtId="164" fontId="0" fillId="7" borderId="5" xfId="0" applyFont="false" applyFill="true" applyBorder="true" applyAlignment="false" applyProtection="false"/>
    <xf numFmtId="164" fontId="0" fillId="7" borderId="6" xfId="0" applyFont="false" applyFill="true" applyBorder="true" applyAlignment="false" applyProtection="false"/>
    <xf numFmtId="164" fontId="0" fillId="11" borderId="1" xfId="0" applyFont="false" applyFill="true" applyBorder="true" applyAlignment="false" applyProtection="false"/>
    <xf numFmtId="164" fontId="0" fillId="11" borderId="2" xfId="0" applyFont="false" applyFill="true" applyBorder="true" applyAlignment="false" applyProtection="false"/>
    <xf numFmtId="164" fontId="0" fillId="11" borderId="9" xfId="0" applyFont="false" applyFill="true" applyBorder="true" applyAlignment="false" applyProtection="false"/>
    <xf numFmtId="164" fontId="0" fillId="11" borderId="4" xfId="0" applyFont="false" applyFill="true" applyBorder="true" applyAlignment="false" applyProtection="false"/>
    <xf numFmtId="164" fontId="0" fillId="11" borderId="3" xfId="0" applyFont="false" applyFill="true" applyBorder="true" applyAlignment="false" applyProtection="false"/>
    <xf numFmtId="164" fontId="0" fillId="11" borderId="7" xfId="0" applyFont="false" applyFill="true" applyBorder="true" applyAlignment="false" applyProtection="false"/>
    <xf numFmtId="164" fontId="0" fillId="11" borderId="5" xfId="0" applyFont="false" applyFill="true" applyBorder="true" applyAlignment="false" applyProtection="false"/>
    <xf numFmtId="164" fontId="0" fillId="11" borderId="6" xfId="0" applyFont="false" applyFill="true" applyBorder="true" applyAlignment="false" applyProtection="false"/>
    <xf numFmtId="164" fontId="0" fillId="9" borderId="1" xfId="0" applyFont="false" applyFill="true" applyBorder="true" applyAlignment="false" applyProtection="false"/>
    <xf numFmtId="164" fontId="0" fillId="9" borderId="2" xfId="0" applyFont="false" applyFill="true" applyBorder="true" applyAlignment="false" applyProtection="false"/>
    <xf numFmtId="164" fontId="0" fillId="9" borderId="9" xfId="0" applyFont="false" applyFill="true" applyBorder="true" applyAlignment="false" applyProtection="false"/>
    <xf numFmtId="164" fontId="0" fillId="9" borderId="4" xfId="0" applyFont="false" applyFill="true" applyBorder="true" applyAlignment="false" applyProtection="false"/>
    <xf numFmtId="164" fontId="0" fillId="9" borderId="3" xfId="0" applyFont="false" applyFill="true" applyBorder="true" applyAlignment="false" applyProtection="false"/>
    <xf numFmtId="164" fontId="0" fillId="9" borderId="7" xfId="0" applyFont="false" applyFill="true" applyBorder="true" applyAlignment="false" applyProtection="false"/>
    <xf numFmtId="164" fontId="0" fillId="9" borderId="5" xfId="0" applyFont="false" applyFill="true" applyBorder="true" applyAlignment="false" applyProtection="false"/>
    <xf numFmtId="164" fontId="0" fillId="9" borderId="6" xfId="0" applyFont="false" applyFill="true" applyBorder="true" applyAlignment="false" applyProtection="false"/>
    <xf numFmtId="164" fontId="0" fillId="4" borderId="1" xfId="0" applyFont="false" applyFill="true" applyBorder="true" applyAlignment="false" applyProtection="false"/>
    <xf numFmtId="164" fontId="0" fillId="4" borderId="2" xfId="0" applyFont="false" applyFill="true" applyBorder="true" applyAlignment="false" applyProtection="false"/>
    <xf numFmtId="164" fontId="0" fillId="4" borderId="9" xfId="0" applyFont="false" applyFill="true" applyBorder="true" applyAlignment="false" applyProtection="false"/>
    <xf numFmtId="164" fontId="0" fillId="4" borderId="4" xfId="0" applyFont="false" applyFill="true" applyBorder="true" applyAlignment="false" applyProtection="false"/>
    <xf numFmtId="164" fontId="0" fillId="4" borderId="3" xfId="0" applyFont="false" applyFill="true" applyBorder="true" applyAlignment="false" applyProtection="false"/>
    <xf numFmtId="164" fontId="0" fillId="4" borderId="7" xfId="0" applyFont="false" applyFill="true" applyBorder="true" applyAlignment="false" applyProtection="false"/>
    <xf numFmtId="164" fontId="0" fillId="4" borderId="5" xfId="0" applyFont="false" applyFill="true" applyBorder="true" applyAlignment="false" applyProtection="false"/>
    <xf numFmtId="164" fontId="0" fillId="4" borderId="6" xfId="0" applyFont="false" applyFill="true" applyBorder="true" applyAlignment="false" applyProtection="false"/>
    <xf numFmtId="164" fontId="0" fillId="6" borderId="1" xfId="0" applyFont="false" applyFill="true" applyBorder="true" applyAlignment="false" applyProtection="false"/>
    <xf numFmtId="164" fontId="0" fillId="6" borderId="2" xfId="0" applyFont="false" applyFill="true" applyBorder="true" applyAlignment="false" applyProtection="false"/>
    <xf numFmtId="164" fontId="0" fillId="6" borderId="9" xfId="0" applyFont="false" applyFill="true" applyBorder="true" applyAlignment="false" applyProtection="false"/>
    <xf numFmtId="164" fontId="0" fillId="6" borderId="4" xfId="0" applyFont="false" applyFill="true" applyBorder="true" applyAlignment="false" applyProtection="false"/>
    <xf numFmtId="164" fontId="0" fillId="6" borderId="3" xfId="0" applyFont="false" applyFill="true" applyBorder="true" applyAlignment="false" applyProtection="false"/>
    <xf numFmtId="164" fontId="0" fillId="6" borderId="7" xfId="0" applyFont="false" applyFill="true" applyBorder="true" applyAlignment="false" applyProtection="false"/>
    <xf numFmtId="164" fontId="0" fillId="6" borderId="5" xfId="0" applyFont="false" applyFill="true" applyBorder="true" applyAlignment="false" applyProtection="false"/>
    <xf numFmtId="164" fontId="0" fillId="6" borderId="6" xfId="0" applyFont="false" applyFill="true" applyBorder="true" applyAlignment="false" applyProtection="false"/>
    <xf numFmtId="164" fontId="0" fillId="8" borderId="1" xfId="0" applyFont="false" applyFill="true" applyBorder="true" applyAlignment="false" applyProtection="false"/>
    <xf numFmtId="164" fontId="0" fillId="8" borderId="2" xfId="0" applyFont="false" applyFill="true" applyBorder="true" applyAlignment="false" applyProtection="false"/>
    <xf numFmtId="164" fontId="0" fillId="8" borderId="9" xfId="0" applyFont="false" applyFill="true" applyBorder="true" applyAlignment="false" applyProtection="false"/>
    <xf numFmtId="164" fontId="0" fillId="8" borderId="4" xfId="0" applyFont="false" applyFill="true" applyBorder="true" applyAlignment="false" applyProtection="false"/>
    <xf numFmtId="164" fontId="0" fillId="8" borderId="3" xfId="0" applyFont="false" applyFill="true" applyBorder="true" applyAlignment="false" applyProtection="false"/>
    <xf numFmtId="164" fontId="0" fillId="8" borderId="7" xfId="0" applyFont="false" applyFill="true" applyBorder="true" applyAlignment="false" applyProtection="false"/>
    <xf numFmtId="164" fontId="0" fillId="8" borderId="5" xfId="0" applyFont="false" applyFill="true" applyBorder="true" applyAlignment="false" applyProtection="false"/>
    <xf numFmtId="164" fontId="0" fillId="8" borderId="6" xfId="0" applyFont="false" applyFill="true" applyBorder="true" applyAlignment="false" applyProtection="false"/>
    <xf numFmtId="164" fontId="0" fillId="10" borderId="1" xfId="0" applyFont="false" applyFill="true" applyBorder="true" applyAlignment="false" applyProtection="false"/>
    <xf numFmtId="164" fontId="0" fillId="10" borderId="2" xfId="0" applyFont="false" applyFill="true" applyBorder="true" applyAlignment="false" applyProtection="false"/>
    <xf numFmtId="164" fontId="0" fillId="10" borderId="9" xfId="0" applyFont="false" applyFill="true" applyBorder="true" applyAlignment="false" applyProtection="false"/>
    <xf numFmtId="164" fontId="0" fillId="10" borderId="4" xfId="0" applyFont="false" applyFill="true" applyBorder="true" applyAlignment="false" applyProtection="false"/>
    <xf numFmtId="164" fontId="0" fillId="10" borderId="3" xfId="0" applyFont="false" applyFill="true" applyBorder="true" applyAlignment="false" applyProtection="false"/>
    <xf numFmtId="164" fontId="0" fillId="10" borderId="7" xfId="0" applyFont="false" applyFill="true" applyBorder="true" applyAlignment="false" applyProtection="false"/>
    <xf numFmtId="164" fontId="0" fillId="10" borderId="5" xfId="0" applyFont="false" applyFill="true" applyBorder="true" applyAlignment="false" applyProtection="false"/>
    <xf numFmtId="164" fontId="0" fillId="10" borderId="6" xfId="0" applyFont="false" applyFill="true" applyBorder="true" applyAlignment="false" applyProtection="false"/>
    <xf numFmtId="164" fontId="4" fillId="12" borderId="1" xfId="0" applyFont="true" applyFill="true" applyBorder="true" applyAlignment="false" applyProtection="false"/>
    <xf numFmtId="164" fontId="4" fillId="12" borderId="2" xfId="0" applyFont="true" applyFill="true" applyBorder="true" applyAlignment="false" applyProtection="false"/>
    <xf numFmtId="164" fontId="4" fillId="12" borderId="9" xfId="0" applyFont="true" applyFill="true" applyBorder="true" applyAlignment="false" applyProtection="false"/>
    <xf numFmtId="164" fontId="4" fillId="12" borderId="4" xfId="0" applyFont="true" applyFill="true" applyBorder="true" applyAlignment="false" applyProtection="false"/>
    <xf numFmtId="164" fontId="4" fillId="12" borderId="3" xfId="0" applyFont="true" applyFill="true" applyBorder="true" applyAlignment="false" applyProtection="false"/>
    <xf numFmtId="164" fontId="4" fillId="12" borderId="7" xfId="0" applyFont="true" applyFill="true" applyBorder="true" applyAlignment="false" applyProtection="false"/>
    <xf numFmtId="164" fontId="4" fillId="12" borderId="5" xfId="0" applyFont="true" applyFill="true" applyBorder="true" applyAlignment="false" applyProtection="false"/>
    <xf numFmtId="164" fontId="4" fillId="12" borderId="6" xfId="0" applyFont="true" applyFill="true" applyBorder="true" applyAlignment="false" applyProtection="false"/>
    <xf numFmtId="164" fontId="4" fillId="2" borderId="1" xfId="0" applyFont="true" applyFill="true" applyBorder="true" applyAlignment="false" applyProtection="false"/>
    <xf numFmtId="164" fontId="4" fillId="2" borderId="2" xfId="0" applyFont="true" applyFill="true" applyBorder="true" applyAlignment="false" applyProtection="false"/>
    <xf numFmtId="164" fontId="4" fillId="2" borderId="9" xfId="0" applyFont="true" applyFill="true" applyBorder="true" applyAlignment="false" applyProtection="false"/>
    <xf numFmtId="164" fontId="4" fillId="2" borderId="4" xfId="0" applyFont="true" applyFill="true" applyBorder="true" applyAlignment="false" applyProtection="false"/>
    <xf numFmtId="164" fontId="4" fillId="2" borderId="3" xfId="0" applyFont="true" applyFill="true" applyBorder="true" applyAlignment="false" applyProtection="false"/>
    <xf numFmtId="164" fontId="4" fillId="2" borderId="7" xfId="0" applyFont="true" applyFill="true" applyBorder="true" applyAlignment="false" applyProtection="false"/>
    <xf numFmtId="164" fontId="4" fillId="2" borderId="5" xfId="0" applyFont="true" applyFill="true" applyBorder="true" applyAlignment="false" applyProtection="false"/>
    <xf numFmtId="164" fontId="4" fillId="2" borderId="6" xfId="0" applyFont="true" applyFill="true" applyBorder="true" applyAlignment="false" applyProtection="false"/>
    <xf numFmtId="164" fontId="4" fillId="3" borderId="1" xfId="0" applyFont="true" applyFill="true" applyBorder="true" applyAlignment="false" applyProtection="false"/>
    <xf numFmtId="164" fontId="4" fillId="3" borderId="2" xfId="0" applyFont="true" applyFill="true" applyBorder="true" applyAlignment="false" applyProtection="false"/>
    <xf numFmtId="164" fontId="4" fillId="3" borderId="9" xfId="0" applyFont="true" applyFill="true" applyBorder="true" applyAlignment="false" applyProtection="false"/>
    <xf numFmtId="164" fontId="4" fillId="3" borderId="4" xfId="0" applyFont="true" applyFill="true" applyBorder="true" applyAlignment="false" applyProtection="false"/>
    <xf numFmtId="164" fontId="4" fillId="3" borderId="3" xfId="0" applyFont="true" applyFill="true" applyBorder="true" applyAlignment="false" applyProtection="false"/>
    <xf numFmtId="164" fontId="4" fillId="3" borderId="7" xfId="0" applyFont="true" applyFill="true" applyBorder="true" applyAlignment="false" applyProtection="false"/>
    <xf numFmtId="164" fontId="4" fillId="3" borderId="5" xfId="0" applyFont="true" applyFill="true" applyBorder="true" applyAlignment="false" applyProtection="false"/>
    <xf numFmtId="164" fontId="4" fillId="3" borderId="6" xfId="0" applyFont="true" applyFill="true" applyBorder="true" applyAlignment="false" applyProtection="false"/>
    <xf numFmtId="164" fontId="0" fillId="0" borderId="1" xfId="0" applyFont="false" applyFill="true" applyBorder="true" applyAlignment="false" applyProtection="false"/>
    <xf numFmtId="164" fontId="0" fillId="0" borderId="2" xfId="0" applyFont="false" applyFill="true" applyBorder="true" applyAlignment="false" applyProtection="false"/>
    <xf numFmtId="164" fontId="0" fillId="0" borderId="9" xfId="0" applyFont="false" applyFill="true" applyBorder="true" applyAlignment="false" applyProtection="false"/>
    <xf numFmtId="164" fontId="0" fillId="0" borderId="4" xfId="0" applyFont="false" applyFill="true" applyBorder="true" applyAlignment="false" applyProtection="false"/>
    <xf numFmtId="164" fontId="0" fillId="0" borderId="3" xfId="0" applyFont="false" applyFill="true" applyBorder="true" applyAlignment="false" applyProtection="false"/>
    <xf numFmtId="164" fontId="0" fillId="0" borderId="7" xfId="0" applyFont="false" applyFill="true" applyBorder="true" applyAlignment="false" applyProtection="false"/>
    <xf numFmtId="164" fontId="0" fillId="0" borderId="5" xfId="0" applyFont="false" applyFill="true" applyBorder="true" applyAlignment="false" applyProtection="false"/>
    <xf numFmtId="164" fontId="0" fillId="0" borderId="6" xfId="0" applyFont="false" applyFill="true" applyBorder="true" applyAlignment="false" applyProtection="false"/>
    <xf numFmtId="164" fontId="0" fillId="5" borderId="0" xfId="0" applyFont="false" applyFill="true" applyBorder="false" applyAlignment="true" applyProtection="false">
      <alignment vertical="top" wrapText="1"/>
    </xf>
    <xf numFmtId="164" fontId="0" fillId="7" borderId="0" xfId="0" applyFont="false" applyFill="true" applyBorder="false" applyAlignment="true" applyProtection="false">
      <alignment vertical="top" wrapText="1"/>
    </xf>
    <xf numFmtId="164" fontId="0" fillId="11" borderId="0" xfId="0" applyFont="false" applyFill="true" applyBorder="false" applyAlignment="true" applyProtection="false">
      <alignment vertical="top" wrapText="1"/>
    </xf>
    <xf numFmtId="164" fontId="0" fillId="9" borderId="0" xfId="0" applyFont="false" applyFill="true" applyBorder="false" applyAlignment="true" applyProtection="false">
      <alignment vertical="top" wrapText="1"/>
    </xf>
    <xf numFmtId="164" fontId="0" fillId="4" borderId="0" xfId="0" applyFont="false" applyFill="true" applyBorder="false" applyAlignment="true" applyProtection="false">
      <alignment vertical="top" wrapText="1"/>
    </xf>
    <xf numFmtId="164" fontId="0" fillId="6" borderId="0" xfId="0" applyFont="false" applyFill="true" applyBorder="false" applyAlignment="true" applyProtection="false">
      <alignment vertical="top" wrapText="1"/>
    </xf>
    <xf numFmtId="164" fontId="0" fillId="8" borderId="0" xfId="0" applyFont="false" applyFill="true" applyBorder="false" applyAlignment="true" applyProtection="false">
      <alignment vertical="top" wrapText="1"/>
    </xf>
    <xf numFmtId="164" fontId="0" fillId="10" borderId="0" xfId="0" applyFont="false" applyFill="true" applyBorder="false" applyAlignment="true" applyProtection="false">
      <alignment vertical="top" wrapText="1"/>
    </xf>
    <xf numFmtId="164" fontId="4" fillId="12" borderId="0" xfId="0" applyFont="true" applyFill="true" applyBorder="false" applyAlignment="true" applyProtection="false">
      <alignment vertical="top" wrapText="1"/>
    </xf>
    <xf numFmtId="164" fontId="4" fillId="2" borderId="0" xfId="0" applyFont="true" applyFill="true" applyBorder="false" applyAlignment="true" applyProtection="false">
      <alignment vertical="top" wrapText="1"/>
    </xf>
    <xf numFmtId="164" fontId="4" fillId="3" borderId="0" xfId="0" applyFont="true" applyFill="true" applyBorder="false" applyAlignment="true" applyProtection="false">
      <alignment vertical="top" wrapText="1"/>
    </xf>
    <xf numFmtId="164" fontId="0" fillId="0" borderId="0" xfId="0" applyFont="false" applyFill="true" applyBorder="fals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/>
    </xf>
    <xf numFmtId="164" fontId="0" fillId="5" borderId="2" xfId="0" applyFont="false" applyFill="true" applyBorder="true" applyAlignment="true" applyProtection="false">
      <alignment vertical="top" wrapText="1"/>
    </xf>
    <xf numFmtId="164" fontId="0" fillId="5" borderId="9" xfId="0" applyFont="false" applyFill="true" applyBorder="true" applyAlignment="true" applyProtection="false">
      <alignment vertical="top" wrapText="1"/>
    </xf>
    <xf numFmtId="164" fontId="0" fillId="5" borderId="4" xfId="0" applyFont="false" applyFill="true" applyBorder="true" applyAlignment="true" applyProtection="false">
      <alignment vertical="top" wrapText="1"/>
    </xf>
    <xf numFmtId="164" fontId="0" fillId="5" borderId="3" xfId="0" applyFont="false" applyFill="true" applyBorder="true" applyAlignment="true" applyProtection="false">
      <alignment vertical="top" wrapText="1"/>
    </xf>
    <xf numFmtId="164" fontId="0" fillId="5" borderId="7" xfId="0" applyFont="false" applyFill="true" applyBorder="true" applyAlignment="true" applyProtection="false">
      <alignment vertical="top" wrapText="1"/>
    </xf>
    <xf numFmtId="164" fontId="0" fillId="5" borderId="5" xfId="0" applyFont="false" applyFill="true" applyBorder="true" applyAlignment="true" applyProtection="false">
      <alignment vertical="top" wrapText="1"/>
    </xf>
    <xf numFmtId="164" fontId="0" fillId="5" borderId="6" xfId="0" applyFont="false" applyFill="true" applyBorder="true" applyAlignment="true" applyProtection="false">
      <alignment vertical="top" wrapText="1"/>
    </xf>
    <xf numFmtId="164" fontId="0" fillId="7" borderId="1" xfId="0" applyFont="false" applyFill="true" applyBorder="true" applyAlignment="true" applyProtection="false">
      <alignment vertical="top" wrapText="1"/>
    </xf>
    <xf numFmtId="164" fontId="0" fillId="7" borderId="2" xfId="0" applyFont="false" applyFill="true" applyBorder="true" applyAlignment="true" applyProtection="false">
      <alignment vertical="top" wrapText="1"/>
    </xf>
    <xf numFmtId="164" fontId="0" fillId="7" borderId="9" xfId="0" applyFont="false" applyFill="true" applyBorder="true" applyAlignment="true" applyProtection="false">
      <alignment vertical="top" wrapText="1"/>
    </xf>
    <xf numFmtId="164" fontId="0" fillId="7" borderId="4" xfId="0" applyFont="false" applyFill="true" applyBorder="true" applyAlignment="true" applyProtection="false">
      <alignment vertical="top" wrapText="1"/>
    </xf>
    <xf numFmtId="164" fontId="0" fillId="7" borderId="3" xfId="0" applyFont="false" applyFill="true" applyBorder="true" applyAlignment="true" applyProtection="false">
      <alignment vertical="top" wrapText="1"/>
    </xf>
    <xf numFmtId="164" fontId="0" fillId="7" borderId="7" xfId="0" applyFont="false" applyFill="true" applyBorder="true" applyAlignment="true" applyProtection="false">
      <alignment vertical="top" wrapText="1"/>
    </xf>
    <xf numFmtId="164" fontId="0" fillId="7" borderId="5" xfId="0" applyFont="false" applyFill="true" applyBorder="true" applyAlignment="true" applyProtection="false">
      <alignment vertical="top" wrapText="1"/>
    </xf>
    <xf numFmtId="164" fontId="0" fillId="7" borderId="6" xfId="0" applyFont="false" applyFill="true" applyBorder="true" applyAlignment="true" applyProtection="false">
      <alignment vertical="top" wrapText="1"/>
    </xf>
    <xf numFmtId="164" fontId="0" fillId="11" borderId="1" xfId="0" applyFont="false" applyFill="true" applyBorder="true" applyAlignment="true" applyProtection="false">
      <alignment vertical="top" wrapText="1"/>
    </xf>
    <xf numFmtId="164" fontId="0" fillId="11" borderId="2" xfId="0" applyFont="false" applyFill="true" applyBorder="true" applyAlignment="true" applyProtection="false">
      <alignment vertical="top" wrapText="1"/>
    </xf>
    <xf numFmtId="164" fontId="0" fillId="11" borderId="9" xfId="0" applyFont="false" applyFill="true" applyBorder="true" applyAlignment="true" applyProtection="false">
      <alignment vertical="top" wrapText="1"/>
    </xf>
    <xf numFmtId="164" fontId="0" fillId="11" borderId="4" xfId="0" applyFont="false" applyFill="true" applyBorder="true" applyAlignment="true" applyProtection="false">
      <alignment vertical="top" wrapText="1"/>
    </xf>
    <xf numFmtId="164" fontId="0" fillId="11" borderId="3" xfId="0" applyFont="false" applyFill="true" applyBorder="true" applyAlignment="true" applyProtection="false">
      <alignment vertical="top" wrapText="1"/>
    </xf>
    <xf numFmtId="164" fontId="0" fillId="11" borderId="7" xfId="0" applyFont="false" applyFill="true" applyBorder="true" applyAlignment="true" applyProtection="false">
      <alignment vertical="top" wrapText="1"/>
    </xf>
    <xf numFmtId="164" fontId="0" fillId="11" borderId="5" xfId="0" applyFont="false" applyFill="true" applyBorder="true" applyAlignment="true" applyProtection="false">
      <alignment vertical="top" wrapText="1"/>
    </xf>
    <xf numFmtId="164" fontId="0" fillId="11" borderId="6" xfId="0" applyFont="false" applyFill="true" applyBorder="true" applyAlignment="true" applyProtection="false">
      <alignment vertical="top" wrapText="1"/>
    </xf>
    <xf numFmtId="164" fontId="0" fillId="9" borderId="1" xfId="0" applyFont="false" applyFill="true" applyBorder="true" applyAlignment="true" applyProtection="false">
      <alignment vertical="top" wrapText="1"/>
    </xf>
    <xf numFmtId="164" fontId="0" fillId="9" borderId="2" xfId="0" applyFont="false" applyFill="true" applyBorder="true" applyAlignment="true" applyProtection="false">
      <alignment vertical="top" wrapText="1"/>
    </xf>
    <xf numFmtId="164" fontId="0" fillId="9" borderId="9" xfId="0" applyFont="false" applyFill="true" applyBorder="true" applyAlignment="true" applyProtection="false">
      <alignment vertical="top" wrapText="1"/>
    </xf>
    <xf numFmtId="164" fontId="0" fillId="9" borderId="4" xfId="0" applyFont="false" applyFill="true" applyBorder="true" applyAlignment="true" applyProtection="false">
      <alignment vertical="top" wrapText="1"/>
    </xf>
    <xf numFmtId="164" fontId="0" fillId="9" borderId="3" xfId="0" applyFont="false" applyFill="true" applyBorder="true" applyAlignment="true" applyProtection="false">
      <alignment vertical="top" wrapText="1"/>
    </xf>
    <xf numFmtId="164" fontId="0" fillId="9" borderId="7" xfId="0" applyFont="false" applyFill="true" applyBorder="true" applyAlignment="true" applyProtection="false">
      <alignment vertical="top" wrapText="1"/>
    </xf>
    <xf numFmtId="164" fontId="0" fillId="9" borderId="5" xfId="0" applyFont="false" applyFill="true" applyBorder="true" applyAlignment="true" applyProtection="false">
      <alignment vertical="top" wrapText="1"/>
    </xf>
    <xf numFmtId="164" fontId="0" fillId="9" borderId="6" xfId="0" applyFont="false" applyFill="true" applyBorder="true" applyAlignment="true" applyProtection="false">
      <alignment vertical="top" wrapText="1"/>
    </xf>
    <xf numFmtId="164" fontId="0" fillId="4" borderId="1" xfId="0" applyFont="false" applyFill="true" applyBorder="true" applyAlignment="true" applyProtection="false">
      <alignment vertical="top" wrapText="1"/>
    </xf>
    <xf numFmtId="164" fontId="0" fillId="4" borderId="2" xfId="0" applyFont="false" applyFill="true" applyBorder="true" applyAlignment="true" applyProtection="false">
      <alignment vertical="top" wrapText="1"/>
    </xf>
    <xf numFmtId="164" fontId="0" fillId="4" borderId="9" xfId="0" applyFont="false" applyFill="true" applyBorder="true" applyAlignment="true" applyProtection="false">
      <alignment vertical="top" wrapText="1"/>
    </xf>
    <xf numFmtId="164" fontId="0" fillId="4" borderId="4" xfId="0" applyFont="false" applyFill="true" applyBorder="true" applyAlignment="true" applyProtection="false">
      <alignment vertical="top" wrapText="1"/>
    </xf>
    <xf numFmtId="164" fontId="0" fillId="4" borderId="3" xfId="0" applyFont="false" applyFill="true" applyBorder="true" applyAlignment="true" applyProtection="false">
      <alignment vertical="top" wrapText="1"/>
    </xf>
    <xf numFmtId="164" fontId="0" fillId="4" borderId="7" xfId="0" applyFont="false" applyFill="true" applyBorder="true" applyAlignment="true" applyProtection="false">
      <alignment vertical="top" wrapText="1"/>
    </xf>
    <xf numFmtId="164" fontId="0" fillId="4" borderId="5" xfId="0" applyFont="false" applyFill="true" applyBorder="true" applyAlignment="true" applyProtection="false">
      <alignment vertical="top" wrapText="1"/>
    </xf>
    <xf numFmtId="164" fontId="0" fillId="4" borderId="6" xfId="0" applyFont="false" applyFill="true" applyBorder="true" applyAlignment="true" applyProtection="false">
      <alignment vertical="top" wrapText="1"/>
    </xf>
    <xf numFmtId="164" fontId="0" fillId="6" borderId="1" xfId="0" applyFont="false" applyFill="true" applyBorder="true" applyAlignment="true" applyProtection="false">
      <alignment vertical="top" wrapText="1"/>
    </xf>
    <xf numFmtId="164" fontId="0" fillId="6" borderId="2" xfId="0" applyFont="false" applyFill="true" applyBorder="true" applyAlignment="true" applyProtection="false">
      <alignment vertical="top" wrapText="1"/>
    </xf>
    <xf numFmtId="164" fontId="0" fillId="6" borderId="9" xfId="0" applyFont="false" applyFill="true" applyBorder="true" applyAlignment="true" applyProtection="false">
      <alignment vertical="top" wrapText="1"/>
    </xf>
    <xf numFmtId="164" fontId="0" fillId="6" borderId="4" xfId="0" applyFont="false" applyFill="true" applyBorder="true" applyAlignment="true" applyProtection="false">
      <alignment vertical="top" wrapText="1"/>
    </xf>
    <xf numFmtId="164" fontId="0" fillId="6" borderId="3" xfId="0" applyFont="false" applyFill="true" applyBorder="true" applyAlignment="true" applyProtection="false">
      <alignment vertical="top" wrapText="1"/>
    </xf>
    <xf numFmtId="164" fontId="0" fillId="6" borderId="7" xfId="0" applyFont="false" applyFill="true" applyBorder="true" applyAlignment="true" applyProtection="false">
      <alignment vertical="top" wrapText="1"/>
    </xf>
    <xf numFmtId="164" fontId="0" fillId="6" borderId="5" xfId="0" applyFont="false" applyFill="true" applyBorder="true" applyAlignment="true" applyProtection="false">
      <alignment vertical="top" wrapText="1"/>
    </xf>
    <xf numFmtId="164" fontId="0" fillId="6" borderId="6" xfId="0" applyFont="false" applyFill="true" applyBorder="true" applyAlignment="true" applyProtection="false">
      <alignment vertical="top" wrapText="1"/>
    </xf>
    <xf numFmtId="164" fontId="0" fillId="8" borderId="1" xfId="0" applyFont="false" applyFill="true" applyBorder="true" applyAlignment="true" applyProtection="false">
      <alignment vertical="top" wrapText="1"/>
    </xf>
    <xf numFmtId="164" fontId="0" fillId="8" borderId="2" xfId="0" applyFont="false" applyFill="true" applyBorder="true" applyAlignment="true" applyProtection="false">
      <alignment vertical="top" wrapText="1"/>
    </xf>
    <xf numFmtId="164" fontId="0" fillId="8" borderId="9" xfId="0" applyFont="false" applyFill="true" applyBorder="true" applyAlignment="true" applyProtection="false">
      <alignment vertical="top" wrapText="1"/>
    </xf>
    <xf numFmtId="164" fontId="0" fillId="8" borderId="4" xfId="0" applyFont="false" applyFill="true" applyBorder="true" applyAlignment="true" applyProtection="false">
      <alignment vertical="top" wrapText="1"/>
    </xf>
    <xf numFmtId="164" fontId="0" fillId="8" borderId="3" xfId="0" applyFont="false" applyFill="true" applyBorder="true" applyAlignment="true" applyProtection="false">
      <alignment vertical="top" wrapText="1"/>
    </xf>
    <xf numFmtId="164" fontId="0" fillId="8" borderId="7" xfId="0" applyFont="false" applyFill="true" applyBorder="true" applyAlignment="true" applyProtection="false">
      <alignment vertical="top" wrapText="1"/>
    </xf>
    <xf numFmtId="164" fontId="0" fillId="8" borderId="5" xfId="0" applyFont="false" applyFill="true" applyBorder="true" applyAlignment="true" applyProtection="false">
      <alignment vertical="top" wrapText="1"/>
    </xf>
    <xf numFmtId="164" fontId="0" fillId="8" borderId="6" xfId="0" applyFont="false" applyFill="true" applyBorder="true" applyAlignment="true" applyProtection="false">
      <alignment vertical="top" wrapText="1"/>
    </xf>
    <xf numFmtId="164" fontId="0" fillId="10" borderId="1" xfId="0" applyFont="false" applyFill="true" applyBorder="true" applyAlignment="true" applyProtection="false">
      <alignment vertical="top" wrapText="1"/>
    </xf>
    <xf numFmtId="164" fontId="0" fillId="10" borderId="2" xfId="0" applyFont="false" applyFill="true" applyBorder="true" applyAlignment="true" applyProtection="false">
      <alignment vertical="top" wrapText="1"/>
    </xf>
    <xf numFmtId="164" fontId="0" fillId="10" borderId="9" xfId="0" applyFont="false" applyFill="true" applyBorder="true" applyAlignment="true" applyProtection="false">
      <alignment vertical="top" wrapText="1"/>
    </xf>
    <xf numFmtId="164" fontId="0" fillId="10" borderId="4" xfId="0" applyFont="false" applyFill="true" applyBorder="true" applyAlignment="true" applyProtection="false">
      <alignment vertical="top" wrapText="1"/>
    </xf>
    <xf numFmtId="164" fontId="0" fillId="10" borderId="3" xfId="0" applyFont="false" applyFill="true" applyBorder="true" applyAlignment="true" applyProtection="false">
      <alignment vertical="top" wrapText="1"/>
    </xf>
    <xf numFmtId="164" fontId="0" fillId="10" borderId="7" xfId="0" applyFont="false" applyFill="true" applyBorder="true" applyAlignment="true" applyProtection="false">
      <alignment vertical="top" wrapText="1"/>
    </xf>
    <xf numFmtId="164" fontId="0" fillId="10" borderId="5" xfId="0" applyFont="false" applyFill="true" applyBorder="true" applyAlignment="true" applyProtection="false">
      <alignment vertical="top" wrapText="1"/>
    </xf>
    <xf numFmtId="164" fontId="0" fillId="10" borderId="6" xfId="0" applyFont="false" applyFill="true" applyBorder="true" applyAlignment="true" applyProtection="false">
      <alignment vertical="top" wrapText="1"/>
    </xf>
    <xf numFmtId="164" fontId="4" fillId="12" borderId="1" xfId="0" applyFont="true" applyFill="true" applyBorder="true" applyAlignment="true" applyProtection="false">
      <alignment vertical="top" wrapText="1"/>
    </xf>
    <xf numFmtId="164" fontId="4" fillId="12" borderId="2" xfId="0" applyFont="true" applyFill="true" applyBorder="true" applyAlignment="true" applyProtection="false">
      <alignment vertical="top" wrapText="1"/>
    </xf>
    <xf numFmtId="164" fontId="4" fillId="12" borderId="9" xfId="0" applyFont="true" applyFill="true" applyBorder="true" applyAlignment="true" applyProtection="false">
      <alignment vertical="top" wrapText="1"/>
    </xf>
    <xf numFmtId="164" fontId="4" fillId="12" borderId="4" xfId="0" applyFont="true" applyFill="true" applyBorder="true" applyAlignment="true" applyProtection="false">
      <alignment vertical="top" wrapText="1"/>
    </xf>
    <xf numFmtId="164" fontId="4" fillId="12" borderId="3" xfId="0" applyFont="true" applyFill="true" applyBorder="true" applyAlignment="true" applyProtection="false">
      <alignment vertical="top" wrapText="1"/>
    </xf>
    <xf numFmtId="164" fontId="4" fillId="12" borderId="7" xfId="0" applyFont="true" applyFill="true" applyBorder="true" applyAlignment="true" applyProtection="false">
      <alignment vertical="top" wrapText="1"/>
    </xf>
    <xf numFmtId="164" fontId="4" fillId="12" borderId="5" xfId="0" applyFont="true" applyFill="true" applyBorder="true" applyAlignment="true" applyProtection="false">
      <alignment vertical="top" wrapText="1"/>
    </xf>
    <xf numFmtId="164" fontId="4" fillId="12" borderId="6" xfId="0" applyFont="true" applyFill="true" applyBorder="true" applyAlignment="true" applyProtection="false">
      <alignment vertical="top" wrapText="1"/>
    </xf>
    <xf numFmtId="164" fontId="4" fillId="2" borderId="1" xfId="0" applyFont="true" applyFill="true" applyBorder="true" applyAlignment="true" applyProtection="false">
      <alignment vertical="top" wrapText="1"/>
    </xf>
    <xf numFmtId="164" fontId="4" fillId="2" borderId="2" xfId="0" applyFont="true" applyFill="true" applyBorder="true" applyAlignment="true" applyProtection="false">
      <alignment vertical="top" wrapText="1"/>
    </xf>
    <xf numFmtId="164" fontId="4" fillId="2" borderId="9" xfId="0" applyFont="true" applyFill="true" applyBorder="true" applyAlignment="true" applyProtection="false">
      <alignment vertical="top" wrapText="1"/>
    </xf>
    <xf numFmtId="164" fontId="4" fillId="2" borderId="4" xfId="0" applyFont="true" applyFill="true" applyBorder="true" applyAlignment="true" applyProtection="false">
      <alignment vertical="top" wrapText="1"/>
    </xf>
    <xf numFmtId="164" fontId="4" fillId="2" borderId="3" xfId="0" applyFont="true" applyFill="true" applyBorder="true" applyAlignment="true" applyProtection="false">
      <alignment vertical="top" wrapText="1"/>
    </xf>
    <xf numFmtId="164" fontId="4" fillId="2" borderId="7" xfId="0" applyFont="true" applyFill="true" applyBorder="true" applyAlignment="true" applyProtection="false">
      <alignment vertical="top" wrapText="1"/>
    </xf>
    <xf numFmtId="164" fontId="4" fillId="2" borderId="5" xfId="0" applyFont="true" applyFill="true" applyBorder="true" applyAlignment="true" applyProtection="false">
      <alignment vertical="top" wrapText="1"/>
    </xf>
    <xf numFmtId="164" fontId="4" fillId="2" borderId="6" xfId="0" applyFont="true" applyFill="true" applyBorder="true" applyAlignment="true" applyProtection="false">
      <alignment vertical="top" wrapText="1"/>
    </xf>
    <xf numFmtId="164" fontId="4" fillId="3" borderId="1" xfId="0" applyFont="true" applyFill="true" applyBorder="true" applyAlignment="true" applyProtection="false">
      <alignment vertical="top" wrapText="1"/>
    </xf>
    <xf numFmtId="164" fontId="4" fillId="3" borderId="2" xfId="0" applyFont="true" applyFill="true" applyBorder="true" applyAlignment="true" applyProtection="false">
      <alignment vertical="top" wrapText="1"/>
    </xf>
    <xf numFmtId="164" fontId="4" fillId="3" borderId="9" xfId="0" applyFont="true" applyFill="true" applyBorder="true" applyAlignment="true" applyProtection="false">
      <alignment vertical="top" wrapText="1"/>
    </xf>
    <xf numFmtId="164" fontId="4" fillId="3" borderId="4" xfId="0" applyFont="true" applyFill="true" applyBorder="true" applyAlignment="true" applyProtection="false">
      <alignment vertical="top" wrapText="1"/>
    </xf>
    <xf numFmtId="164" fontId="4" fillId="3" borderId="3" xfId="0" applyFont="true" applyFill="true" applyBorder="true" applyAlignment="true" applyProtection="false">
      <alignment vertical="top" wrapText="1"/>
    </xf>
    <xf numFmtId="164" fontId="4" fillId="3" borderId="7" xfId="0" applyFont="true" applyFill="true" applyBorder="true" applyAlignment="true" applyProtection="false">
      <alignment vertical="top" wrapText="1"/>
    </xf>
    <xf numFmtId="164" fontId="4" fillId="3" borderId="5" xfId="0" applyFont="true" applyFill="true" applyBorder="true" applyAlignment="true" applyProtection="false">
      <alignment vertical="top" wrapText="1"/>
    </xf>
    <xf numFmtId="164" fontId="4" fillId="3" borderId="6" xfId="0" applyFont="true" applyFill="true" applyBorder="true" applyAlignment="true" applyProtection="false">
      <alignment vertical="top" wrapText="1"/>
    </xf>
    <xf numFmtId="164" fontId="0" fillId="0" borderId="1" xfId="0" applyFont="false" applyFill="true" applyBorder="true" applyAlignment="true" applyProtection="false">
      <alignment vertical="top" wrapText="1"/>
    </xf>
    <xf numFmtId="164" fontId="0" fillId="0" borderId="2" xfId="0" applyFont="false" applyFill="true" applyBorder="true" applyAlignment="true" applyProtection="false">
      <alignment vertical="top" wrapText="1"/>
    </xf>
    <xf numFmtId="164" fontId="0" fillId="0" borderId="9" xfId="0" applyFont="false" applyFill="true" applyBorder="true" applyAlignment="true" applyProtection="false">
      <alignment vertical="top" wrapText="1"/>
    </xf>
    <xf numFmtId="164" fontId="0" fillId="0" borderId="4" xfId="0" applyFont="false" applyFill="true" applyBorder="true" applyAlignment="true" applyProtection="false">
      <alignment vertical="top" wrapText="1"/>
    </xf>
    <xf numFmtId="164" fontId="0" fillId="0" borderId="3" xfId="0" applyFont="false" applyFill="true" applyBorder="true" applyAlignment="true" applyProtection="false">
      <alignment vertical="top" wrapText="1"/>
    </xf>
    <xf numFmtId="164" fontId="0" fillId="0" borderId="7" xfId="0" applyFont="false" applyFill="true" applyBorder="true" applyAlignment="true" applyProtection="false">
      <alignment vertical="top" wrapText="1"/>
    </xf>
    <xf numFmtId="164" fontId="0" fillId="0" borderId="5" xfId="0" applyFont="false" applyFill="true" applyBorder="true" applyAlignment="true" applyProtection="false">
      <alignment vertical="top" wrapText="1"/>
    </xf>
    <xf numFmtId="164" fontId="0" fillId="0" borderId="6" xfId="0" applyFont="false" applyFill="true" applyBorder="true" applyAlignment="true" applyProtection="false">
      <alignment vertical="top" wrapText="1"/>
    </xf>
    <xf numFmtId="164" fontId="0" fillId="13" borderId="0" xfId="0" applyFont="false" applyFill="true" applyBorder="false" applyAlignment="true" applyProtection="false">
      <alignment vertical="top" wrapText="1"/>
    </xf>
    <xf numFmtId="164" fontId="0" fillId="13" borderId="1" xfId="0" applyFont="false" applyFill="true" applyBorder="true" applyAlignment="true" applyProtection="false">
      <alignment vertical="top" wrapText="1"/>
    </xf>
    <xf numFmtId="164" fontId="0" fillId="13" borderId="2" xfId="0" applyFont="false" applyFill="true" applyBorder="true" applyAlignment="true" applyProtection="false">
      <alignment vertical="top" wrapText="1"/>
    </xf>
    <xf numFmtId="164" fontId="0" fillId="13" borderId="9" xfId="0" applyFont="false" applyFill="true" applyBorder="true" applyAlignment="true" applyProtection="false">
      <alignment vertical="top" wrapText="1"/>
    </xf>
    <xf numFmtId="164" fontId="0" fillId="13" borderId="4" xfId="0" applyFont="false" applyFill="true" applyBorder="true" applyAlignment="true" applyProtection="false">
      <alignment vertical="top" wrapText="1"/>
    </xf>
    <xf numFmtId="164" fontId="0" fillId="13" borderId="3" xfId="0" applyFont="false" applyFill="true" applyBorder="true" applyAlignment="true" applyProtection="false">
      <alignment vertical="top" wrapText="1"/>
    </xf>
    <xf numFmtId="164" fontId="0" fillId="13" borderId="7" xfId="0" applyFont="false" applyFill="true" applyBorder="true" applyAlignment="true" applyProtection="false">
      <alignment vertical="top" wrapText="1"/>
    </xf>
    <xf numFmtId="164" fontId="0" fillId="13" borderId="5" xfId="0" applyFont="false" applyFill="true" applyBorder="true" applyAlignment="true" applyProtection="false">
      <alignment vertical="top" wrapText="1"/>
    </xf>
    <xf numFmtId="164" fontId="0" fillId="13" borderId="6" xfId="0" applyFont="false" applyFill="true" applyBorder="true" applyAlignment="true" applyProtection="false">
      <alignment vertical="top" wrapText="1"/>
    </xf>
    <xf numFmtId="164" fontId="0" fillId="14" borderId="0" xfId="0" applyFont="false" applyFill="true" applyBorder="false" applyAlignment="true" applyProtection="false">
      <alignment vertical="top" wrapText="1"/>
    </xf>
    <xf numFmtId="164" fontId="0" fillId="15" borderId="0" xfId="0" applyFont="false" applyFill="true" applyBorder="false" applyAlignment="true" applyProtection="false">
      <alignment vertical="top" wrapText="1"/>
    </xf>
    <xf numFmtId="164" fontId="0" fillId="16" borderId="0" xfId="0" applyFont="false" applyFill="true" applyBorder="false" applyAlignment="true" applyProtection="false">
      <alignment vertical="top" wrapText="1"/>
    </xf>
    <xf numFmtId="164" fontId="0" fillId="17" borderId="0" xfId="0" applyFont="false" applyFill="true" applyBorder="false" applyAlignment="true" applyProtection="false">
      <alignment vertical="top" wrapText="1"/>
    </xf>
    <xf numFmtId="164" fontId="0" fillId="18" borderId="0" xfId="0" applyFont="false" applyFill="true" applyBorder="false" applyAlignment="true" applyProtection="false">
      <alignment vertical="top" wrapText="1"/>
    </xf>
    <xf numFmtId="164" fontId="0" fillId="19" borderId="0" xfId="0" applyFont="false" applyFill="true" applyBorder="false" applyAlignment="true" applyProtection="false">
      <alignment vertical="top" wrapText="1"/>
    </xf>
    <xf numFmtId="164" fontId="0" fillId="20" borderId="0" xfId="0" applyFont="false" applyFill="true" applyBorder="false" applyAlignment="true" applyProtection="false">
      <alignment vertical="top" wrapText="1"/>
    </xf>
    <xf numFmtId="164" fontId="0" fillId="21" borderId="0" xfId="0" applyFont="false" applyFill="true" applyBorder="false" applyAlignment="true" applyProtection="false">
      <alignment vertical="top" wrapText="1"/>
    </xf>
    <xf numFmtId="164" fontId="0" fillId="22" borderId="0" xfId="0" applyFont="false" applyFill="true" applyBorder="false" applyAlignment="true" applyProtection="false">
      <alignment vertical="top" wrapText="1"/>
    </xf>
    <xf numFmtId="164" fontId="0" fillId="23" borderId="0" xfId="0" applyFont="false" applyFill="true" applyBorder="false" applyAlignment="true" applyProtection="false">
      <alignment vertical="top" wrapText="1"/>
    </xf>
    <xf numFmtId="164" fontId="0" fillId="24" borderId="0" xfId="0" applyFont="false" applyFill="true" applyBorder="false" applyAlignment="true" applyProtection="false">
      <alignment vertical="top" wrapText="1"/>
    </xf>
    <xf numFmtId="164" fontId="0" fillId="25" borderId="0" xfId="0" applyFont="false" applyFill="true" applyBorder="false" applyAlignment="true" applyProtection="false">
      <alignment vertical="top" wrapText="1"/>
    </xf>
    <xf numFmtId="164" fontId="0" fillId="26" borderId="0" xfId="0" applyFont="false" applyFill="true" applyBorder="false" applyAlignment="true" applyProtection="false">
      <alignment vertical="top" wrapText="1"/>
    </xf>
    <xf numFmtId="164" fontId="0" fillId="27" borderId="0" xfId="0" applyFont="false" applyFill="true" applyBorder="false" applyAlignment="true" applyProtection="false">
      <alignment vertical="top" wrapText="1"/>
    </xf>
    <xf numFmtId="164" fontId="0" fillId="28" borderId="0" xfId="0" applyFont="false" applyFill="true" applyBorder="false" applyAlignment="true" applyProtection="false">
      <alignment vertical="top" wrapText="1"/>
    </xf>
    <xf numFmtId="164" fontId="0" fillId="29" borderId="0" xfId="0" applyFont="false" applyFill="true" applyBorder="false" applyAlignment="true" applyProtection="false">
      <alignment vertical="top" wrapText="1"/>
    </xf>
    <xf numFmtId="164" fontId="0" fillId="30" borderId="0" xfId="0" applyFont="false" applyFill="true" applyBorder="false" applyAlignment="true" applyProtection="false">
      <alignment vertical="top" wrapText="1"/>
    </xf>
    <xf numFmtId="164" fontId="0" fillId="31" borderId="0" xfId="0" applyFont="false" applyFill="true" applyBorder="false" applyAlignment="true" applyProtection="false">
      <alignment vertical="top" wrapText="1"/>
    </xf>
    <xf numFmtId="164" fontId="0" fillId="32" borderId="0" xfId="0" applyFont="false" applyFill="true" applyBorder="false" applyAlignment="true" applyProtection="false">
      <alignment vertical="top" wrapText="1"/>
    </xf>
    <xf numFmtId="164" fontId="0" fillId="33" borderId="0" xfId="0" applyFont="false" applyFill="true" applyBorder="false" applyAlignment="true" applyProtection="false">
      <alignment vertical="top" wrapText="1"/>
    </xf>
    <xf numFmtId="164" fontId="0" fillId="34" borderId="0" xfId="0" applyFont="false" applyFill="true" applyBorder="false" applyAlignment="true" applyProtection="false">
      <alignment vertical="top" wrapText="1"/>
    </xf>
    <xf numFmtId="164" fontId="0" fillId="35" borderId="0" xfId="0" applyFont="false" applyFill="true" applyBorder="false" applyAlignment="true" applyProtection="false">
      <alignment vertical="top" wrapText="1"/>
    </xf>
    <xf numFmtId="164" fontId="0" fillId="14" borderId="1" xfId="0" applyFont="false" applyFill="true" applyBorder="true" applyAlignment="true" applyProtection="false">
      <alignment vertical="top" wrapText="1"/>
    </xf>
    <xf numFmtId="164" fontId="0" fillId="14" borderId="2" xfId="0" applyFont="false" applyFill="true" applyBorder="true" applyAlignment="true" applyProtection="false">
      <alignment vertical="top" wrapText="1"/>
    </xf>
    <xf numFmtId="164" fontId="0" fillId="14" borderId="9" xfId="0" applyFont="false" applyFill="true" applyBorder="true" applyAlignment="true" applyProtection="false">
      <alignment vertical="top" wrapText="1"/>
    </xf>
    <xf numFmtId="164" fontId="0" fillId="14" borderId="4" xfId="0" applyFont="false" applyFill="true" applyBorder="true" applyAlignment="true" applyProtection="false">
      <alignment vertical="top" wrapText="1"/>
    </xf>
    <xf numFmtId="164" fontId="0" fillId="14" borderId="3" xfId="0" applyFont="false" applyFill="true" applyBorder="true" applyAlignment="true" applyProtection="false">
      <alignment vertical="top" wrapText="1"/>
    </xf>
    <xf numFmtId="164" fontId="0" fillId="14" borderId="7" xfId="0" applyFont="false" applyFill="true" applyBorder="true" applyAlignment="true" applyProtection="false">
      <alignment vertical="top" wrapText="1"/>
    </xf>
    <xf numFmtId="164" fontId="0" fillId="14" borderId="5" xfId="0" applyFont="false" applyFill="true" applyBorder="true" applyAlignment="true" applyProtection="false">
      <alignment vertical="top" wrapText="1"/>
    </xf>
    <xf numFmtId="164" fontId="0" fillId="14" borderId="6" xfId="0" applyFont="false" applyFill="true" applyBorder="true" applyAlignment="true" applyProtection="false">
      <alignment vertical="top" wrapText="1"/>
    </xf>
    <xf numFmtId="164" fontId="0" fillId="15" borderId="1" xfId="0" applyFont="false" applyFill="true" applyBorder="true" applyAlignment="true" applyProtection="false">
      <alignment vertical="top" wrapText="1"/>
    </xf>
    <xf numFmtId="164" fontId="0" fillId="15" borderId="2" xfId="0" applyFont="false" applyFill="true" applyBorder="true" applyAlignment="true" applyProtection="false">
      <alignment vertical="top" wrapText="1"/>
    </xf>
    <xf numFmtId="164" fontId="0" fillId="15" borderId="9" xfId="0" applyFont="false" applyFill="true" applyBorder="true" applyAlignment="true" applyProtection="false">
      <alignment vertical="top" wrapText="1"/>
    </xf>
    <xf numFmtId="164" fontId="0" fillId="15" borderId="4" xfId="0" applyFont="false" applyFill="true" applyBorder="true" applyAlignment="true" applyProtection="false">
      <alignment vertical="top" wrapText="1"/>
    </xf>
    <xf numFmtId="164" fontId="0" fillId="15" borderId="3" xfId="0" applyFont="false" applyFill="true" applyBorder="true" applyAlignment="true" applyProtection="false">
      <alignment vertical="top" wrapText="1"/>
    </xf>
    <xf numFmtId="164" fontId="0" fillId="15" borderId="7" xfId="0" applyFont="false" applyFill="true" applyBorder="true" applyAlignment="true" applyProtection="false">
      <alignment vertical="top" wrapText="1"/>
    </xf>
    <xf numFmtId="164" fontId="0" fillId="15" borderId="5" xfId="0" applyFont="false" applyFill="true" applyBorder="true" applyAlignment="true" applyProtection="false">
      <alignment vertical="top" wrapText="1"/>
    </xf>
    <xf numFmtId="164" fontId="0" fillId="15" borderId="6" xfId="0" applyFont="false" applyFill="true" applyBorder="true" applyAlignment="true" applyProtection="false">
      <alignment vertical="top" wrapText="1"/>
    </xf>
    <xf numFmtId="164" fontId="0" fillId="16" borderId="1" xfId="0" applyFont="false" applyFill="true" applyBorder="true" applyAlignment="true" applyProtection="false">
      <alignment vertical="top" wrapText="1"/>
    </xf>
    <xf numFmtId="164" fontId="0" fillId="16" borderId="2" xfId="0" applyFont="false" applyFill="true" applyBorder="true" applyAlignment="true" applyProtection="false">
      <alignment vertical="top" wrapText="1"/>
    </xf>
    <xf numFmtId="164" fontId="0" fillId="16" borderId="9" xfId="0" applyFont="false" applyFill="true" applyBorder="true" applyAlignment="true" applyProtection="false">
      <alignment vertical="top" wrapText="1"/>
    </xf>
    <xf numFmtId="164" fontId="0" fillId="16" borderId="4" xfId="0" applyFont="false" applyFill="true" applyBorder="true" applyAlignment="true" applyProtection="false">
      <alignment vertical="top" wrapText="1"/>
    </xf>
    <xf numFmtId="164" fontId="0" fillId="16" borderId="3" xfId="0" applyFont="false" applyFill="true" applyBorder="true" applyAlignment="true" applyProtection="false">
      <alignment vertical="top" wrapText="1"/>
    </xf>
    <xf numFmtId="164" fontId="0" fillId="16" borderId="7" xfId="0" applyFont="false" applyFill="true" applyBorder="true" applyAlignment="true" applyProtection="false">
      <alignment vertical="top" wrapText="1"/>
    </xf>
    <xf numFmtId="164" fontId="0" fillId="16" borderId="5" xfId="0" applyFont="false" applyFill="true" applyBorder="true" applyAlignment="true" applyProtection="false">
      <alignment vertical="top" wrapText="1"/>
    </xf>
    <xf numFmtId="164" fontId="0" fillId="16" borderId="6" xfId="0" applyFont="false" applyFill="true" applyBorder="true" applyAlignment="true" applyProtection="false">
      <alignment vertical="top" wrapText="1"/>
    </xf>
    <xf numFmtId="164" fontId="0" fillId="17" borderId="1" xfId="0" applyFont="false" applyFill="true" applyBorder="true" applyAlignment="true" applyProtection="false">
      <alignment vertical="top" wrapText="1"/>
    </xf>
    <xf numFmtId="164" fontId="0" fillId="17" borderId="2" xfId="0" applyFont="false" applyFill="true" applyBorder="true" applyAlignment="true" applyProtection="false">
      <alignment vertical="top" wrapText="1"/>
    </xf>
    <xf numFmtId="164" fontId="0" fillId="17" borderId="9" xfId="0" applyFont="false" applyFill="true" applyBorder="true" applyAlignment="true" applyProtection="false">
      <alignment vertical="top" wrapText="1"/>
    </xf>
    <xf numFmtId="164" fontId="0" fillId="17" borderId="4" xfId="0" applyFont="false" applyFill="true" applyBorder="true" applyAlignment="true" applyProtection="false">
      <alignment vertical="top" wrapText="1"/>
    </xf>
    <xf numFmtId="164" fontId="0" fillId="17" borderId="3" xfId="0" applyFont="false" applyFill="true" applyBorder="true" applyAlignment="true" applyProtection="false">
      <alignment vertical="top" wrapText="1"/>
    </xf>
    <xf numFmtId="164" fontId="0" fillId="17" borderId="7" xfId="0" applyFont="false" applyFill="true" applyBorder="true" applyAlignment="true" applyProtection="false">
      <alignment vertical="top" wrapText="1"/>
    </xf>
    <xf numFmtId="164" fontId="0" fillId="17" borderId="5" xfId="0" applyFont="false" applyFill="true" applyBorder="true" applyAlignment="true" applyProtection="false">
      <alignment vertical="top" wrapText="1"/>
    </xf>
    <xf numFmtId="164" fontId="0" fillId="17" borderId="6" xfId="0" applyFont="false" applyFill="true" applyBorder="true" applyAlignment="true" applyProtection="false">
      <alignment vertical="top" wrapText="1"/>
    </xf>
    <xf numFmtId="164" fontId="0" fillId="18" borderId="1" xfId="0" applyFont="false" applyFill="true" applyBorder="true" applyAlignment="true" applyProtection="false">
      <alignment vertical="top" wrapText="1"/>
    </xf>
    <xf numFmtId="164" fontId="0" fillId="18" borderId="2" xfId="0" applyFont="false" applyFill="true" applyBorder="true" applyAlignment="true" applyProtection="false">
      <alignment vertical="top" wrapText="1"/>
    </xf>
    <xf numFmtId="164" fontId="0" fillId="18" borderId="9" xfId="0" applyFont="false" applyFill="true" applyBorder="true" applyAlignment="true" applyProtection="false">
      <alignment vertical="top" wrapText="1"/>
    </xf>
    <xf numFmtId="164" fontId="0" fillId="18" borderId="4" xfId="0" applyFont="false" applyFill="true" applyBorder="true" applyAlignment="true" applyProtection="false">
      <alignment vertical="top" wrapText="1"/>
    </xf>
    <xf numFmtId="164" fontId="0" fillId="18" borderId="3" xfId="0" applyFont="false" applyFill="true" applyBorder="true" applyAlignment="true" applyProtection="false">
      <alignment vertical="top" wrapText="1"/>
    </xf>
    <xf numFmtId="164" fontId="0" fillId="18" borderId="7" xfId="0" applyFont="false" applyFill="true" applyBorder="true" applyAlignment="true" applyProtection="false">
      <alignment vertical="top" wrapText="1"/>
    </xf>
    <xf numFmtId="164" fontId="0" fillId="18" borderId="5" xfId="0" applyFont="false" applyFill="true" applyBorder="true" applyAlignment="true" applyProtection="false">
      <alignment vertical="top" wrapText="1"/>
    </xf>
    <xf numFmtId="164" fontId="0" fillId="18" borderId="6" xfId="0" applyFont="false" applyFill="true" applyBorder="true" applyAlignment="true" applyProtection="false">
      <alignment vertical="top" wrapText="1"/>
    </xf>
    <xf numFmtId="164" fontId="0" fillId="19" borderId="1" xfId="0" applyFont="false" applyFill="true" applyBorder="true" applyAlignment="true" applyProtection="false">
      <alignment vertical="top" wrapText="1"/>
    </xf>
    <xf numFmtId="164" fontId="0" fillId="19" borderId="2" xfId="0" applyFont="false" applyFill="true" applyBorder="true" applyAlignment="true" applyProtection="false">
      <alignment vertical="top" wrapText="1"/>
    </xf>
    <xf numFmtId="164" fontId="0" fillId="19" borderId="9" xfId="0" applyFont="false" applyFill="true" applyBorder="true" applyAlignment="true" applyProtection="false">
      <alignment vertical="top" wrapText="1"/>
    </xf>
    <xf numFmtId="164" fontId="0" fillId="19" borderId="4" xfId="0" applyFont="false" applyFill="true" applyBorder="true" applyAlignment="true" applyProtection="false">
      <alignment vertical="top" wrapText="1"/>
    </xf>
    <xf numFmtId="164" fontId="0" fillId="19" borderId="3" xfId="0" applyFont="false" applyFill="true" applyBorder="true" applyAlignment="true" applyProtection="false">
      <alignment vertical="top" wrapText="1"/>
    </xf>
    <xf numFmtId="164" fontId="0" fillId="19" borderId="7" xfId="0" applyFont="false" applyFill="true" applyBorder="true" applyAlignment="true" applyProtection="false">
      <alignment vertical="top" wrapText="1"/>
    </xf>
    <xf numFmtId="164" fontId="0" fillId="19" borderId="5" xfId="0" applyFont="false" applyFill="true" applyBorder="true" applyAlignment="true" applyProtection="false">
      <alignment vertical="top" wrapText="1"/>
    </xf>
    <xf numFmtId="164" fontId="0" fillId="19" borderId="6" xfId="0" applyFont="false" applyFill="true" applyBorder="true" applyAlignment="true" applyProtection="false">
      <alignment vertical="top" wrapText="1"/>
    </xf>
    <xf numFmtId="164" fontId="0" fillId="20" borderId="1" xfId="0" applyFont="false" applyFill="true" applyBorder="true" applyAlignment="true" applyProtection="false">
      <alignment vertical="top" wrapText="1"/>
    </xf>
    <xf numFmtId="164" fontId="0" fillId="20" borderId="2" xfId="0" applyFont="false" applyFill="true" applyBorder="true" applyAlignment="true" applyProtection="false">
      <alignment vertical="top" wrapText="1"/>
    </xf>
    <xf numFmtId="164" fontId="0" fillId="20" borderId="9" xfId="0" applyFont="false" applyFill="true" applyBorder="true" applyAlignment="true" applyProtection="false">
      <alignment vertical="top" wrapText="1"/>
    </xf>
    <xf numFmtId="164" fontId="0" fillId="20" borderId="4" xfId="0" applyFont="false" applyFill="true" applyBorder="true" applyAlignment="true" applyProtection="false">
      <alignment vertical="top" wrapText="1"/>
    </xf>
    <xf numFmtId="164" fontId="0" fillId="20" borderId="3" xfId="0" applyFont="false" applyFill="true" applyBorder="true" applyAlignment="true" applyProtection="false">
      <alignment vertical="top" wrapText="1"/>
    </xf>
    <xf numFmtId="164" fontId="0" fillId="20" borderId="7" xfId="0" applyFont="false" applyFill="true" applyBorder="true" applyAlignment="true" applyProtection="false">
      <alignment vertical="top" wrapText="1"/>
    </xf>
    <xf numFmtId="164" fontId="0" fillId="20" borderId="5" xfId="0" applyFont="false" applyFill="true" applyBorder="true" applyAlignment="true" applyProtection="false">
      <alignment vertical="top" wrapText="1"/>
    </xf>
    <xf numFmtId="164" fontId="0" fillId="20" borderId="6" xfId="0" applyFont="false" applyFill="true" applyBorder="true" applyAlignment="true" applyProtection="false">
      <alignment vertical="top" wrapText="1"/>
    </xf>
    <xf numFmtId="164" fontId="0" fillId="21" borderId="1" xfId="0" applyFont="false" applyFill="true" applyBorder="true" applyAlignment="true" applyProtection="false">
      <alignment vertical="top" wrapText="1"/>
    </xf>
    <xf numFmtId="164" fontId="0" fillId="21" borderId="2" xfId="0" applyFont="false" applyFill="true" applyBorder="true" applyAlignment="true" applyProtection="false">
      <alignment vertical="top" wrapText="1"/>
    </xf>
    <xf numFmtId="164" fontId="0" fillId="21" borderId="9" xfId="0" applyFont="false" applyFill="true" applyBorder="true" applyAlignment="true" applyProtection="false">
      <alignment vertical="top" wrapText="1"/>
    </xf>
    <xf numFmtId="164" fontId="0" fillId="21" borderId="4" xfId="0" applyFont="false" applyFill="true" applyBorder="true" applyAlignment="true" applyProtection="false">
      <alignment vertical="top" wrapText="1"/>
    </xf>
    <xf numFmtId="164" fontId="0" fillId="21" borderId="3" xfId="0" applyFont="false" applyFill="true" applyBorder="true" applyAlignment="true" applyProtection="false">
      <alignment vertical="top" wrapText="1"/>
    </xf>
    <xf numFmtId="164" fontId="0" fillId="21" borderId="7" xfId="0" applyFont="false" applyFill="true" applyBorder="true" applyAlignment="true" applyProtection="false">
      <alignment vertical="top" wrapText="1"/>
    </xf>
    <xf numFmtId="164" fontId="0" fillId="21" borderId="5" xfId="0" applyFont="false" applyFill="true" applyBorder="true" applyAlignment="true" applyProtection="false">
      <alignment vertical="top" wrapText="1"/>
    </xf>
    <xf numFmtId="164" fontId="0" fillId="21" borderId="6" xfId="0" applyFont="false" applyFill="true" applyBorder="true" applyAlignment="true" applyProtection="false">
      <alignment vertical="top" wrapText="1"/>
    </xf>
    <xf numFmtId="164" fontId="0" fillId="22" borderId="1" xfId="0" applyFont="false" applyFill="true" applyBorder="true" applyAlignment="true" applyProtection="false">
      <alignment vertical="top" wrapText="1"/>
    </xf>
    <xf numFmtId="164" fontId="0" fillId="22" borderId="2" xfId="0" applyFont="false" applyFill="true" applyBorder="true" applyAlignment="true" applyProtection="false">
      <alignment vertical="top" wrapText="1"/>
    </xf>
    <xf numFmtId="164" fontId="0" fillId="22" borderId="9" xfId="0" applyFont="false" applyFill="true" applyBorder="true" applyAlignment="true" applyProtection="false">
      <alignment vertical="top" wrapText="1"/>
    </xf>
    <xf numFmtId="164" fontId="0" fillId="22" borderId="4" xfId="0" applyFont="false" applyFill="true" applyBorder="true" applyAlignment="true" applyProtection="false">
      <alignment vertical="top" wrapText="1"/>
    </xf>
    <xf numFmtId="164" fontId="0" fillId="22" borderId="3" xfId="0" applyFont="false" applyFill="true" applyBorder="true" applyAlignment="true" applyProtection="false">
      <alignment vertical="top" wrapText="1"/>
    </xf>
    <xf numFmtId="164" fontId="0" fillId="22" borderId="7" xfId="0" applyFont="false" applyFill="true" applyBorder="true" applyAlignment="true" applyProtection="false">
      <alignment vertical="top" wrapText="1"/>
    </xf>
    <xf numFmtId="164" fontId="0" fillId="22" borderId="5" xfId="0" applyFont="false" applyFill="true" applyBorder="true" applyAlignment="true" applyProtection="false">
      <alignment vertical="top" wrapText="1"/>
    </xf>
    <xf numFmtId="164" fontId="0" fillId="22" borderId="6" xfId="0" applyFont="false" applyFill="true" applyBorder="true" applyAlignment="true" applyProtection="false">
      <alignment vertical="top" wrapText="1"/>
    </xf>
    <xf numFmtId="164" fontId="0" fillId="23" borderId="1" xfId="0" applyFont="false" applyFill="true" applyBorder="true" applyAlignment="true" applyProtection="false">
      <alignment vertical="top" wrapText="1"/>
    </xf>
    <xf numFmtId="164" fontId="0" fillId="23" borderId="2" xfId="0" applyFont="false" applyFill="true" applyBorder="true" applyAlignment="true" applyProtection="false">
      <alignment vertical="top" wrapText="1"/>
    </xf>
    <xf numFmtId="164" fontId="0" fillId="23" borderId="9" xfId="0" applyFont="false" applyFill="true" applyBorder="true" applyAlignment="true" applyProtection="false">
      <alignment vertical="top" wrapText="1"/>
    </xf>
    <xf numFmtId="164" fontId="0" fillId="23" borderId="4" xfId="0" applyFont="false" applyFill="true" applyBorder="true" applyAlignment="true" applyProtection="false">
      <alignment vertical="top" wrapText="1"/>
    </xf>
    <xf numFmtId="164" fontId="0" fillId="23" borderId="3" xfId="0" applyFont="false" applyFill="true" applyBorder="true" applyAlignment="true" applyProtection="false">
      <alignment vertical="top" wrapText="1"/>
    </xf>
    <xf numFmtId="164" fontId="0" fillId="23" borderId="7" xfId="0" applyFont="false" applyFill="true" applyBorder="true" applyAlignment="true" applyProtection="false">
      <alignment vertical="top" wrapText="1"/>
    </xf>
    <xf numFmtId="164" fontId="0" fillId="23" borderId="5" xfId="0" applyFont="false" applyFill="true" applyBorder="true" applyAlignment="true" applyProtection="false">
      <alignment vertical="top" wrapText="1"/>
    </xf>
    <xf numFmtId="164" fontId="0" fillId="23" borderId="6" xfId="0" applyFont="false" applyFill="true" applyBorder="true" applyAlignment="true" applyProtection="false">
      <alignment vertical="top" wrapText="1"/>
    </xf>
    <xf numFmtId="164" fontId="0" fillId="24" borderId="1" xfId="0" applyFont="false" applyFill="true" applyBorder="true" applyAlignment="true" applyProtection="false">
      <alignment vertical="top" wrapText="1"/>
    </xf>
    <xf numFmtId="164" fontId="0" fillId="24" borderId="2" xfId="0" applyFont="false" applyFill="true" applyBorder="true" applyAlignment="true" applyProtection="false">
      <alignment vertical="top" wrapText="1"/>
    </xf>
    <xf numFmtId="164" fontId="0" fillId="24" borderId="9" xfId="0" applyFont="false" applyFill="true" applyBorder="true" applyAlignment="true" applyProtection="false">
      <alignment vertical="top" wrapText="1"/>
    </xf>
    <xf numFmtId="164" fontId="0" fillId="24" borderId="4" xfId="0" applyFont="false" applyFill="true" applyBorder="true" applyAlignment="true" applyProtection="false">
      <alignment vertical="top" wrapText="1"/>
    </xf>
    <xf numFmtId="164" fontId="0" fillId="24" borderId="3" xfId="0" applyFont="false" applyFill="true" applyBorder="true" applyAlignment="true" applyProtection="false">
      <alignment vertical="top" wrapText="1"/>
    </xf>
    <xf numFmtId="164" fontId="0" fillId="24" borderId="7" xfId="0" applyFont="false" applyFill="true" applyBorder="true" applyAlignment="true" applyProtection="false">
      <alignment vertical="top" wrapText="1"/>
    </xf>
    <xf numFmtId="164" fontId="0" fillId="24" borderId="5" xfId="0" applyFont="false" applyFill="true" applyBorder="true" applyAlignment="true" applyProtection="false">
      <alignment vertical="top" wrapText="1"/>
    </xf>
    <xf numFmtId="164" fontId="0" fillId="24" borderId="6" xfId="0" applyFont="false" applyFill="true" applyBorder="true" applyAlignment="true" applyProtection="false">
      <alignment vertical="top" wrapText="1"/>
    </xf>
    <xf numFmtId="164" fontId="0" fillId="25" borderId="1" xfId="0" applyFont="false" applyFill="true" applyBorder="true" applyAlignment="true" applyProtection="false">
      <alignment vertical="top" wrapText="1"/>
    </xf>
    <xf numFmtId="164" fontId="0" fillId="25" borderId="2" xfId="0" applyFont="false" applyFill="true" applyBorder="true" applyAlignment="true" applyProtection="false">
      <alignment vertical="top" wrapText="1"/>
    </xf>
    <xf numFmtId="164" fontId="0" fillId="25" borderId="9" xfId="0" applyFont="false" applyFill="true" applyBorder="true" applyAlignment="true" applyProtection="false">
      <alignment vertical="top" wrapText="1"/>
    </xf>
    <xf numFmtId="164" fontId="0" fillId="25" borderId="4" xfId="0" applyFont="false" applyFill="true" applyBorder="true" applyAlignment="true" applyProtection="false">
      <alignment vertical="top" wrapText="1"/>
    </xf>
    <xf numFmtId="164" fontId="0" fillId="25" borderId="3" xfId="0" applyFont="false" applyFill="true" applyBorder="true" applyAlignment="true" applyProtection="false">
      <alignment vertical="top" wrapText="1"/>
    </xf>
    <xf numFmtId="164" fontId="0" fillId="25" borderId="7" xfId="0" applyFont="false" applyFill="true" applyBorder="true" applyAlignment="true" applyProtection="false">
      <alignment vertical="top" wrapText="1"/>
    </xf>
    <xf numFmtId="164" fontId="0" fillId="25" borderId="5" xfId="0" applyFont="false" applyFill="true" applyBorder="true" applyAlignment="true" applyProtection="false">
      <alignment vertical="top" wrapText="1"/>
    </xf>
    <xf numFmtId="164" fontId="0" fillId="25" borderId="6" xfId="0" applyFont="false" applyFill="true" applyBorder="true" applyAlignment="true" applyProtection="false">
      <alignment vertical="top" wrapText="1"/>
    </xf>
    <xf numFmtId="164" fontId="0" fillId="26" borderId="1" xfId="0" applyFont="false" applyFill="true" applyBorder="true" applyAlignment="true" applyProtection="false">
      <alignment vertical="top" wrapText="1"/>
    </xf>
    <xf numFmtId="164" fontId="0" fillId="26" borderId="2" xfId="0" applyFont="false" applyFill="true" applyBorder="true" applyAlignment="true" applyProtection="false">
      <alignment vertical="top" wrapText="1"/>
    </xf>
    <xf numFmtId="164" fontId="0" fillId="26" borderId="9" xfId="0" applyFont="false" applyFill="true" applyBorder="true" applyAlignment="true" applyProtection="false">
      <alignment vertical="top" wrapText="1"/>
    </xf>
    <xf numFmtId="164" fontId="0" fillId="26" borderId="4" xfId="0" applyFont="false" applyFill="true" applyBorder="true" applyAlignment="true" applyProtection="false">
      <alignment vertical="top" wrapText="1"/>
    </xf>
    <xf numFmtId="164" fontId="0" fillId="26" borderId="3" xfId="0" applyFont="false" applyFill="true" applyBorder="true" applyAlignment="true" applyProtection="false">
      <alignment vertical="top" wrapText="1"/>
    </xf>
    <xf numFmtId="164" fontId="0" fillId="26" borderId="7" xfId="0" applyFont="false" applyFill="true" applyBorder="true" applyAlignment="true" applyProtection="false">
      <alignment vertical="top" wrapText="1"/>
    </xf>
    <xf numFmtId="164" fontId="0" fillId="26" borderId="5" xfId="0" applyFont="false" applyFill="true" applyBorder="true" applyAlignment="true" applyProtection="false">
      <alignment vertical="top" wrapText="1"/>
    </xf>
    <xf numFmtId="164" fontId="0" fillId="26" borderId="6" xfId="0" applyFont="false" applyFill="true" applyBorder="true" applyAlignment="true" applyProtection="false">
      <alignment vertical="top" wrapText="1"/>
    </xf>
    <xf numFmtId="164" fontId="0" fillId="27" borderId="1" xfId="0" applyFont="false" applyFill="true" applyBorder="true" applyAlignment="true" applyProtection="false">
      <alignment vertical="top" wrapText="1"/>
    </xf>
    <xf numFmtId="164" fontId="0" fillId="27" borderId="2" xfId="0" applyFont="false" applyFill="true" applyBorder="true" applyAlignment="true" applyProtection="false">
      <alignment vertical="top" wrapText="1"/>
    </xf>
    <xf numFmtId="164" fontId="0" fillId="27" borderId="9" xfId="0" applyFont="false" applyFill="true" applyBorder="true" applyAlignment="true" applyProtection="false">
      <alignment vertical="top" wrapText="1"/>
    </xf>
    <xf numFmtId="164" fontId="0" fillId="27" borderId="4" xfId="0" applyFont="false" applyFill="true" applyBorder="true" applyAlignment="true" applyProtection="false">
      <alignment vertical="top" wrapText="1"/>
    </xf>
    <xf numFmtId="164" fontId="0" fillId="27" borderId="3" xfId="0" applyFont="false" applyFill="true" applyBorder="true" applyAlignment="true" applyProtection="false">
      <alignment vertical="top" wrapText="1"/>
    </xf>
    <xf numFmtId="164" fontId="0" fillId="27" borderId="7" xfId="0" applyFont="false" applyFill="true" applyBorder="true" applyAlignment="true" applyProtection="false">
      <alignment vertical="top" wrapText="1"/>
    </xf>
    <xf numFmtId="164" fontId="0" fillId="27" borderId="5" xfId="0" applyFont="false" applyFill="true" applyBorder="true" applyAlignment="true" applyProtection="false">
      <alignment vertical="top" wrapText="1"/>
    </xf>
    <xf numFmtId="164" fontId="0" fillId="27" borderId="6" xfId="0" applyFont="false" applyFill="true" applyBorder="true" applyAlignment="true" applyProtection="false">
      <alignment vertical="top" wrapText="1"/>
    </xf>
    <xf numFmtId="164" fontId="0" fillId="28" borderId="1" xfId="0" applyFont="false" applyFill="true" applyBorder="true" applyAlignment="true" applyProtection="false">
      <alignment vertical="top" wrapText="1"/>
    </xf>
    <xf numFmtId="164" fontId="0" fillId="28" borderId="2" xfId="0" applyFont="false" applyFill="true" applyBorder="true" applyAlignment="true" applyProtection="false">
      <alignment vertical="top" wrapText="1"/>
    </xf>
    <xf numFmtId="164" fontId="0" fillId="28" borderId="9" xfId="0" applyFont="false" applyFill="true" applyBorder="true" applyAlignment="true" applyProtection="false">
      <alignment vertical="top" wrapText="1"/>
    </xf>
    <xf numFmtId="164" fontId="0" fillId="28" borderId="4" xfId="0" applyFont="false" applyFill="true" applyBorder="true" applyAlignment="true" applyProtection="false">
      <alignment vertical="top" wrapText="1"/>
    </xf>
    <xf numFmtId="164" fontId="0" fillId="28" borderId="3" xfId="0" applyFont="false" applyFill="true" applyBorder="true" applyAlignment="true" applyProtection="false">
      <alignment vertical="top" wrapText="1"/>
    </xf>
    <xf numFmtId="164" fontId="0" fillId="28" borderId="7" xfId="0" applyFont="false" applyFill="true" applyBorder="true" applyAlignment="true" applyProtection="false">
      <alignment vertical="top" wrapText="1"/>
    </xf>
    <xf numFmtId="164" fontId="0" fillId="28" borderId="5" xfId="0" applyFont="false" applyFill="true" applyBorder="true" applyAlignment="true" applyProtection="false">
      <alignment vertical="top" wrapText="1"/>
    </xf>
    <xf numFmtId="164" fontId="0" fillId="28" borderId="6" xfId="0" applyFont="false" applyFill="true" applyBorder="true" applyAlignment="true" applyProtection="false">
      <alignment vertical="top" wrapText="1"/>
    </xf>
    <xf numFmtId="164" fontId="0" fillId="29" borderId="1" xfId="0" applyFont="false" applyFill="true" applyBorder="true" applyAlignment="true" applyProtection="false">
      <alignment vertical="top" wrapText="1"/>
    </xf>
    <xf numFmtId="164" fontId="0" fillId="29" borderId="2" xfId="0" applyFont="false" applyFill="true" applyBorder="true" applyAlignment="true" applyProtection="false">
      <alignment vertical="top" wrapText="1"/>
    </xf>
    <xf numFmtId="164" fontId="0" fillId="29" borderId="9" xfId="0" applyFont="false" applyFill="true" applyBorder="true" applyAlignment="true" applyProtection="false">
      <alignment vertical="top" wrapText="1"/>
    </xf>
    <xf numFmtId="164" fontId="0" fillId="29" borderId="4" xfId="0" applyFont="false" applyFill="true" applyBorder="true" applyAlignment="true" applyProtection="false">
      <alignment vertical="top" wrapText="1"/>
    </xf>
    <xf numFmtId="164" fontId="0" fillId="29" borderId="3" xfId="0" applyFont="false" applyFill="true" applyBorder="true" applyAlignment="true" applyProtection="false">
      <alignment vertical="top" wrapText="1"/>
    </xf>
    <xf numFmtId="164" fontId="0" fillId="29" borderId="7" xfId="0" applyFont="false" applyFill="true" applyBorder="true" applyAlignment="true" applyProtection="false">
      <alignment vertical="top" wrapText="1"/>
    </xf>
    <xf numFmtId="164" fontId="0" fillId="29" borderId="5" xfId="0" applyFont="false" applyFill="true" applyBorder="true" applyAlignment="true" applyProtection="false">
      <alignment vertical="top" wrapText="1"/>
    </xf>
    <xf numFmtId="164" fontId="0" fillId="29" borderId="6" xfId="0" applyFont="false" applyFill="true" applyBorder="true" applyAlignment="true" applyProtection="false">
      <alignment vertical="top" wrapText="1"/>
    </xf>
    <xf numFmtId="164" fontId="0" fillId="30" borderId="1" xfId="0" applyFont="false" applyFill="true" applyBorder="true" applyAlignment="true" applyProtection="false">
      <alignment vertical="top" wrapText="1"/>
    </xf>
    <xf numFmtId="164" fontId="0" fillId="30" borderId="2" xfId="0" applyFont="false" applyFill="true" applyBorder="true" applyAlignment="true" applyProtection="false">
      <alignment vertical="top" wrapText="1"/>
    </xf>
    <xf numFmtId="164" fontId="0" fillId="30" borderId="9" xfId="0" applyFont="false" applyFill="true" applyBorder="true" applyAlignment="true" applyProtection="false">
      <alignment vertical="top" wrapText="1"/>
    </xf>
    <xf numFmtId="164" fontId="0" fillId="30" borderId="4" xfId="0" applyFont="false" applyFill="true" applyBorder="true" applyAlignment="true" applyProtection="false">
      <alignment vertical="top" wrapText="1"/>
    </xf>
    <xf numFmtId="164" fontId="0" fillId="30" borderId="3" xfId="0" applyFont="false" applyFill="true" applyBorder="true" applyAlignment="true" applyProtection="false">
      <alignment vertical="top" wrapText="1"/>
    </xf>
    <xf numFmtId="164" fontId="0" fillId="30" borderId="7" xfId="0" applyFont="false" applyFill="true" applyBorder="true" applyAlignment="true" applyProtection="false">
      <alignment vertical="top" wrapText="1"/>
    </xf>
    <xf numFmtId="164" fontId="0" fillId="30" borderId="5" xfId="0" applyFont="false" applyFill="true" applyBorder="true" applyAlignment="true" applyProtection="false">
      <alignment vertical="top" wrapText="1"/>
    </xf>
    <xf numFmtId="164" fontId="0" fillId="30" borderId="6" xfId="0" applyFont="false" applyFill="true" applyBorder="true" applyAlignment="true" applyProtection="false">
      <alignment vertical="top" wrapText="1"/>
    </xf>
    <xf numFmtId="164" fontId="0" fillId="31" borderId="1" xfId="0" applyFont="false" applyFill="true" applyBorder="true" applyAlignment="true" applyProtection="false">
      <alignment vertical="top" wrapText="1"/>
    </xf>
    <xf numFmtId="164" fontId="0" fillId="31" borderId="2" xfId="0" applyFont="false" applyFill="true" applyBorder="true" applyAlignment="true" applyProtection="false">
      <alignment vertical="top" wrapText="1"/>
    </xf>
    <xf numFmtId="164" fontId="0" fillId="31" borderId="9" xfId="0" applyFont="false" applyFill="true" applyBorder="true" applyAlignment="true" applyProtection="false">
      <alignment vertical="top" wrapText="1"/>
    </xf>
    <xf numFmtId="164" fontId="0" fillId="31" borderId="4" xfId="0" applyFont="false" applyFill="true" applyBorder="true" applyAlignment="true" applyProtection="false">
      <alignment vertical="top" wrapText="1"/>
    </xf>
    <xf numFmtId="164" fontId="0" fillId="31" borderId="3" xfId="0" applyFont="false" applyFill="true" applyBorder="true" applyAlignment="true" applyProtection="false">
      <alignment vertical="top" wrapText="1"/>
    </xf>
    <xf numFmtId="164" fontId="0" fillId="31" borderId="7" xfId="0" applyFont="false" applyFill="true" applyBorder="true" applyAlignment="true" applyProtection="false">
      <alignment vertical="top" wrapText="1"/>
    </xf>
    <xf numFmtId="164" fontId="0" fillId="31" borderId="5" xfId="0" applyFont="false" applyFill="true" applyBorder="true" applyAlignment="true" applyProtection="false">
      <alignment vertical="top" wrapText="1"/>
    </xf>
    <xf numFmtId="164" fontId="0" fillId="31" borderId="6" xfId="0" applyFont="false" applyFill="true" applyBorder="true" applyAlignment="true" applyProtection="false">
      <alignment vertical="top" wrapText="1"/>
    </xf>
    <xf numFmtId="164" fontId="0" fillId="32" borderId="1" xfId="0" applyFont="false" applyFill="true" applyBorder="true" applyAlignment="true" applyProtection="false">
      <alignment vertical="top" wrapText="1"/>
    </xf>
    <xf numFmtId="164" fontId="0" fillId="32" borderId="2" xfId="0" applyFont="false" applyFill="true" applyBorder="true" applyAlignment="true" applyProtection="false">
      <alignment vertical="top" wrapText="1"/>
    </xf>
    <xf numFmtId="164" fontId="0" fillId="32" borderId="9" xfId="0" applyFont="false" applyFill="true" applyBorder="true" applyAlignment="true" applyProtection="false">
      <alignment vertical="top" wrapText="1"/>
    </xf>
    <xf numFmtId="164" fontId="0" fillId="32" borderId="4" xfId="0" applyFont="false" applyFill="true" applyBorder="true" applyAlignment="true" applyProtection="false">
      <alignment vertical="top" wrapText="1"/>
    </xf>
    <xf numFmtId="164" fontId="0" fillId="32" borderId="3" xfId="0" applyFont="false" applyFill="true" applyBorder="true" applyAlignment="true" applyProtection="false">
      <alignment vertical="top" wrapText="1"/>
    </xf>
    <xf numFmtId="164" fontId="0" fillId="32" borderId="7" xfId="0" applyFont="false" applyFill="true" applyBorder="true" applyAlignment="true" applyProtection="false">
      <alignment vertical="top" wrapText="1"/>
    </xf>
    <xf numFmtId="164" fontId="0" fillId="32" borderId="5" xfId="0" applyFont="false" applyFill="true" applyBorder="true" applyAlignment="true" applyProtection="false">
      <alignment vertical="top" wrapText="1"/>
    </xf>
    <xf numFmtId="164" fontId="0" fillId="32" borderId="6" xfId="0" applyFont="false" applyFill="true" applyBorder="true" applyAlignment="true" applyProtection="false">
      <alignment vertical="top" wrapText="1"/>
    </xf>
    <xf numFmtId="164" fontId="0" fillId="33" borderId="1" xfId="0" applyFont="false" applyFill="true" applyBorder="true" applyAlignment="true" applyProtection="false">
      <alignment vertical="top" wrapText="1"/>
    </xf>
    <xf numFmtId="164" fontId="0" fillId="33" borderId="2" xfId="0" applyFont="false" applyFill="true" applyBorder="true" applyAlignment="true" applyProtection="false">
      <alignment vertical="top" wrapText="1"/>
    </xf>
    <xf numFmtId="164" fontId="0" fillId="33" borderId="9" xfId="0" applyFont="false" applyFill="true" applyBorder="true" applyAlignment="true" applyProtection="false">
      <alignment vertical="top" wrapText="1"/>
    </xf>
    <xf numFmtId="164" fontId="0" fillId="33" borderId="4" xfId="0" applyFont="false" applyFill="true" applyBorder="true" applyAlignment="true" applyProtection="false">
      <alignment vertical="top" wrapText="1"/>
    </xf>
    <xf numFmtId="164" fontId="0" fillId="33" borderId="3" xfId="0" applyFont="false" applyFill="true" applyBorder="true" applyAlignment="true" applyProtection="false">
      <alignment vertical="top" wrapText="1"/>
    </xf>
    <xf numFmtId="164" fontId="0" fillId="33" borderId="7" xfId="0" applyFont="false" applyFill="true" applyBorder="true" applyAlignment="true" applyProtection="false">
      <alignment vertical="top" wrapText="1"/>
    </xf>
    <xf numFmtId="164" fontId="0" fillId="33" borderId="5" xfId="0" applyFont="false" applyFill="true" applyBorder="true" applyAlignment="true" applyProtection="false">
      <alignment vertical="top" wrapText="1"/>
    </xf>
    <xf numFmtId="164" fontId="0" fillId="33" borderId="6" xfId="0" applyFont="false" applyFill="true" applyBorder="true" applyAlignment="true" applyProtection="false">
      <alignment vertical="top" wrapText="1"/>
    </xf>
    <xf numFmtId="164" fontId="0" fillId="34" borderId="1" xfId="0" applyFont="false" applyFill="true" applyBorder="true" applyAlignment="true" applyProtection="false">
      <alignment vertical="top" wrapText="1"/>
    </xf>
    <xf numFmtId="164" fontId="0" fillId="34" borderId="2" xfId="0" applyFont="false" applyFill="true" applyBorder="true" applyAlignment="true" applyProtection="false">
      <alignment vertical="top" wrapText="1"/>
    </xf>
    <xf numFmtId="164" fontId="0" fillId="34" borderId="9" xfId="0" applyFont="false" applyFill="true" applyBorder="true" applyAlignment="true" applyProtection="false">
      <alignment vertical="top" wrapText="1"/>
    </xf>
    <xf numFmtId="164" fontId="0" fillId="34" borderId="4" xfId="0" applyFont="false" applyFill="true" applyBorder="true" applyAlignment="true" applyProtection="false">
      <alignment vertical="top" wrapText="1"/>
    </xf>
    <xf numFmtId="164" fontId="0" fillId="34" borderId="3" xfId="0" applyFont="false" applyFill="true" applyBorder="true" applyAlignment="true" applyProtection="false">
      <alignment vertical="top" wrapText="1"/>
    </xf>
    <xf numFmtId="164" fontId="0" fillId="34" borderId="7" xfId="0" applyFont="false" applyFill="true" applyBorder="true" applyAlignment="true" applyProtection="false">
      <alignment vertical="top" wrapText="1"/>
    </xf>
    <xf numFmtId="164" fontId="0" fillId="34" borderId="5" xfId="0" applyFont="false" applyFill="true" applyBorder="true" applyAlignment="true" applyProtection="false">
      <alignment vertical="top" wrapText="1"/>
    </xf>
    <xf numFmtId="164" fontId="0" fillId="34" borderId="6" xfId="0" applyFont="false" applyFill="true" applyBorder="true" applyAlignment="true" applyProtection="false">
      <alignment vertical="top" wrapText="1"/>
    </xf>
    <xf numFmtId="164" fontId="0" fillId="35" borderId="1" xfId="0" applyFont="false" applyFill="true" applyBorder="true" applyAlignment="true" applyProtection="false">
      <alignment vertical="top" wrapText="1"/>
    </xf>
    <xf numFmtId="164" fontId="0" fillId="35" borderId="2" xfId="0" applyFont="false" applyFill="true" applyBorder="true" applyAlignment="true" applyProtection="false">
      <alignment vertical="top" wrapText="1"/>
    </xf>
    <xf numFmtId="164" fontId="0" fillId="35" borderId="9" xfId="0" applyFont="false" applyFill="true" applyBorder="true" applyAlignment="true" applyProtection="false">
      <alignment vertical="top" wrapText="1"/>
    </xf>
    <xf numFmtId="164" fontId="0" fillId="35" borderId="4" xfId="0" applyFont="false" applyFill="true" applyBorder="true" applyAlignment="true" applyProtection="false">
      <alignment vertical="top" wrapText="1"/>
    </xf>
    <xf numFmtId="164" fontId="0" fillId="35" borderId="3" xfId="0" applyFont="false" applyFill="true" applyBorder="true" applyAlignment="true" applyProtection="false">
      <alignment vertical="top" wrapText="1"/>
    </xf>
    <xf numFmtId="164" fontId="0" fillId="35" borderId="7" xfId="0" applyFont="false" applyFill="true" applyBorder="true" applyAlignment="true" applyProtection="false">
      <alignment vertical="top" wrapText="1"/>
    </xf>
    <xf numFmtId="164" fontId="0" fillId="35" borderId="5" xfId="0" applyFont="false" applyFill="true" applyBorder="true" applyAlignment="true" applyProtection="false">
      <alignment vertical="top" wrapText="1"/>
    </xf>
    <xf numFmtId="164" fontId="0" fillId="35" borderId="6" xfId="0" applyFont="false" applyFill="true" applyBorder="true" applyAlignment="true" applyProtection="false">
      <alignment vertical="top" wrapText="1"/>
    </xf>
    <xf numFmtId="164" fontId="0" fillId="36" borderId="0" xfId="0" applyFont="false" applyFill="true" applyBorder="false" applyAlignment="true" applyProtection="false">
      <alignment vertical="top" wrapText="1"/>
    </xf>
    <xf numFmtId="164" fontId="0" fillId="37" borderId="0" xfId="0" applyFont="false" applyFill="true" applyBorder="false" applyAlignment="true" applyProtection="false">
      <alignment vertical="top" wrapText="1"/>
    </xf>
    <xf numFmtId="164" fontId="0" fillId="5" borderId="0" xfId="0" applyFont="false" applyFill="true" applyBorder="false" applyAlignment="true" applyProtection="false">
      <alignment vertical="top" wrapText="1" horizontal="right"/>
    </xf>
    <xf numFmtId="164" fontId="0" fillId="7" borderId="0" xfId="0" applyFont="false" applyFill="true" applyBorder="false" applyAlignment="true" applyProtection="false">
      <alignment vertical="top" wrapText="1" horizontal="right"/>
    </xf>
    <xf numFmtId="164" fontId="0" fillId="11" borderId="0" xfId="0" applyFont="false" applyFill="true" applyBorder="false" applyAlignment="true" applyProtection="false">
      <alignment vertical="top" wrapText="1" horizontal="right"/>
    </xf>
    <xf numFmtId="164" fontId="0" fillId="9" borderId="0" xfId="0" applyFont="false" applyFill="true" applyBorder="false" applyAlignment="true" applyProtection="false">
      <alignment vertical="top" wrapText="1" horizontal="right"/>
    </xf>
    <xf numFmtId="164" fontId="4" fillId="3" borderId="0" xfId="0" applyFont="true" applyFill="true" applyBorder="false" applyAlignment="true" applyProtection="false">
      <alignment vertical="top" wrapText="1" horizontal="right"/>
    </xf>
    <xf numFmtId="164" fontId="0" fillId="13" borderId="0" xfId="0" applyFont="false" applyFill="true" applyBorder="false" applyAlignment="true" applyProtection="false">
      <alignment vertical="top" wrapText="1" horizontal="right"/>
    </xf>
    <xf numFmtId="164" fontId="0" fillId="36" borderId="1" xfId="0" applyFont="false" applyFill="true" applyBorder="true" applyAlignment="true" applyProtection="false">
      <alignment vertical="top" wrapText="1"/>
    </xf>
    <xf numFmtId="164" fontId="0" fillId="36" borderId="2" xfId="0" applyFont="false" applyFill="true" applyBorder="true" applyAlignment="true" applyProtection="false">
      <alignment vertical="top" wrapText="1"/>
    </xf>
    <xf numFmtId="164" fontId="0" fillId="36" borderId="9" xfId="0" applyFont="false" applyFill="true" applyBorder="true" applyAlignment="true" applyProtection="false">
      <alignment vertical="top" wrapText="1"/>
    </xf>
    <xf numFmtId="164" fontId="0" fillId="36" borderId="4" xfId="0" applyFont="false" applyFill="true" applyBorder="true" applyAlignment="true" applyProtection="false">
      <alignment vertical="top" wrapText="1"/>
    </xf>
    <xf numFmtId="164" fontId="0" fillId="36" borderId="3" xfId="0" applyFont="false" applyFill="true" applyBorder="true" applyAlignment="true" applyProtection="false">
      <alignment vertical="top" wrapText="1"/>
    </xf>
    <xf numFmtId="164" fontId="0" fillId="36" borderId="7" xfId="0" applyFont="false" applyFill="true" applyBorder="true" applyAlignment="true" applyProtection="false">
      <alignment vertical="top" wrapText="1"/>
    </xf>
    <xf numFmtId="164" fontId="0" fillId="36" borderId="5" xfId="0" applyFont="false" applyFill="true" applyBorder="true" applyAlignment="true" applyProtection="false">
      <alignment vertical="top" wrapText="1"/>
    </xf>
    <xf numFmtId="164" fontId="0" fillId="36" borderId="6" xfId="0" applyFont="false" applyFill="true" applyBorder="true" applyAlignment="true" applyProtection="false">
      <alignment vertical="top" wrapText="1"/>
    </xf>
    <xf numFmtId="164" fontId="0" fillId="37" borderId="1" xfId="0" applyFont="false" applyFill="true" applyBorder="true" applyAlignment="true" applyProtection="false">
      <alignment vertical="top" wrapText="1"/>
    </xf>
    <xf numFmtId="164" fontId="0" fillId="37" borderId="2" xfId="0" applyFont="false" applyFill="true" applyBorder="true" applyAlignment="true" applyProtection="false">
      <alignment vertical="top" wrapText="1"/>
    </xf>
    <xf numFmtId="164" fontId="0" fillId="37" borderId="9" xfId="0" applyFont="false" applyFill="true" applyBorder="true" applyAlignment="true" applyProtection="false">
      <alignment vertical="top" wrapText="1"/>
    </xf>
    <xf numFmtId="164" fontId="0" fillId="37" borderId="4" xfId="0" applyFont="false" applyFill="true" applyBorder="true" applyAlignment="true" applyProtection="false">
      <alignment vertical="top" wrapText="1"/>
    </xf>
    <xf numFmtId="164" fontId="0" fillId="37" borderId="3" xfId="0" applyFont="false" applyFill="true" applyBorder="true" applyAlignment="true" applyProtection="false">
      <alignment vertical="top" wrapText="1"/>
    </xf>
    <xf numFmtId="164" fontId="0" fillId="37" borderId="7" xfId="0" applyFont="false" applyFill="true" applyBorder="true" applyAlignment="true" applyProtection="false">
      <alignment vertical="top" wrapText="1"/>
    </xf>
    <xf numFmtId="164" fontId="0" fillId="37" borderId="5" xfId="0" applyFont="false" applyFill="true" applyBorder="true" applyAlignment="true" applyProtection="false">
      <alignment vertical="top" wrapText="1"/>
    </xf>
    <xf numFmtId="164" fontId="0" fillId="37" borderId="6" xfId="0" applyFont="false" applyFill="true" applyBorder="tru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 horizontal="right"/>
    </xf>
    <xf numFmtId="164" fontId="0" fillId="5" borderId="2" xfId="0" applyFont="false" applyFill="true" applyBorder="true" applyAlignment="true" applyProtection="false">
      <alignment vertical="top" wrapText="1" horizontal="right"/>
    </xf>
    <xf numFmtId="164" fontId="0" fillId="5" borderId="9" xfId="0" applyFont="false" applyFill="true" applyBorder="true" applyAlignment="true" applyProtection="false">
      <alignment vertical="top" wrapText="1" horizontal="right"/>
    </xf>
    <xf numFmtId="164" fontId="0" fillId="5" borderId="4" xfId="0" applyFont="false" applyFill="true" applyBorder="true" applyAlignment="true" applyProtection="false">
      <alignment vertical="top" wrapText="1" horizontal="right"/>
    </xf>
    <xf numFmtId="164" fontId="0" fillId="5" borderId="3" xfId="0" applyFont="false" applyFill="true" applyBorder="true" applyAlignment="true" applyProtection="false">
      <alignment vertical="top" wrapText="1" horizontal="right"/>
    </xf>
    <xf numFmtId="164" fontId="0" fillId="5" borderId="7" xfId="0" applyFont="false" applyFill="true" applyBorder="true" applyAlignment="true" applyProtection="false">
      <alignment vertical="top" wrapText="1" horizontal="right"/>
    </xf>
    <xf numFmtId="164" fontId="0" fillId="5" borderId="5" xfId="0" applyFont="false" applyFill="true" applyBorder="true" applyAlignment="true" applyProtection="false">
      <alignment vertical="top" wrapText="1" horizontal="right"/>
    </xf>
    <xf numFmtId="164" fontId="0" fillId="5" borderId="6" xfId="0" applyFont="false" applyFill="true" applyBorder="true" applyAlignment="true" applyProtection="false">
      <alignment vertical="top" wrapText="1" horizontal="right"/>
    </xf>
    <xf numFmtId="164" fontId="0" fillId="7" borderId="1" xfId="0" applyFont="false" applyFill="true" applyBorder="true" applyAlignment="true" applyProtection="false">
      <alignment vertical="top" wrapText="1" horizontal="right"/>
    </xf>
    <xf numFmtId="164" fontId="0" fillId="7" borderId="2" xfId="0" applyFont="false" applyFill="true" applyBorder="true" applyAlignment="true" applyProtection="false">
      <alignment vertical="top" wrapText="1" horizontal="right"/>
    </xf>
    <xf numFmtId="164" fontId="0" fillId="7" borderId="9" xfId="0" applyFont="false" applyFill="true" applyBorder="true" applyAlignment="true" applyProtection="false">
      <alignment vertical="top" wrapText="1" horizontal="right"/>
    </xf>
    <xf numFmtId="164" fontId="0" fillId="7" borderId="4" xfId="0" applyFont="false" applyFill="true" applyBorder="true" applyAlignment="true" applyProtection="false">
      <alignment vertical="top" wrapText="1" horizontal="right"/>
    </xf>
    <xf numFmtId="164" fontId="0" fillId="7" borderId="3" xfId="0" applyFont="false" applyFill="true" applyBorder="true" applyAlignment="true" applyProtection="false">
      <alignment vertical="top" wrapText="1" horizontal="right"/>
    </xf>
    <xf numFmtId="164" fontId="0" fillId="7" borderId="7" xfId="0" applyFont="false" applyFill="true" applyBorder="true" applyAlignment="true" applyProtection="false">
      <alignment vertical="top" wrapText="1" horizontal="right"/>
    </xf>
    <xf numFmtId="164" fontId="0" fillId="7" borderId="5" xfId="0" applyFont="false" applyFill="true" applyBorder="true" applyAlignment="true" applyProtection="false">
      <alignment vertical="top" wrapText="1" horizontal="right"/>
    </xf>
    <xf numFmtId="164" fontId="0" fillId="7" borderId="6" xfId="0" applyFont="false" applyFill="true" applyBorder="true" applyAlignment="true" applyProtection="false">
      <alignment vertical="top" wrapText="1" horizontal="right"/>
    </xf>
    <xf numFmtId="164" fontId="0" fillId="11" borderId="1" xfId="0" applyFont="false" applyFill="true" applyBorder="true" applyAlignment="true" applyProtection="false">
      <alignment vertical="top" wrapText="1" horizontal="right"/>
    </xf>
    <xf numFmtId="164" fontId="0" fillId="11" borderId="2" xfId="0" applyFont="false" applyFill="true" applyBorder="true" applyAlignment="true" applyProtection="false">
      <alignment vertical="top" wrapText="1" horizontal="right"/>
    </xf>
    <xf numFmtId="164" fontId="0" fillId="11" borderId="9" xfId="0" applyFont="false" applyFill="true" applyBorder="true" applyAlignment="true" applyProtection="false">
      <alignment vertical="top" wrapText="1" horizontal="right"/>
    </xf>
    <xf numFmtId="164" fontId="0" fillId="11" borderId="4" xfId="0" applyFont="false" applyFill="true" applyBorder="true" applyAlignment="true" applyProtection="false">
      <alignment vertical="top" wrapText="1" horizontal="right"/>
    </xf>
    <xf numFmtId="164" fontId="0" fillId="11" borderId="3" xfId="0" applyFont="false" applyFill="true" applyBorder="true" applyAlignment="true" applyProtection="false">
      <alignment vertical="top" wrapText="1" horizontal="right"/>
    </xf>
    <xf numFmtId="164" fontId="0" fillId="11" borderId="7" xfId="0" applyFont="false" applyFill="true" applyBorder="true" applyAlignment="true" applyProtection="false">
      <alignment vertical="top" wrapText="1" horizontal="right"/>
    </xf>
    <xf numFmtId="164" fontId="0" fillId="11" borderId="5" xfId="0" applyFont="false" applyFill="true" applyBorder="true" applyAlignment="true" applyProtection="false">
      <alignment vertical="top" wrapText="1" horizontal="right"/>
    </xf>
    <xf numFmtId="164" fontId="0" fillId="11" borderId="6" xfId="0" applyFont="false" applyFill="true" applyBorder="true" applyAlignment="true" applyProtection="false">
      <alignment vertical="top" wrapText="1" horizontal="right"/>
    </xf>
    <xf numFmtId="164" fontId="0" fillId="9" borderId="1" xfId="0" applyFont="false" applyFill="true" applyBorder="true" applyAlignment="true" applyProtection="false">
      <alignment vertical="top" wrapText="1" horizontal="right"/>
    </xf>
    <xf numFmtId="164" fontId="0" fillId="9" borderId="2" xfId="0" applyFont="false" applyFill="true" applyBorder="true" applyAlignment="true" applyProtection="false">
      <alignment vertical="top" wrapText="1" horizontal="right"/>
    </xf>
    <xf numFmtId="164" fontId="0" fillId="9" borderId="9" xfId="0" applyFont="false" applyFill="true" applyBorder="true" applyAlignment="true" applyProtection="false">
      <alignment vertical="top" wrapText="1" horizontal="right"/>
    </xf>
    <xf numFmtId="164" fontId="0" fillId="9" borderId="4" xfId="0" applyFont="false" applyFill="true" applyBorder="true" applyAlignment="true" applyProtection="false">
      <alignment vertical="top" wrapText="1" horizontal="right"/>
    </xf>
    <xf numFmtId="164" fontId="0" fillId="9" borderId="3" xfId="0" applyFont="false" applyFill="true" applyBorder="true" applyAlignment="true" applyProtection="false">
      <alignment vertical="top" wrapText="1" horizontal="right"/>
    </xf>
    <xf numFmtId="164" fontId="0" fillId="9" borderId="7" xfId="0" applyFont="false" applyFill="true" applyBorder="true" applyAlignment="true" applyProtection="false">
      <alignment vertical="top" wrapText="1" horizontal="right"/>
    </xf>
    <xf numFmtId="164" fontId="0" fillId="9" borderId="5" xfId="0" applyFont="false" applyFill="true" applyBorder="true" applyAlignment="true" applyProtection="false">
      <alignment vertical="top" wrapText="1" horizontal="right"/>
    </xf>
    <xf numFmtId="164" fontId="0" fillId="9" borderId="6" xfId="0" applyFont="false" applyFill="true" applyBorder="true" applyAlignment="true" applyProtection="false">
      <alignment vertical="top" wrapText="1" horizontal="right"/>
    </xf>
    <xf numFmtId="164" fontId="4" fillId="3" borderId="1" xfId="0" applyFont="true" applyFill="true" applyBorder="true" applyAlignment="true" applyProtection="false">
      <alignment vertical="top" wrapText="1" horizontal="right"/>
    </xf>
    <xf numFmtId="164" fontId="4" fillId="3" borderId="2" xfId="0" applyFont="true" applyFill="true" applyBorder="true" applyAlignment="true" applyProtection="false">
      <alignment vertical="top" wrapText="1" horizontal="right"/>
    </xf>
    <xf numFmtId="164" fontId="4" fillId="3" borderId="9" xfId="0" applyFont="true" applyFill="true" applyBorder="true" applyAlignment="true" applyProtection="false">
      <alignment vertical="top" wrapText="1" horizontal="right"/>
    </xf>
    <xf numFmtId="164" fontId="4" fillId="3" borderId="4" xfId="0" applyFont="true" applyFill="true" applyBorder="true" applyAlignment="true" applyProtection="false">
      <alignment vertical="top" wrapText="1" horizontal="right"/>
    </xf>
    <xf numFmtId="164" fontId="4" fillId="3" borderId="3" xfId="0" applyFont="true" applyFill="true" applyBorder="true" applyAlignment="true" applyProtection="false">
      <alignment vertical="top" wrapText="1" horizontal="right"/>
    </xf>
    <xf numFmtId="164" fontId="4" fillId="3" borderId="7" xfId="0" applyFont="true" applyFill="true" applyBorder="true" applyAlignment="true" applyProtection="false">
      <alignment vertical="top" wrapText="1" horizontal="right"/>
    </xf>
    <xf numFmtId="164" fontId="4" fillId="3" borderId="5" xfId="0" applyFont="true" applyFill="true" applyBorder="true" applyAlignment="true" applyProtection="false">
      <alignment vertical="top" wrapText="1" horizontal="right"/>
    </xf>
    <xf numFmtId="164" fontId="4" fillId="3" borderId="6" xfId="0" applyFont="true" applyFill="true" applyBorder="true" applyAlignment="true" applyProtection="false">
      <alignment vertical="top" wrapText="1" horizontal="right"/>
    </xf>
    <xf numFmtId="164" fontId="0" fillId="13" borderId="1" xfId="0" applyFont="false" applyFill="true" applyBorder="true" applyAlignment="true" applyProtection="false">
      <alignment vertical="top" wrapText="1" horizontal="right"/>
    </xf>
    <xf numFmtId="164" fontId="0" fillId="13" borderId="2" xfId="0" applyFont="false" applyFill="true" applyBorder="true" applyAlignment="true" applyProtection="false">
      <alignment vertical="top" wrapText="1" horizontal="right"/>
    </xf>
    <xf numFmtId="164" fontId="0" fillId="13" borderId="9" xfId="0" applyFont="false" applyFill="true" applyBorder="true" applyAlignment="true" applyProtection="false">
      <alignment vertical="top" wrapText="1" horizontal="right"/>
    </xf>
    <xf numFmtId="164" fontId="0" fillId="13" borderId="4" xfId="0" applyFont="false" applyFill="true" applyBorder="true" applyAlignment="true" applyProtection="false">
      <alignment vertical="top" wrapText="1" horizontal="right"/>
    </xf>
    <xf numFmtId="164" fontId="0" fillId="13" borderId="3" xfId="0" applyFont="false" applyFill="true" applyBorder="true" applyAlignment="true" applyProtection="false">
      <alignment vertical="top" wrapText="1" horizontal="right"/>
    </xf>
    <xf numFmtId="164" fontId="0" fillId="13" borderId="7" xfId="0" applyFont="false" applyFill="true" applyBorder="true" applyAlignment="true" applyProtection="false">
      <alignment vertical="top" wrapText="1" horizontal="right"/>
    </xf>
    <xf numFmtId="164" fontId="0" fillId="13" borderId="5" xfId="0" applyFont="false" applyFill="true" applyBorder="true" applyAlignment="true" applyProtection="false">
      <alignment vertical="top" wrapText="1" horizontal="right"/>
    </xf>
    <xf numFmtId="164" fontId="0" fillId="13" borderId="6" xfId="0" applyFont="false" applyFill="true" applyBorder="true" applyAlignment="true" applyProtection="false">
      <alignment vertical="top" wrapText="1" horizontal="right"/>
    </xf>
    <xf numFmtId="164" fontId="0" fillId="38" borderId="0" xfId="0" applyFont="false" applyFill="true" applyBorder="false" applyAlignment="true" applyProtection="false">
      <alignment vertical="top" wrapText="1"/>
    </xf>
    <xf numFmtId="164" fontId="0" fillId="38" borderId="1" xfId="0" applyFont="false" applyFill="true" applyBorder="true" applyAlignment="true" applyProtection="false">
      <alignment vertical="top" wrapText="1"/>
    </xf>
    <xf numFmtId="164" fontId="0" fillId="38" borderId="2" xfId="0" applyFont="false" applyFill="true" applyBorder="true" applyAlignment="true" applyProtection="false">
      <alignment vertical="top" wrapText="1"/>
    </xf>
    <xf numFmtId="164" fontId="0" fillId="38" borderId="9" xfId="0" applyFont="false" applyFill="true" applyBorder="true" applyAlignment="true" applyProtection="false">
      <alignment vertical="top" wrapText="1"/>
    </xf>
    <xf numFmtId="164" fontId="0" fillId="38" borderId="4" xfId="0" applyFont="false" applyFill="true" applyBorder="true" applyAlignment="true" applyProtection="false">
      <alignment vertical="top" wrapText="1"/>
    </xf>
    <xf numFmtId="164" fontId="0" fillId="38" borderId="3" xfId="0" applyFont="false" applyFill="true" applyBorder="true" applyAlignment="true" applyProtection="false">
      <alignment vertical="top" wrapText="1"/>
    </xf>
    <xf numFmtId="164" fontId="0" fillId="38" borderId="7" xfId="0" applyFont="false" applyFill="true" applyBorder="true" applyAlignment="true" applyProtection="false">
      <alignment vertical="top" wrapText="1"/>
    </xf>
    <xf numFmtId="164" fontId="0" fillId="38" borderId="5" xfId="0" applyFont="false" applyFill="true" applyBorder="true" applyAlignment="true" applyProtection="false">
      <alignment vertical="top" wrapText="1"/>
    </xf>
    <xf numFmtId="164" fontId="0" fillId="38" borderId="6" xfId="0" applyFont="false" applyFill="true" applyBorder="true" applyAlignment="true" applyProtection="false">
      <alignment vertical="top" wrapText="1"/>
    </xf>
    <xf numFmtId="164" fontId="0" fillId="39" borderId="0" xfId="0" applyFont="false" applyFill="true" applyBorder="false" applyAlignment="true" applyProtection="false">
      <alignment vertical="top" wrapText="1"/>
    </xf>
    <xf numFmtId="164" fontId="0" fillId="39" borderId="1" xfId="0" applyFont="false" applyFill="true" applyBorder="true" applyAlignment="true" applyProtection="false">
      <alignment vertical="top" wrapText="1"/>
    </xf>
    <xf numFmtId="164" fontId="0" fillId="39" borderId="2" xfId="0" applyFont="false" applyFill="true" applyBorder="true" applyAlignment="true" applyProtection="false">
      <alignment vertical="top" wrapText="1"/>
    </xf>
    <xf numFmtId="164" fontId="0" fillId="39" borderId="9" xfId="0" applyFont="false" applyFill="true" applyBorder="true" applyAlignment="true" applyProtection="false">
      <alignment vertical="top" wrapText="1"/>
    </xf>
    <xf numFmtId="164" fontId="0" fillId="39" borderId="4" xfId="0" applyFont="false" applyFill="true" applyBorder="true" applyAlignment="true" applyProtection="false">
      <alignment vertical="top" wrapText="1"/>
    </xf>
    <xf numFmtId="164" fontId="0" fillId="39" borderId="3" xfId="0" applyFont="false" applyFill="true" applyBorder="true" applyAlignment="true" applyProtection="false">
      <alignment vertical="top" wrapText="1"/>
    </xf>
    <xf numFmtId="164" fontId="0" fillId="39" borderId="7" xfId="0" applyFont="false" applyFill="true" applyBorder="true" applyAlignment="true" applyProtection="false">
      <alignment vertical="top" wrapText="1"/>
    </xf>
    <xf numFmtId="164" fontId="0" fillId="39" borderId="5" xfId="0" applyFont="false" applyFill="true" applyBorder="true" applyAlignment="true" applyProtection="false">
      <alignment vertical="top" wrapText="1"/>
    </xf>
    <xf numFmtId="164" fontId="0" fillId="39" borderId="6" xfId="0" applyFont="false" applyFill="true" applyBorder="true" applyAlignment="true" applyProtection="false">
      <alignment vertical="top" wrapText="1"/>
    </xf>
    <xf numFmtId="164" fontId="0" fillId="40" borderId="0" xfId="0" applyFont="false" applyFill="true" applyBorder="false" applyAlignment="true" applyProtection="false">
      <alignment vertical="top" wrapText="1"/>
    </xf>
    <xf numFmtId="164" fontId="0" fillId="40" borderId="1" xfId="0" applyFont="false" applyFill="true" applyBorder="true" applyAlignment="true" applyProtection="false">
      <alignment vertical="top" wrapText="1"/>
    </xf>
    <xf numFmtId="164" fontId="0" fillId="40" borderId="2" xfId="0" applyFont="false" applyFill="true" applyBorder="true" applyAlignment="true" applyProtection="false">
      <alignment vertical="top" wrapText="1"/>
    </xf>
    <xf numFmtId="164" fontId="0" fillId="40" borderId="9" xfId="0" applyFont="false" applyFill="true" applyBorder="true" applyAlignment="true" applyProtection="false">
      <alignment vertical="top" wrapText="1"/>
    </xf>
    <xf numFmtId="164" fontId="0" fillId="40" borderId="4" xfId="0" applyFont="false" applyFill="true" applyBorder="true" applyAlignment="true" applyProtection="false">
      <alignment vertical="top" wrapText="1"/>
    </xf>
    <xf numFmtId="164" fontId="0" fillId="40" borderId="3" xfId="0" applyFont="false" applyFill="true" applyBorder="true" applyAlignment="true" applyProtection="false">
      <alignment vertical="top" wrapText="1"/>
    </xf>
    <xf numFmtId="164" fontId="0" fillId="40" borderId="7" xfId="0" applyFont="false" applyFill="true" applyBorder="true" applyAlignment="true" applyProtection="false">
      <alignment vertical="top" wrapText="1"/>
    </xf>
    <xf numFmtId="164" fontId="0" fillId="40" borderId="5" xfId="0" applyFont="false" applyFill="true" applyBorder="true" applyAlignment="true" applyProtection="false">
      <alignment vertical="top" wrapText="1"/>
    </xf>
    <xf numFmtId="164" fontId="0" fillId="40" borderId="6" xfId="0" applyFont="false" applyFill="true" applyBorder="true" applyAlignment="true" applyProtection="false">
      <alignment vertical="top" wrapText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CCFFFF"/>
      <rgbColor rgb="FF660066"/>
      <rgbColor rgb="FFFF7C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4A7D6"/>
      <rgbColor rgb="FFFFCC99"/>
      <rgbColor rgb="FF4472C4"/>
      <rgbColor rgb="FF33CCCC"/>
      <rgbColor rgb="FF92D050"/>
      <rgbColor rgb="FFFFC000"/>
      <rgbColor rgb="FFFF9900"/>
      <rgbColor rgb="FFFF6666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Pr filterMode="false">
    <pageSetUpPr fitToPage="false"/>
  </sheetPr>
  <dimension ref="A1:W1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1.7421875" defaultRowHeight="12.8" zeroHeight="false" outlineLevelRow="0" outlineLevelCol="0"/>
  <cols>
    <col min="1" max="1" width="14" hidden="false" customWidth="true"/>
    <col min="2" max="2" width="16" hidden="false" customWidth="true"/>
    <col min="3" max="3" width="12" hidden="false" customWidth="true"/>
    <col min="4" max="4" width="12" hidden="false" customWidth="true"/>
    <col min="5" max="5" width="14" hidden="false" customWidth="true"/>
    <col min="6" max="6" width="12" hidden="false" customWidth="true"/>
    <col min="7" max="7" width="14" hidden="false" customWidth="true"/>
    <col min="8" max="8" width="9" hidden="false" customWidth="true"/>
    <col min="9" max="9" width="12" hidden="false" customWidth="true"/>
    <col min="10" max="10" width="14" hidden="false" customWidth="true"/>
    <col min="11" max="11" width="12" hidden="false" customWidth="true"/>
    <col min="12" max="12" width="4" hidden="false" customWidth="true"/>
    <col min="13" max="13" width="4" hidden="false" customWidth="true"/>
    <col min="14" max="14" width="10" hidden="false" customWidth="true"/>
    <col min="15" max="15" width="12" hidden="false" customWidth="true"/>
    <col min="16" max="16" width="12" hidden="false" customWidth="true"/>
    <col min="17" max="17" width="8" hidden="false" customWidth="true"/>
    <col min="18" max="18" width="16" hidden="false" customWidth="true"/>
    <col min="19" max="19" width="10" hidden="false" customWidth="true"/>
    <col min="20" max="20" width="12" hidden="false" customWidth="true"/>
    <col min="21" max="21" width="0.1" hidden="true" customWidth="true"/>
    <col min="22" max="22" width="0.1" hidden="true" customWidth="true"/>
    <col min="23" max="23" width="0.1" hidden="true" customWidth="true"/>
  </cols>
  <sheetData>
    <row r="1" customFormat="false" ht="20" hidden="false" customHeight="true" outlineLevel="0" collapsed="false">
      <c r="A1" s="219" t="s">
        <v>0</v>
      </c>
      <c r="B1" s="221" t="s">
        <v>1</v>
      </c>
      <c r="C1" s="146" t="s">
        <v>1</v>
      </c>
      <c r="D1" s="147" t="s">
        <v>2</v>
      </c>
      <c r="E1" s="476" t="str">
        <f>COUNTIF(U18:U163,"Done")&amp;" ("&amp;IF(COUNTA(A18:A163)=0,"0%",TEXT(COUNTIF(U18:U163,"Done")/COUNTA(A18:A163),"0%"))&amp;")"</f>
        <v>144 (99%)</v>
      </c>
      <c r="F1" s="146" t="s">
        <v>1</v>
      </c>
      <c r="G1" s="146" t="s">
        <v>1</v>
      </c>
      <c r="H1" s="146" t="s">
        <v>1</v>
      </c>
      <c r="I1" s="146" t="s">
        <v>1</v>
      </c>
      <c r="J1" s="146" t="s">
        <v>1</v>
      </c>
      <c r="K1" s="146" t="s">
        <v>1</v>
      </c>
      <c r="L1" s="146" t="s">
        <v>1</v>
      </c>
      <c r="M1" s="146" t="s">
        <v>1</v>
      </c>
      <c r="N1" s="146" t="s">
        <v>1</v>
      </c>
      <c r="O1" s="146" t="s">
        <v>1</v>
      </c>
      <c r="P1" s="146" t="s">
        <v>1</v>
      </c>
      <c r="Q1" s="146" t="s">
        <v>1</v>
      </c>
      <c r="R1" s="146" t="s">
        <v>1</v>
      </c>
      <c r="S1" s="146" t="s">
        <v>1</v>
      </c>
      <c r="T1" s="146" t="s">
        <v>1</v>
      </c>
    </row>
    <row r="2" customFormat="false" ht="15" hidden="false" customHeight="false" outlineLevel="0" collapsed="false">
      <c r="A2" s="182" t="s">
        <v>4</v>
      </c>
      <c r="B2" s="183" t="s">
        <v>5</v>
      </c>
      <c r="C2" s="146" t="s">
        <v>1</v>
      </c>
      <c r="D2" s="158" t="s">
        <v>6</v>
      </c>
      <c r="E2" s="486">
        <f>COUNTIF(U18:U163,"Pending")</f>
        <v>1</v>
      </c>
      <c r="F2" s="146" t="s">
        <v>1</v>
      </c>
      <c r="G2" s="146" t="s">
        <v>1</v>
      </c>
      <c r="H2" s="146" t="s">
        <v>1</v>
      </c>
      <c r="I2" s="146" t="s">
        <v>1</v>
      </c>
      <c r="J2" s="146" t="s">
        <v>1</v>
      </c>
      <c r="K2" s="146" t="s">
        <v>1</v>
      </c>
      <c r="L2" s="146" t="s">
        <v>1</v>
      </c>
      <c r="M2" s="146" t="s">
        <v>1</v>
      </c>
      <c r="N2" s="146" t="s">
        <v>1</v>
      </c>
      <c r="O2" s="146" t="s">
        <v>1</v>
      </c>
      <c r="P2" s="146" t="s">
        <v>1</v>
      </c>
      <c r="Q2" s="146" t="s">
        <v>1</v>
      </c>
      <c r="R2" s="146" t="s">
        <v>1</v>
      </c>
      <c r="S2" s="146" t="s">
        <v>1</v>
      </c>
      <c r="T2" s="146" t="s">
        <v>1</v>
      </c>
    </row>
    <row r="3" customFormat="false" ht="15" hidden="false" customHeight="false" outlineLevel="0" collapsed="false">
      <c r="A3" s="190" t="s">
        <v>8</v>
      </c>
      <c r="B3" s="191" t="s">
        <v>9</v>
      </c>
      <c r="C3" s="146" t="s">
        <v>1</v>
      </c>
      <c r="D3" s="174" t="s">
        <v>10</v>
      </c>
      <c r="E3" s="502">
        <f>COUNTIF(U18:U163,"Not started")</f>
        <v>1</v>
      </c>
      <c r="F3" s="146" t="s">
        <v>1</v>
      </c>
      <c r="G3" s="146" t="s">
        <v>1</v>
      </c>
      <c r="H3" s="146" t="s">
        <v>1</v>
      </c>
      <c r="I3" s="146" t="s">
        <v>1</v>
      </c>
      <c r="J3" s="146" t="s">
        <v>1</v>
      </c>
      <c r="K3" s="146" t="s">
        <v>1</v>
      </c>
      <c r="L3" s="146" t="s">
        <v>1</v>
      </c>
      <c r="M3" s="146" t="s">
        <v>1</v>
      </c>
      <c r="N3" s="146" t="s">
        <v>1</v>
      </c>
      <c r="O3" s="146" t="s">
        <v>1</v>
      </c>
      <c r="P3" s="146" t="s">
        <v>1</v>
      </c>
      <c r="Q3" s="146" t="s">
        <v>1</v>
      </c>
      <c r="R3" s="146" t="s">
        <v>1</v>
      </c>
      <c r="S3" s="146" t="s">
        <v>1</v>
      </c>
      <c r="T3" s="146" t="s">
        <v>1</v>
      </c>
    </row>
    <row r="4" customFormat="false" ht="15" hidden="false" customHeight="false" outlineLevel="0" collapsed="false">
      <c r="A4" s="198" t="s">
        <v>11</v>
      </c>
      <c r="B4" s="199" t="s">
        <v>12</v>
      </c>
      <c r="C4" s="146" t="s">
        <v>1</v>
      </c>
      <c r="D4" s="166" t="s">
        <v>13</v>
      </c>
      <c r="E4" s="494">
        <f>COUNTIF(U18:U163,"Failed")</f>
        <v>0</v>
      </c>
      <c r="F4" s="146" t="s">
        <v>1</v>
      </c>
      <c r="G4" s="146" t="s">
        <v>1</v>
      </c>
      <c r="H4" s="146" t="s">
        <v>1</v>
      </c>
      <c r="I4" s="146" t="s">
        <v>1</v>
      </c>
      <c r="J4" s="146" t="s">
        <v>1</v>
      </c>
      <c r="K4" s="146" t="s">
        <v>1</v>
      </c>
      <c r="L4" s="146" t="s">
        <v>1</v>
      </c>
      <c r="M4" s="146" t="s">
        <v>1</v>
      </c>
      <c r="N4" s="146" t="s">
        <v>1</v>
      </c>
      <c r="O4" s="146" t="s">
        <v>1</v>
      </c>
      <c r="P4" s="146" t="s">
        <v>1</v>
      </c>
      <c r="Q4" s="146" t="s">
        <v>1</v>
      </c>
      <c r="R4" s="146" t="s">
        <v>1</v>
      </c>
      <c r="S4" s="146" t="s">
        <v>1</v>
      </c>
      <c r="T4" s="146" t="s">
        <v>1</v>
      </c>
    </row>
    <row r="5" customFormat="false" ht="15" hidden="false" customHeight="false" outlineLevel="0" collapsed="false">
      <c r="A5" s="208" t="s">
        <v>15</v>
      </c>
      <c r="B5" s="210" t="s">
        <v>16</v>
      </c>
      <c r="C5" s="146" t="s">
        <v>1</v>
      </c>
      <c r="D5" s="232" t="s">
        <v>17</v>
      </c>
      <c r="E5" s="513">
        <f>COUNTA(A18:A163)</f>
        <v>146</v>
      </c>
      <c r="F5" s="146" t="s">
        <v>1</v>
      </c>
      <c r="G5" s="146" t="s">
        <v>1</v>
      </c>
      <c r="H5" s="146" t="s">
        <v>1</v>
      </c>
      <c r="I5" s="146" t="s">
        <v>1</v>
      </c>
      <c r="J5" s="146" t="s">
        <v>1</v>
      </c>
      <c r="K5" s="146" t="s">
        <v>1</v>
      </c>
      <c r="L5" s="146" t="s">
        <v>1</v>
      </c>
      <c r="M5" s="146" t="s">
        <v>1</v>
      </c>
      <c r="N5" s="146" t="s">
        <v>1</v>
      </c>
      <c r="O5" s="146" t="s">
        <v>1</v>
      </c>
      <c r="P5" s="146" t="s">
        <v>1</v>
      </c>
      <c r="Q5" s="146" t="s">
        <v>1</v>
      </c>
      <c r="R5" s="146" t="s">
        <v>1</v>
      </c>
      <c r="S5" s="146" t="s">
        <v>1</v>
      </c>
      <c r="T5" s="146" t="s">
        <v>1</v>
      </c>
    </row>
    <row r="6" customFormat="false" ht="20" hidden="false" customHeight="true" outlineLevel="0" collapsed="false">
      <c r="A6" s="145" t="s">
        <v>19</v>
      </c>
      <c r="B6" s="145" t="s">
        <v>1</v>
      </c>
      <c r="C6" s="145" t="s">
        <v>1</v>
      </c>
      <c r="D6" s="145" t="s">
        <v>1</v>
      </c>
      <c r="E6" s="145" t="s">
        <v>1</v>
      </c>
      <c r="F6" s="145" t="s">
        <v>1</v>
      </c>
      <c r="G6" s="145" t="s">
        <v>1</v>
      </c>
      <c r="H6" s="145" t="s">
        <v>1</v>
      </c>
      <c r="I6" s="145" t="s">
        <v>1</v>
      </c>
      <c r="J6" s="145" t="s">
        <v>1</v>
      </c>
      <c r="K6" s="145" t="s">
        <v>1</v>
      </c>
      <c r="L6" s="145" t="s">
        <v>1</v>
      </c>
      <c r="M6" s="145" t="s">
        <v>1</v>
      </c>
      <c r="N6" s="145" t="s">
        <v>1</v>
      </c>
      <c r="O6" s="145" t="s">
        <v>1</v>
      </c>
      <c r="P6" s="145" t="s">
        <v>1</v>
      </c>
      <c r="Q6" s="145" t="s">
        <v>1</v>
      </c>
      <c r="R6" s="145" t="s">
        <v>1</v>
      </c>
      <c r="S6" s="145" t="s">
        <v>1</v>
      </c>
      <c r="T6" s="145" t="s">
        <v>1</v>
      </c>
    </row>
    <row r="7" customFormat="false" ht="15" hidden="false" customHeight="false" outlineLevel="0" collapsed="false">
      <c r="A7" s="211" t="s">
        <v>20</v>
      </c>
      <c r="B7" s="212" t="s">
        <v>1</v>
      </c>
      <c r="C7" s="212" t="s">
        <v>21</v>
      </c>
      <c r="D7" s="212" t="s">
        <v>22</v>
      </c>
      <c r="E7" s="213" t="s">
        <v>1</v>
      </c>
      <c r="F7" s="211" t="s">
        <v>20</v>
      </c>
      <c r="G7" s="212" t="s">
        <v>1</v>
      </c>
      <c r="H7" s="212" t="s">
        <v>21</v>
      </c>
      <c r="I7" s="212" t="s">
        <v>22</v>
      </c>
      <c r="J7" s="213" t="s">
        <v>1</v>
      </c>
      <c r="K7" s="136" t="s">
        <v>1</v>
      </c>
      <c r="L7" s="136" t="s">
        <v>1</v>
      </c>
      <c r="M7" s="136" t="s">
        <v>1</v>
      </c>
      <c r="N7" s="136" t="s">
        <v>1</v>
      </c>
      <c r="O7" s="136" t="s">
        <v>1</v>
      </c>
      <c r="P7" s="136" t="s">
        <v>1</v>
      </c>
      <c r="Q7" s="136" t="s">
        <v>1</v>
      </c>
      <c r="R7" s="136" t="s">
        <v>1</v>
      </c>
      <c r="S7" s="136" t="s">
        <v>1</v>
      </c>
      <c r="T7" s="136" t="s">
        <v>1</v>
      </c>
    </row>
    <row r="8" customFormat="false" ht="15" hidden="false" customHeight="false" outlineLevel="0" collapsed="false">
      <c r="A8" s="293" t="s">
        <v>23</v>
      </c>
      <c r="B8" s="254" t="s">
        <v>1</v>
      </c>
      <c r="C8" s="254" t="s">
        <v>24</v>
      </c>
      <c r="D8" s="135" t="str">
        <f>COUNTIFS($C$18:$C$163,A8,$U$18:$U$163,"Done")&amp;" passed / "&amp;COUNTIF($C$18:$C$163,A8)&amp;" total ("&amp;IF(COUNTIF($C$18:$C$163,A8)=0,"0%",TEXT(COUNTIFS($C$18:$C$163,A8,$U$18:$U$163,"Done")/COUNTIF($C$18:$C$163,A8),"0%"))&amp;") · "&amp;SUMIFS($V$18:$V$163,$C$18:$C$163,A8,$U$18:$U$163,"&lt;&gt;Done")&amp;"/"&amp;SUMIFS($W$18:$W$163,$C$18:$C$163,A8,$U$18:$U$163,"&lt;&gt;Done")</f>
        <v>8 passed / 8 total (100%) · 0/0</v>
      </c>
      <c r="E8" s="151" t="s">
        <v>1</v>
      </c>
      <c r="F8" s="535" t="s">
        <v>26</v>
      </c>
      <c r="G8" s="531" t="s">
        <v>1</v>
      </c>
      <c r="H8" s="531" t="s">
        <v>27</v>
      </c>
      <c r="I8" s="135" t="str">
        <f>COUNTIFS($C$18:$C$163,F8,$U$18:$U$163,"Done")&amp;" passed / "&amp;COUNTIF($C$18:$C$163,F8)&amp;" total ("&amp;IF(COUNTIF($C$18:$C$163,F8)=0,"0%",TEXT(COUNTIFS($C$18:$C$163,F8,$U$18:$U$163,"Done")/COUNTIF($C$18:$C$163,F8),"0%"))&amp;") · "&amp;SUMIFS($V$18:$V$163,$C$18:$C$163,F8,$U$18:$U$163,"&lt;&gt;Done")&amp;"/"&amp;SUMIFS($W$18:$W$163,$C$18:$C$163,F8,$U$18:$U$163,"&lt;&gt;Done")</f>
        <v>11 passed / 11 total (100%) · 0/0</v>
      </c>
      <c r="J8" s="151" t="s">
        <v>1</v>
      </c>
      <c r="K8" s="136" t="s">
        <v>1</v>
      </c>
      <c r="L8" s="136" t="s">
        <v>1</v>
      </c>
      <c r="M8" s="136" t="s">
        <v>1</v>
      </c>
      <c r="N8" s="136" t="s">
        <v>1</v>
      </c>
      <c r="O8" s="136" t="s">
        <v>1</v>
      </c>
      <c r="P8" s="136" t="s">
        <v>1</v>
      </c>
      <c r="Q8" s="136" t="s">
        <v>1</v>
      </c>
      <c r="R8" s="136" t="s">
        <v>1</v>
      </c>
      <c r="S8" s="136" t="s">
        <v>1</v>
      </c>
      <c r="T8" s="136" t="s">
        <v>1</v>
      </c>
    </row>
    <row r="9" customFormat="false" ht="15" hidden="false" customHeight="false" outlineLevel="0" collapsed="false">
      <c r="A9" s="277" t="s">
        <v>29</v>
      </c>
      <c r="B9" s="252" t="s">
        <v>1</v>
      </c>
      <c r="C9" s="252" t="s">
        <v>30</v>
      </c>
      <c r="D9" s="135" t="str">
        <f>COUNTIFS($C$18:$C$163,A9,$U$18:$U$163,"Done")&amp;" passed / "&amp;COUNTIF($C$18:$C$163,A9)&amp;" total ("&amp;IF(COUNTIF($C$18:$C$163,A9)=0,"0%",TEXT(COUNTIFS($C$18:$C$163,A9,$U$18:$U$163,"Done")/COUNTIF($C$18:$C$163,A9),"0%"))&amp;") · "&amp;SUMIFS($V$18:$V$163,$C$18:$C$163,A9,$U$18:$U$163,"&lt;&gt;Done")&amp;"/"&amp;SUMIFS($W$18:$W$163,$C$18:$C$163,A9,$U$18:$U$163,"&lt;&gt;Done")</f>
        <v>2 passed / 2 total (100%) · 0/0</v>
      </c>
      <c r="E9" s="151" t="s">
        <v>1</v>
      </c>
      <c r="F9" s="349" t="s">
        <v>32</v>
      </c>
      <c r="G9" s="261" t="s">
        <v>1</v>
      </c>
      <c r="H9" s="261" t="s">
        <v>33</v>
      </c>
      <c r="I9" s="135" t="str">
        <f>COUNTIFS($C$18:$C$163,F9,$U$18:$U$163,"Done")&amp;" passed / "&amp;COUNTIF($C$18:$C$163,F9)&amp;" total ("&amp;IF(COUNTIF($C$18:$C$163,F9)=0,"0%",TEXT(COUNTIFS($C$18:$C$163,F9,$U$18:$U$163,"Done")/COUNTIF($C$18:$C$163,F9),"0%"))&amp;") · "&amp;SUMIFS($V$18:$V$163,$C$18:$C$163,F9,$U$18:$U$163,"&lt;&gt;Done")&amp;"/"&amp;SUMIFS($W$18:$W$163,$C$18:$C$163,F9,$U$18:$U$163,"&lt;&gt;Done")</f>
        <v>4 passed / 4 total (100%) · 0/0</v>
      </c>
      <c r="J9" s="151" t="s">
        <v>1</v>
      </c>
      <c r="K9" s="136" t="s">
        <v>1</v>
      </c>
      <c r="L9" s="136" t="s">
        <v>1</v>
      </c>
      <c r="M9" s="136" t="s">
        <v>1</v>
      </c>
      <c r="N9" s="136" t="s">
        <v>1</v>
      </c>
      <c r="O9" s="136" t="s">
        <v>1</v>
      </c>
      <c r="P9" s="136" t="s">
        <v>1</v>
      </c>
      <c r="Q9" s="136" t="s">
        <v>1</v>
      </c>
      <c r="R9" s="136" t="s">
        <v>1</v>
      </c>
      <c r="S9" s="136" t="s">
        <v>1</v>
      </c>
      <c r="T9" s="136" t="s">
        <v>1</v>
      </c>
    </row>
    <row r="10" customFormat="false" ht="15" hidden="false" customHeight="false" outlineLevel="0" collapsed="false">
      <c r="A10" s="285" t="s">
        <v>35</v>
      </c>
      <c r="B10" s="253" t="s">
        <v>1</v>
      </c>
      <c r="C10" s="253" t="s">
        <v>36</v>
      </c>
      <c r="D10" s="450" t="str">
        <f>COUNTIFS($C$18:$C$163,A10,$U$18:$U$163,"Done")&amp;" passed / "&amp;COUNTIF($C$18:$C$163,A10)&amp;" total ("&amp;IF(COUNTIF($C$18:$C$163,A10)=0,"0%",TEXT(COUNTIFS($C$18:$C$163,A10,$U$18:$U$163,"Done")/COUNTIF($C$18:$C$163,A10),"0%"))&amp;") · "&amp;SUMIFS($V$18:$V$163,$C$18:$C$163,A10,$U$18:$U$163,"&lt;&gt;Done")&amp;"/"&amp;SUMIFS($W$18:$W$163,$C$18:$C$163,A10,$U$18:$U$163,"&lt;&gt;Done")</f>
        <v>10 passed / 11 total (91%) · 180/425</v>
      </c>
      <c r="E10" s="462" t="s">
        <v>1</v>
      </c>
      <c r="F10" s="301" t="s">
        <v>38</v>
      </c>
      <c r="G10" s="255" t="s">
        <v>1</v>
      </c>
      <c r="H10" s="255" t="s">
        <v>39</v>
      </c>
      <c r="I10" s="135" t="str">
        <f>COUNTIFS($C$18:$C$163,F10,$U$18:$U$163,"Done")&amp;" passed / "&amp;COUNTIF($C$18:$C$163,F10)&amp;" total ("&amp;IF(COUNTIF($C$18:$C$163,F10)=0,"0%",TEXT(COUNTIFS($C$18:$C$163,F10,$U$18:$U$163,"Done")/COUNTIF($C$18:$C$163,F10),"0%"))&amp;") · "&amp;SUMIFS($V$18:$V$163,$C$18:$C$163,F10,$U$18:$U$163,"&lt;&gt;Done")&amp;"/"&amp;SUMIFS($W$18:$W$163,$C$18:$C$163,F10,$U$18:$U$163,"&lt;&gt;Done")</f>
        <v>6 passed / 6 total (100%) · 0/0</v>
      </c>
      <c r="J10" s="151" t="s">
        <v>1</v>
      </c>
      <c r="K10" s="136" t="s">
        <v>1</v>
      </c>
      <c r="L10" s="136" t="s">
        <v>1</v>
      </c>
      <c r="M10" s="136" t="s">
        <v>1</v>
      </c>
      <c r="N10" s="136" t="s">
        <v>1</v>
      </c>
      <c r="O10" s="136" t="s">
        <v>1</v>
      </c>
      <c r="P10" s="136" t="s">
        <v>1</v>
      </c>
      <c r="Q10" s="136" t="s">
        <v>1</v>
      </c>
      <c r="R10" s="136" t="s">
        <v>1</v>
      </c>
      <c r="S10" s="136" t="s">
        <v>1</v>
      </c>
      <c r="T10" s="136" t="s">
        <v>1</v>
      </c>
    </row>
    <row r="11" customFormat="false" ht="15" hidden="false" customHeight="false" outlineLevel="0" collapsed="false">
      <c r="A11" s="309" t="s">
        <v>41</v>
      </c>
      <c r="B11" s="256" t="s">
        <v>1</v>
      </c>
      <c r="C11" s="256" t="s">
        <v>42</v>
      </c>
      <c r="D11" s="135" t="str">
        <f>COUNTIFS($C$18:$C$163,A11,$U$18:$U$163,"Done")&amp;" passed / "&amp;COUNTIF($C$18:$C$163,A11)&amp;" total ("&amp;IF(COUNTIF($C$18:$C$163,A11)=0,"0%",TEXT(COUNTIFS($C$18:$C$163,A11,$U$18:$U$163,"Done")/COUNTIF($C$18:$C$163,A11),"0%"))&amp;") · "&amp;SUMIFS($V$18:$V$163,$C$18:$C$163,A11,$U$18:$U$163,"&lt;&gt;Done")&amp;"/"&amp;SUMIFS($W$18:$W$163,$C$18:$C$163,A11,$U$18:$U$163,"&lt;&gt;Done")</f>
        <v>58 passed / 58 total (100%) · 0/0</v>
      </c>
      <c r="E11" s="151" t="s">
        <v>1</v>
      </c>
      <c r="F11" s="365" t="s">
        <v>44</v>
      </c>
      <c r="G11" s="263" t="s">
        <v>1</v>
      </c>
      <c r="H11" s="263" t="s">
        <v>45</v>
      </c>
      <c r="I11" s="135" t="str">
        <f>COUNTIFS($C$18:$C$163,F11,$U$18:$U$163,"Done")&amp;" passed / "&amp;COUNTIF($C$18:$C$163,F11)&amp;" total ("&amp;IF(COUNTIF($C$18:$C$163,F11)=0,"0%",TEXT(COUNTIFS($C$18:$C$163,F11,$U$18:$U$163,"Done")/COUNTIF($C$18:$C$163,F11),"0%"))&amp;") · "&amp;SUMIFS($V$18:$V$163,$C$18:$C$163,F11,$U$18:$U$163,"&lt;&gt;Done")&amp;"/"&amp;SUMIFS($W$18:$W$163,$C$18:$C$163,F11,$U$18:$U$163,"&lt;&gt;Done")</f>
        <v>6 passed / 6 total (100%) · 0/0</v>
      </c>
      <c r="J11" s="151" t="s">
        <v>1</v>
      </c>
      <c r="K11" s="136" t="s">
        <v>1</v>
      </c>
      <c r="L11" s="136" t="s">
        <v>1</v>
      </c>
      <c r="M11" s="136" t="s">
        <v>1</v>
      </c>
      <c r="N11" s="136" t="s">
        <v>1</v>
      </c>
      <c r="O11" s="136" t="s">
        <v>1</v>
      </c>
      <c r="P11" s="136" t="s">
        <v>1</v>
      </c>
      <c r="Q11" s="136" t="s">
        <v>1</v>
      </c>
      <c r="R11" s="136" t="s">
        <v>1</v>
      </c>
      <c r="S11" s="136" t="s">
        <v>1</v>
      </c>
      <c r="T11" s="136" t="s">
        <v>1</v>
      </c>
    </row>
    <row r="12" customFormat="false" ht="15" hidden="false" customHeight="false" outlineLevel="0" collapsed="false">
      <c r="A12" s="317" t="s">
        <v>46</v>
      </c>
      <c r="B12" s="257" t="s">
        <v>1</v>
      </c>
      <c r="C12" s="257" t="s">
        <v>47</v>
      </c>
      <c r="D12" s="135" t="str">
        <f>COUNTIFS($C$18:$C$163,A12,$U$18:$U$163,"Done")&amp;" passed / "&amp;COUNTIF($C$18:$C$163,A12)&amp;" total ("&amp;IF(COUNTIF($C$18:$C$163,A12)=0,"0%",TEXT(COUNTIFS($C$18:$C$163,A12,$U$18:$U$163,"Done")/COUNTIF($C$18:$C$163,A12),"0%"))&amp;") · "&amp;SUMIFS($V$18:$V$163,$C$18:$C$163,A12,$U$18:$U$163,"&lt;&gt;Done")&amp;"/"&amp;SUMIFS($W$18:$W$163,$C$18:$C$163,A12,$U$18:$U$163,"&lt;&gt;Done")</f>
        <v>16 passed / 16 total (100%) · 0/0</v>
      </c>
      <c r="E12" s="151" t="s">
        <v>1</v>
      </c>
      <c r="F12" s="544" t="s">
        <v>49</v>
      </c>
      <c r="G12" s="540" t="s">
        <v>1</v>
      </c>
      <c r="H12" s="540" t="s">
        <v>50</v>
      </c>
      <c r="I12" s="136" t="str">
        <f>COUNTIFS($C$18:$C$163,F12,$U$18:$U$163,"Done")&amp;" passed / "&amp;COUNTIF($C$18:$C$163,F12)&amp;" total ("&amp;IF(COUNTIF($C$18:$C$163,F12)=0,"0%",TEXT(COUNTIFS($C$18:$C$163,F12,$U$18:$U$163,"Done")/COUNTIF($C$18:$C$163,F12),"0%"))&amp;") · "&amp;SUMIFS($V$18:$V$163,$C$18:$C$163,F12,$U$18:$U$163,"&lt;&gt;Done")&amp;"/"&amp;SUMIFS($W$18:$W$163,$C$18:$C$163,F12,$U$18:$U$163,"&lt;&gt;Done")</f>
        <v>2 passed / 3 total (67%) · 20/45</v>
      </c>
      <c r="J12" s="159" t="s">
        <v>1</v>
      </c>
      <c r="K12" s="136" t="s">
        <v>1</v>
      </c>
      <c r="L12" s="136" t="s">
        <v>1</v>
      </c>
      <c r="M12" s="136" t="s">
        <v>1</v>
      </c>
      <c r="N12" s="136" t="s">
        <v>1</v>
      </c>
      <c r="O12" s="136" t="s">
        <v>1</v>
      </c>
      <c r="P12" s="136" t="s">
        <v>1</v>
      </c>
      <c r="Q12" s="136" t="s">
        <v>1</v>
      </c>
      <c r="R12" s="136" t="s">
        <v>1</v>
      </c>
      <c r="S12" s="136" t="s">
        <v>1</v>
      </c>
      <c r="T12" s="136" t="s">
        <v>1</v>
      </c>
    </row>
    <row r="13" customFormat="false" ht="15" hidden="false" customHeight="false" outlineLevel="0" collapsed="false">
      <c r="A13" s="325" t="s">
        <v>52</v>
      </c>
      <c r="B13" s="258" t="s">
        <v>1</v>
      </c>
      <c r="C13" s="258" t="s">
        <v>53</v>
      </c>
      <c r="D13" s="135" t="str">
        <f>COUNTIFS($C$18:$C$163,A13,$U$18:$U$163,"Done")&amp;" passed / "&amp;COUNTIF($C$18:$C$163,A13)&amp;" total ("&amp;IF(COUNTIF($C$18:$C$163,A13)=0,"0%",TEXT(COUNTIFS($C$18:$C$163,A13,$U$18:$U$163,"Done")/COUNTIF($C$18:$C$163,A13),"0%"))&amp;") · "&amp;SUMIFS($V$18:$V$163,$C$18:$C$163,A13,$U$18:$U$163,"&lt;&gt;Done")&amp;"/"&amp;SUMIFS($W$18:$W$163,$C$18:$C$163,A13,$U$18:$U$163,"&lt;&gt;Done")</f>
        <v>9 passed / 9 total (100%) · 0/0</v>
      </c>
      <c r="E13" s="151" t="s">
        <v>1</v>
      </c>
      <c r="F13" s="247" t="s">
        <v>55</v>
      </c>
      <c r="G13" s="243" t="s">
        <v>1</v>
      </c>
      <c r="H13" s="243" t="s">
        <v>56</v>
      </c>
      <c r="I13" s="135" t="str">
        <f>COUNTIFS($C$18:$C$163,F13,$U$18:$U$163,"Done")&amp;" passed / "&amp;COUNTIF($C$18:$C$163,F13)&amp;" total ("&amp;IF(COUNTIF($C$18:$C$163,F13)=0,"0%",TEXT(COUNTIFS($C$18:$C$163,F13,$U$18:$U$163,"Done")/COUNTIF($C$18:$C$163,F13),"0%"))&amp;") · "&amp;SUMIFS($V$18:$V$163,$C$18:$C$163,F13,$U$18:$U$163,"&lt;&gt;Done")&amp;"/"&amp;SUMIFS($W$18:$W$163,$C$18:$C$163,F13,$U$18:$U$163,"&lt;&gt;Done")</f>
        <v>5 passed / 5 total (100%) · 0/0</v>
      </c>
      <c r="J13" s="151" t="s">
        <v>1</v>
      </c>
      <c r="K13" s="136" t="s">
        <v>1</v>
      </c>
      <c r="L13" s="136" t="s">
        <v>1</v>
      </c>
      <c r="M13" s="136" t="s">
        <v>1</v>
      </c>
      <c r="N13" s="136" t="s">
        <v>1</v>
      </c>
      <c r="O13" s="136" t="s">
        <v>1</v>
      </c>
      <c r="P13" s="136" t="s">
        <v>1</v>
      </c>
      <c r="Q13" s="136" t="s">
        <v>1</v>
      </c>
      <c r="R13" s="136" t="s">
        <v>1</v>
      </c>
      <c r="S13" s="136" t="s">
        <v>1</v>
      </c>
      <c r="T13" s="136" t="s">
        <v>1</v>
      </c>
    </row>
    <row r="14" customFormat="false" ht="15" hidden="false" customHeight="false" outlineLevel="0" collapsed="false">
      <c r="A14" s="335" t="s">
        <v>58</v>
      </c>
      <c r="B14" s="336" t="s">
        <v>1</v>
      </c>
      <c r="C14" s="336" t="s">
        <v>59</v>
      </c>
      <c r="D14" s="153" t="str">
        <f>COUNTIFS($C$18:$C$163,A14,$U$18:$U$163,"Done")&amp;" passed / "&amp;COUNTIF($C$18:$C$163,A14)&amp;" total ("&amp;IF(COUNTIF($C$18:$C$163,A14)=0,"0%",TEXT(COUNTIFS($C$18:$C$163,A14,$U$18:$U$163,"Done")/COUNTIF($C$18:$C$163,A14),"0%"))&amp;") · "&amp;SUMIFS($V$18:$V$163,$C$18:$C$163,A14,$U$18:$U$163,"&lt;&gt;Done")&amp;"/"&amp;SUMIFS($W$18:$W$163,$C$18:$C$163,A14,$U$18:$U$163,"&lt;&gt;Done")</f>
        <v>7 passed / 7 total (100%) · 0/0</v>
      </c>
      <c r="E14" s="154" t="s">
        <v>1</v>
      </c>
      <c r="F14" s="160" t="s">
        <v>1</v>
      </c>
      <c r="G14" s="161" t="s">
        <v>1</v>
      </c>
      <c r="H14" s="161" t="s">
        <v>1</v>
      </c>
      <c r="I14" s="241" t="s">
        <v>1</v>
      </c>
      <c r="J14" s="242" t="s">
        <v>1</v>
      </c>
      <c r="K14" s="136" t="s">
        <v>1</v>
      </c>
      <c r="L14" s="136" t="s">
        <v>1</v>
      </c>
      <c r="M14" s="136" t="s">
        <v>1</v>
      </c>
      <c r="N14" s="136" t="s">
        <v>1</v>
      </c>
      <c r="O14" s="136" t="s">
        <v>1</v>
      </c>
      <c r="P14" s="136" t="s">
        <v>1</v>
      </c>
      <c r="Q14" s="136" t="s">
        <v>1</v>
      </c>
      <c r="R14" s="136" t="s">
        <v>1</v>
      </c>
      <c r="S14" s="136" t="s">
        <v>1</v>
      </c>
      <c r="T14" s="136" t="s">
        <v>1</v>
      </c>
    </row>
    <row r="15" customFormat="false" ht="20" hidden="false" customHeight="true" outlineLevel="0" collapsed="false">
      <c r="A15" s="145" t="s">
        <v>61</v>
      </c>
      <c r="B15" s="145" t="s">
        <v>1</v>
      </c>
      <c r="C15" s="145" t="s">
        <v>1</v>
      </c>
      <c r="D15" s="145" t="s">
        <v>1</v>
      </c>
      <c r="E15" s="145" t="s">
        <v>1</v>
      </c>
      <c r="F15" s="145" t="s">
        <v>1</v>
      </c>
      <c r="G15" s="145" t="s">
        <v>1</v>
      </c>
      <c r="H15" s="145" t="s">
        <v>1</v>
      </c>
      <c r="I15" s="145" t="s">
        <v>1</v>
      </c>
      <c r="J15" s="145" t="s">
        <v>1</v>
      </c>
      <c r="K15" s="145" t="s">
        <v>1</v>
      </c>
      <c r="L15" s="145" t="s">
        <v>1</v>
      </c>
      <c r="M15" s="145" t="s">
        <v>1</v>
      </c>
      <c r="N15" s="145" t="s">
        <v>1</v>
      </c>
      <c r="O15" s="145" t="s">
        <v>1</v>
      </c>
      <c r="P15" s="145" t="s">
        <v>1</v>
      </c>
      <c r="Q15" s="145" t="s">
        <v>1</v>
      </c>
      <c r="R15" s="145" t="s">
        <v>1</v>
      </c>
      <c r="S15" s="145" t="s">
        <v>1</v>
      </c>
      <c r="T15" s="145" t="s">
        <v>1</v>
      </c>
    </row>
    <row r="16" customFormat="false" ht="20" hidden="false" customHeight="true" outlineLevel="0" collapsed="false">
      <c r="A16" s="146" t="s">
        <v>1</v>
      </c>
      <c r="B16" s="146" t="s">
        <v>1</v>
      </c>
      <c r="C16" s="146" t="s">
        <v>1</v>
      </c>
      <c r="D16" s="146" t="s">
        <v>1</v>
      </c>
      <c r="E16" s="146" t="s">
        <v>1</v>
      </c>
      <c r="F16" s="146" t="s">
        <v>1</v>
      </c>
      <c r="G16" s="146" t="s">
        <v>1</v>
      </c>
      <c r="H16" s="146" t="s">
        <v>1</v>
      </c>
      <c r="I16" s="146" t="s">
        <v>1</v>
      </c>
      <c r="J16" s="146" t="s">
        <v>1</v>
      </c>
      <c r="K16" s="146" t="s">
        <v>1</v>
      </c>
      <c r="L16" s="143" t="s">
        <v>62</v>
      </c>
      <c r="M16" s="143" t="s">
        <v>1</v>
      </c>
      <c r="N16" s="146" t="s">
        <v>1</v>
      </c>
      <c r="O16" s="146" t="s">
        <v>1</v>
      </c>
      <c r="P16" s="146" t="s">
        <v>1</v>
      </c>
      <c r="Q16" s="146" t="s">
        <v>1</v>
      </c>
      <c r="R16" s="146" t="s">
        <v>1</v>
      </c>
      <c r="S16" s="146" t="s">
        <v>1</v>
      </c>
      <c r="T16" s="146" t="s">
        <v>1</v>
      </c>
    </row>
    <row r="17" customFormat="false" ht="15" hidden="false" customHeight="false" outlineLevel="0" collapsed="false">
      <c r="A17" s="143" t="s">
        <v>63</v>
      </c>
      <c r="B17" s="143" t="s">
        <v>64</v>
      </c>
      <c r="C17" s="143" t="s">
        <v>20</v>
      </c>
      <c r="D17" s="143" t="s">
        <v>65</v>
      </c>
      <c r="E17" s="143" t="s">
        <v>66</v>
      </c>
      <c r="F17" s="143" t="s">
        <v>67</v>
      </c>
      <c r="G17" s="143" t="s">
        <v>68</v>
      </c>
      <c r="H17" s="143" t="s">
        <v>69</v>
      </c>
      <c r="I17" s="143" t="s">
        <v>70</v>
      </c>
      <c r="J17" s="143" t="s">
        <v>71</v>
      </c>
      <c r="K17" s="143" t="s">
        <v>72</v>
      </c>
      <c r="L17" s="143" t="s">
        <v>73</v>
      </c>
      <c r="M17" s="143" t="s">
        <v>74</v>
      </c>
      <c r="N17" s="143" t="s">
        <v>75</v>
      </c>
      <c r="O17" s="143" t="s">
        <v>76</v>
      </c>
      <c r="P17" s="143" t="s">
        <v>77</v>
      </c>
      <c r="Q17" s="143" t="s">
        <v>78</v>
      </c>
      <c r="R17" s="143" t="s">
        <v>79</v>
      </c>
      <c r="S17" s="143" t="s">
        <v>80</v>
      </c>
      <c r="T17" s="143" t="s">
        <v>81</v>
      </c>
    </row>
    <row r="18" customFormat="false" ht="15" hidden="false" customHeight="false" outlineLevel="0" collapsed="false">
      <c r="A18" s="135" t="s">
        <v>82</v>
      </c>
      <c r="B18" s="135" t="s">
        <v>83</v>
      </c>
      <c r="C18" s="254" t="s">
        <v>23</v>
      </c>
      <c r="D18" s="135" t="s">
        <v>84</v>
      </c>
      <c r="E18" s="135" t="s">
        <v>85</v>
      </c>
      <c r="F18" s="135" t="s">
        <v>4</v>
      </c>
      <c r="G18" s="135" t="s">
        <v>86</v>
      </c>
      <c r="H18" s="135" t="s">
        <v>4</v>
      </c>
      <c r="I18" s="135" t="s">
        <v>4</v>
      </c>
      <c r="J18" s="135" t="s">
        <v>87</v>
      </c>
      <c r="K18" s="135" t="s">
        <v>88</v>
      </c>
      <c r="L18" s="135" t="s">
        <v>89</v>
      </c>
      <c r="M18" s="135" t="s">
        <v>1</v>
      </c>
      <c r="N18" s="135" t="s">
        <v>90</v>
      </c>
      <c r="O18" s="135" t="s">
        <v>91</v>
      </c>
      <c r="P18" s="135" t="s">
        <v>92</v>
      </c>
      <c r="Q18" s="135" t="s">
        <v>89</v>
      </c>
      <c r="R18" s="135" t="s">
        <v>93</v>
      </c>
      <c r="S18" s="135" t="s">
        <v>94</v>
      </c>
      <c r="T18" s="135" t="s">
        <v>1</v>
      </c>
      <c r="U18" s="146" t="str">
        <f>IF(OR(ISNUMBER(SEARCH("FAIL",K18&amp;" "&amp;Q18)),ISNUMBER(SEARCH("CLEAN RETEST REQUIRED",K18&amp;" "&amp;Q18))),"Failed",IF(OR(ISNUMBER(SEARCH("NOT RUN",K18&amp;" "&amp;Q18)),ISNUMBER(SEARCH("NOT IMPLEMENTED",K18&amp;" "&amp;Q18))),"Not started",IF(OR(ISNUMBER(SEARCH("PARTIAL",K18&amp;" "&amp;Q18)),ISNUMBER(SEARCH("PENDING",K18&amp;" "&amp;Q18)),ISNUMBER(SEARCH("IN PROGRESS",K18&amp;" "&amp;Q18)),ISNUMBER(SEARCH("OPEN",K18&amp;" "&amp;Q18)),ISNUMBER(SEARCH("RETEST REQUIRED",K18&amp;" "&amp;Q18)),ISNUMBER(SEARCH("IMPLEMENTATION UPDATED",K18&amp;" "&amp;Q18)),ISNUMBER(SEARCH("REQUIRED EVERY SESSION",K18&amp;" "&amp;Q18))),"Pending",IF(OR(Q18="PASS",ISNUMBER(SEARCH("PASS",K18&amp;" "&amp;Q18))),"Done","Pending"))))</f>
        <v>Done</v>
      </c>
      <c r="V18" s="146">
        <f>IF(T18="","",VALUE(LEFT(T18,SEARCH("/",T18)-1)))</f>
        <v/>
      </c>
      <c r="W18" s="146">
        <f>IF(T18="","",VALUE(MID(T18,SEARCH("/",T18)+1,LEN(T18))))</f>
        <v/>
      </c>
    </row>
    <row r="19" customFormat="false" ht="15" hidden="false" customHeight="false" outlineLevel="0" collapsed="false">
      <c r="A19" s="135" t="s">
        <v>95</v>
      </c>
      <c r="B19" s="135" t="s">
        <v>83</v>
      </c>
      <c r="C19" s="254" t="s">
        <v>23</v>
      </c>
      <c r="D19" s="135" t="s">
        <v>96</v>
      </c>
      <c r="E19" s="135" t="s">
        <v>97</v>
      </c>
      <c r="F19" s="135" t="s">
        <v>4</v>
      </c>
      <c r="G19" s="135" t="s">
        <v>4</v>
      </c>
      <c r="H19" s="135" t="s">
        <v>4</v>
      </c>
      <c r="I19" s="135" t="s">
        <v>4</v>
      </c>
      <c r="J19" s="135" t="s">
        <v>98</v>
      </c>
      <c r="K19" s="135" t="s">
        <v>99</v>
      </c>
      <c r="L19" s="135" t="s">
        <v>89</v>
      </c>
      <c r="M19" s="135" t="s">
        <v>100</v>
      </c>
      <c r="N19" s="135" t="s">
        <v>90</v>
      </c>
      <c r="O19" s="135" t="s">
        <v>91</v>
      </c>
      <c r="P19" s="135" t="s">
        <v>92</v>
      </c>
      <c r="Q19" s="135" t="s">
        <v>89</v>
      </c>
      <c r="R19" s="135" t="s">
        <v>101</v>
      </c>
      <c r="S19" s="135" t="s">
        <v>94</v>
      </c>
      <c r="T19" s="135" t="s">
        <v>1</v>
      </c>
      <c r="U19" s="146" t="str">
        <f>IF(OR(ISNUMBER(SEARCH("FAIL",K19&amp;" "&amp;Q19)),ISNUMBER(SEARCH("CLEAN RETEST REQUIRED",K19&amp;" "&amp;Q19))),"Failed",IF(OR(ISNUMBER(SEARCH("NOT RUN",K19&amp;" "&amp;Q19)),ISNUMBER(SEARCH("NOT IMPLEMENTED",K19&amp;" "&amp;Q19))),"Not started",IF(OR(ISNUMBER(SEARCH("PARTIAL",K19&amp;" "&amp;Q19)),ISNUMBER(SEARCH("PENDING",K19&amp;" "&amp;Q19)),ISNUMBER(SEARCH("IN PROGRESS",K19&amp;" "&amp;Q19)),ISNUMBER(SEARCH("OPEN",K19&amp;" "&amp;Q19)),ISNUMBER(SEARCH("RETEST REQUIRED",K19&amp;" "&amp;Q19)),ISNUMBER(SEARCH("IMPLEMENTATION UPDATED",K19&amp;" "&amp;Q19)),ISNUMBER(SEARCH("REQUIRED EVERY SESSION",K19&amp;" "&amp;Q19))),"Pending",IF(OR(Q19="PASS",ISNUMBER(SEARCH("PASS",K19&amp;" "&amp;Q19))),"Done","Pending"))))</f>
        <v>Done</v>
      </c>
      <c r="V19" s="146">
        <f>IF(T19="","",VALUE(LEFT(T19,SEARCH("/",T19)-1)))</f>
        <v/>
      </c>
      <c r="W19" s="146">
        <f>IF(T19="","",VALUE(MID(T19,SEARCH("/",T19)+1,LEN(T19))))</f>
        <v/>
      </c>
    </row>
    <row r="20" customFormat="false" ht="15" hidden="false" customHeight="false" outlineLevel="0" collapsed="false">
      <c r="A20" s="135" t="s">
        <v>102</v>
      </c>
      <c r="B20" s="135" t="s">
        <v>103</v>
      </c>
      <c r="C20" s="254" t="s">
        <v>23</v>
      </c>
      <c r="D20" s="135" t="s">
        <v>104</v>
      </c>
      <c r="E20" s="135" t="s">
        <v>105</v>
      </c>
      <c r="F20" s="135" t="s">
        <v>4</v>
      </c>
      <c r="G20" s="135" t="s">
        <v>106</v>
      </c>
      <c r="H20" s="135" t="s">
        <v>4</v>
      </c>
      <c r="I20" s="135" t="s">
        <v>4</v>
      </c>
      <c r="J20" s="135" t="s">
        <v>107</v>
      </c>
      <c r="K20" s="135" t="s">
        <v>89</v>
      </c>
      <c r="L20" s="135" t="s">
        <v>89</v>
      </c>
      <c r="M20" s="135" t="s">
        <v>100</v>
      </c>
      <c r="N20" s="135" t="s">
        <v>108</v>
      </c>
      <c r="O20" s="135" t="s">
        <v>91</v>
      </c>
      <c r="P20" s="135" t="s">
        <v>92</v>
      </c>
      <c r="Q20" s="135" t="s">
        <v>89</v>
      </c>
      <c r="R20" s="135" t="s">
        <v>109</v>
      </c>
      <c r="S20" s="135" t="s">
        <v>110</v>
      </c>
      <c r="T20" s="135" t="s">
        <v>1</v>
      </c>
      <c r="U20" s="146" t="str">
        <f>IF(OR(ISNUMBER(SEARCH("FAIL",K20&amp;" "&amp;Q20)),ISNUMBER(SEARCH("CLEAN RETEST REQUIRED",K20&amp;" "&amp;Q20))),"Failed",IF(OR(ISNUMBER(SEARCH("NOT RUN",K20&amp;" "&amp;Q20)),ISNUMBER(SEARCH("NOT IMPLEMENTED",K20&amp;" "&amp;Q20))),"Not started",IF(OR(ISNUMBER(SEARCH("PARTIAL",K20&amp;" "&amp;Q20)),ISNUMBER(SEARCH("PENDING",K20&amp;" "&amp;Q20)),ISNUMBER(SEARCH("IN PROGRESS",K20&amp;" "&amp;Q20)),ISNUMBER(SEARCH("OPEN",K20&amp;" "&amp;Q20)),ISNUMBER(SEARCH("RETEST REQUIRED",K20&amp;" "&amp;Q20)),ISNUMBER(SEARCH("IMPLEMENTATION UPDATED",K20&amp;" "&amp;Q20)),ISNUMBER(SEARCH("REQUIRED EVERY SESSION",K20&amp;" "&amp;Q20))),"Pending",IF(OR(Q20="PASS",ISNUMBER(SEARCH("PASS",K20&amp;" "&amp;Q20))),"Done","Pending"))))</f>
        <v>Done</v>
      </c>
      <c r="V20" s="146">
        <f>IF(T20="","",VALUE(LEFT(T20,SEARCH("/",T20)-1)))</f>
        <v/>
      </c>
      <c r="W20" s="146">
        <f>IF(T20="","",VALUE(MID(T20,SEARCH("/",T20)+1,LEN(T20))))</f>
        <v/>
      </c>
    </row>
    <row r="21" customFormat="false" ht="15" hidden="false" customHeight="false" outlineLevel="0" collapsed="false">
      <c r="A21" s="135" t="s">
        <v>111</v>
      </c>
      <c r="B21" s="135" t="s">
        <v>103</v>
      </c>
      <c r="C21" s="254" t="s">
        <v>23</v>
      </c>
      <c r="D21" s="135" t="s">
        <v>112</v>
      </c>
      <c r="E21" s="135" t="s">
        <v>113</v>
      </c>
      <c r="F21" s="135" t="s">
        <v>4</v>
      </c>
      <c r="G21" s="135" t="s">
        <v>114</v>
      </c>
      <c r="H21" s="135" t="s">
        <v>4</v>
      </c>
      <c r="I21" s="135" t="s">
        <v>4</v>
      </c>
      <c r="J21" s="135" t="s">
        <v>107</v>
      </c>
      <c r="K21" s="135" t="s">
        <v>89</v>
      </c>
      <c r="L21" s="135" t="s">
        <v>89</v>
      </c>
      <c r="M21" s="135" t="s">
        <v>89</v>
      </c>
      <c r="N21" s="135" t="s">
        <v>115</v>
      </c>
      <c r="O21" s="135" t="s">
        <v>91</v>
      </c>
      <c r="P21" s="135" t="s">
        <v>92</v>
      </c>
      <c r="Q21" s="135" t="s">
        <v>89</v>
      </c>
      <c r="R21" s="135" t="s">
        <v>116</v>
      </c>
      <c r="S21" s="135" t="s">
        <v>117</v>
      </c>
      <c r="T21" s="135" t="s">
        <v>1</v>
      </c>
      <c r="U21" s="146" t="str">
        <f>IF(OR(ISNUMBER(SEARCH("FAIL",K21&amp;" "&amp;Q21)),ISNUMBER(SEARCH("CLEAN RETEST REQUIRED",K21&amp;" "&amp;Q21))),"Failed",IF(OR(ISNUMBER(SEARCH("NOT RUN",K21&amp;" "&amp;Q21)),ISNUMBER(SEARCH("NOT IMPLEMENTED",K21&amp;" "&amp;Q21))),"Not started",IF(OR(ISNUMBER(SEARCH("PARTIAL",K21&amp;" "&amp;Q21)),ISNUMBER(SEARCH("PENDING",K21&amp;" "&amp;Q21)),ISNUMBER(SEARCH("IN PROGRESS",K21&amp;" "&amp;Q21)),ISNUMBER(SEARCH("OPEN",K21&amp;" "&amp;Q21)),ISNUMBER(SEARCH("RETEST REQUIRED",K21&amp;" "&amp;Q21)),ISNUMBER(SEARCH("IMPLEMENTATION UPDATED",K21&amp;" "&amp;Q21)),ISNUMBER(SEARCH("REQUIRED EVERY SESSION",K21&amp;" "&amp;Q21))),"Pending",IF(OR(Q21="PASS",ISNUMBER(SEARCH("PASS",K21&amp;" "&amp;Q21))),"Done","Pending"))))</f>
        <v>Done</v>
      </c>
      <c r="V21" s="146">
        <f>IF(T21="","",VALUE(LEFT(T21,SEARCH("/",T21)-1)))</f>
        <v/>
      </c>
      <c r="W21" s="146">
        <f>IF(T21="","",VALUE(MID(T21,SEARCH("/",T21)+1,LEN(T21))))</f>
        <v/>
      </c>
    </row>
    <row r="22" customFormat="false" ht="15" hidden="false" customHeight="false" outlineLevel="0" collapsed="false">
      <c r="A22" s="135" t="s">
        <v>118</v>
      </c>
      <c r="B22" s="135" t="s">
        <v>119</v>
      </c>
      <c r="C22" s="254" t="s">
        <v>23</v>
      </c>
      <c r="D22" s="135" t="s">
        <v>120</v>
      </c>
      <c r="E22" s="135" t="s">
        <v>121</v>
      </c>
      <c r="F22" s="135" t="s">
        <v>122</v>
      </c>
      <c r="G22" s="135" t="s">
        <v>123</v>
      </c>
      <c r="H22" s="135" t="s">
        <v>124</v>
      </c>
      <c r="I22" s="135" t="s">
        <v>125</v>
      </c>
      <c r="J22" s="135" t="s">
        <v>107</v>
      </c>
      <c r="K22" s="135" t="s">
        <v>126</v>
      </c>
      <c r="L22" s="135" t="s">
        <v>127</v>
      </c>
      <c r="M22" s="135" t="s">
        <v>128</v>
      </c>
      <c r="N22" s="135" t="s">
        <v>129</v>
      </c>
      <c r="O22" s="135" t="s">
        <v>91</v>
      </c>
      <c r="P22" s="135" t="s">
        <v>92</v>
      </c>
      <c r="Q22" s="135" t="s">
        <v>89</v>
      </c>
      <c r="R22" s="135" t="s">
        <v>130</v>
      </c>
      <c r="S22" s="135" t="s">
        <v>131</v>
      </c>
      <c r="T22" s="135" t="s">
        <v>1</v>
      </c>
      <c r="U22" s="146" t="str">
        <f>IF(OR(ISNUMBER(SEARCH("FAIL",K22&amp;" "&amp;Q22)),ISNUMBER(SEARCH("CLEAN RETEST REQUIRED",K22&amp;" "&amp;Q22))),"Failed",IF(OR(ISNUMBER(SEARCH("NOT RUN",K22&amp;" "&amp;Q22)),ISNUMBER(SEARCH("NOT IMPLEMENTED",K22&amp;" "&amp;Q22))),"Not started",IF(OR(ISNUMBER(SEARCH("PARTIAL",K22&amp;" "&amp;Q22)),ISNUMBER(SEARCH("PENDING",K22&amp;" "&amp;Q22)),ISNUMBER(SEARCH("IN PROGRESS",K22&amp;" "&amp;Q22)),ISNUMBER(SEARCH("OPEN",K22&amp;" "&amp;Q22)),ISNUMBER(SEARCH("RETEST REQUIRED",K22&amp;" "&amp;Q22)),ISNUMBER(SEARCH("IMPLEMENTATION UPDATED",K22&amp;" "&amp;Q22)),ISNUMBER(SEARCH("REQUIRED EVERY SESSION",K22&amp;" "&amp;Q22))),"Pending",IF(OR(Q22="PASS",ISNUMBER(SEARCH("PASS",K22&amp;" "&amp;Q22))),"Done","Pending"))))</f>
        <v>Done</v>
      </c>
      <c r="V22" s="146">
        <f>IF(T22="","",VALUE(LEFT(T22,SEARCH("/",T22)-1)))</f>
        <v/>
      </c>
      <c r="W22" s="146">
        <f>IF(T22="","",VALUE(MID(T22,SEARCH("/",T22)+1,LEN(T22))))</f>
        <v/>
      </c>
    </row>
    <row r="23" customFormat="false" ht="15" hidden="false" customHeight="false" outlineLevel="0" collapsed="false">
      <c r="A23" s="135" t="s">
        <v>132</v>
      </c>
      <c r="B23" s="135" t="s">
        <v>133</v>
      </c>
      <c r="C23" s="254" t="s">
        <v>23</v>
      </c>
      <c r="D23" s="135" t="s">
        <v>134</v>
      </c>
      <c r="E23" s="135" t="s">
        <v>135</v>
      </c>
      <c r="F23" s="135" t="s">
        <v>1</v>
      </c>
      <c r="G23" s="135" t="s">
        <v>1</v>
      </c>
      <c r="H23" s="135" t="s">
        <v>1</v>
      </c>
      <c r="I23" s="135" t="s">
        <v>1</v>
      </c>
      <c r="J23" s="135" t="s">
        <v>1</v>
      </c>
      <c r="K23" s="135" t="s">
        <v>136</v>
      </c>
      <c r="L23" s="135" t="s">
        <v>137</v>
      </c>
      <c r="M23" s="135" t="s">
        <v>100</v>
      </c>
      <c r="N23" s="135" t="s">
        <v>138</v>
      </c>
      <c r="O23" s="135" t="s">
        <v>91</v>
      </c>
      <c r="P23" s="135" t="s">
        <v>139</v>
      </c>
      <c r="Q23" s="135" t="s">
        <v>89</v>
      </c>
      <c r="R23" s="135" t="s">
        <v>140</v>
      </c>
      <c r="S23" s="135" t="s">
        <v>141</v>
      </c>
      <c r="T23" s="135" t="s">
        <v>1</v>
      </c>
      <c r="U23" s="146" t="str">
        <f>IF(OR(ISNUMBER(SEARCH("FAIL",K23&amp;" "&amp;Q23)),ISNUMBER(SEARCH("CLEAN RETEST REQUIRED",K23&amp;" "&amp;Q23))),"Failed",IF(OR(ISNUMBER(SEARCH("NOT RUN",K23&amp;" "&amp;Q23)),ISNUMBER(SEARCH("NOT IMPLEMENTED",K23&amp;" "&amp;Q23))),"Not started",IF(OR(ISNUMBER(SEARCH("PARTIAL",K23&amp;" "&amp;Q23)),ISNUMBER(SEARCH("PENDING",K23&amp;" "&amp;Q23)),ISNUMBER(SEARCH("IN PROGRESS",K23&amp;" "&amp;Q23)),ISNUMBER(SEARCH("OPEN",K23&amp;" "&amp;Q23)),ISNUMBER(SEARCH("RETEST REQUIRED",K23&amp;" "&amp;Q23)),ISNUMBER(SEARCH("IMPLEMENTATION UPDATED",K23&amp;" "&amp;Q23)),ISNUMBER(SEARCH("REQUIRED EVERY SESSION",K23&amp;" "&amp;Q23))),"Pending",IF(OR(Q23="PASS",ISNUMBER(SEARCH("PASS",K23&amp;" "&amp;Q23))),"Done","Pending"))))</f>
        <v>Done</v>
      </c>
      <c r="V23" s="146">
        <f>IF(T23="","",VALUE(LEFT(T23,SEARCH("/",T23)-1)))</f>
        <v/>
      </c>
      <c r="W23" s="146">
        <f>IF(T23="","",VALUE(MID(T23,SEARCH("/",T23)+1,LEN(T23))))</f>
        <v/>
      </c>
    </row>
    <row r="24" customFormat="false" ht="15" hidden="false" customHeight="false" outlineLevel="0" collapsed="false">
      <c r="A24" s="135" t="s">
        <v>142</v>
      </c>
      <c r="B24" s="135" t="s">
        <v>143</v>
      </c>
      <c r="C24" s="254" t="s">
        <v>23</v>
      </c>
      <c r="D24" s="135" t="s">
        <v>144</v>
      </c>
      <c r="E24" s="135" t="s">
        <v>145</v>
      </c>
      <c r="F24" s="135" t="s">
        <v>4</v>
      </c>
      <c r="G24" s="135" t="s">
        <v>146</v>
      </c>
      <c r="H24" s="135" t="s">
        <v>4</v>
      </c>
      <c r="I24" s="135" t="s">
        <v>4</v>
      </c>
      <c r="J24" s="135" t="s">
        <v>147</v>
      </c>
      <c r="K24" s="135" t="s">
        <v>148</v>
      </c>
      <c r="L24" s="135" t="s">
        <v>89</v>
      </c>
      <c r="M24" s="135" t="s">
        <v>89</v>
      </c>
      <c r="N24" s="135" t="s">
        <v>138</v>
      </c>
      <c r="O24" s="135" t="s">
        <v>149</v>
      </c>
      <c r="P24" s="135" t="s">
        <v>150</v>
      </c>
      <c r="Q24" s="135" t="s">
        <v>89</v>
      </c>
      <c r="R24" s="135" t="s">
        <v>151</v>
      </c>
      <c r="S24" s="135" t="s">
        <v>94</v>
      </c>
      <c r="T24" s="135" t="s">
        <v>1</v>
      </c>
      <c r="U24" s="146" t="str">
        <f>IF(OR(ISNUMBER(SEARCH("FAIL",K24&amp;" "&amp;Q24)),ISNUMBER(SEARCH("CLEAN RETEST REQUIRED",K24&amp;" "&amp;Q24))),"Failed",IF(OR(ISNUMBER(SEARCH("NOT RUN",K24&amp;" "&amp;Q24)),ISNUMBER(SEARCH("NOT IMPLEMENTED",K24&amp;" "&amp;Q24))),"Not started",IF(OR(ISNUMBER(SEARCH("PARTIAL",K24&amp;" "&amp;Q24)),ISNUMBER(SEARCH("PENDING",K24&amp;" "&amp;Q24)),ISNUMBER(SEARCH("IN PROGRESS",K24&amp;" "&amp;Q24)),ISNUMBER(SEARCH("OPEN",K24&amp;" "&amp;Q24)),ISNUMBER(SEARCH("RETEST REQUIRED",K24&amp;" "&amp;Q24)),ISNUMBER(SEARCH("IMPLEMENTATION UPDATED",K24&amp;" "&amp;Q24)),ISNUMBER(SEARCH("REQUIRED EVERY SESSION",K24&amp;" "&amp;Q24))),"Pending",IF(OR(Q24="PASS",ISNUMBER(SEARCH("PASS",K24&amp;" "&amp;Q24))),"Done","Pending"))))</f>
        <v>Done</v>
      </c>
      <c r="V24" s="146">
        <f>IF(T24="","",VALUE(LEFT(T24,SEARCH("/",T24)-1)))</f>
        <v/>
      </c>
      <c r="W24" s="146">
        <f>IF(T24="","",VALUE(MID(T24,SEARCH("/",T24)+1,LEN(T24))))</f>
        <v/>
      </c>
    </row>
    <row r="25" customFormat="false" ht="15" hidden="false" customHeight="false" outlineLevel="0" collapsed="false">
      <c r="A25" s="135" t="s">
        <v>152</v>
      </c>
      <c r="B25" s="135" t="s">
        <v>143</v>
      </c>
      <c r="C25" s="254" t="s">
        <v>23</v>
      </c>
      <c r="D25" s="135" t="s">
        <v>153</v>
      </c>
      <c r="E25" s="135" t="s">
        <v>154</v>
      </c>
      <c r="F25" s="135" t="s">
        <v>4</v>
      </c>
      <c r="G25" s="135" t="s">
        <v>155</v>
      </c>
      <c r="H25" s="135" t="s">
        <v>4</v>
      </c>
      <c r="I25" s="135" t="s">
        <v>156</v>
      </c>
      <c r="J25" s="135" t="s">
        <v>157</v>
      </c>
      <c r="K25" s="135" t="s">
        <v>148</v>
      </c>
      <c r="L25" s="135" t="s">
        <v>89</v>
      </c>
      <c r="M25" s="135" t="s">
        <v>158</v>
      </c>
      <c r="N25" s="135" t="s">
        <v>138</v>
      </c>
      <c r="O25" s="135" t="s">
        <v>149</v>
      </c>
      <c r="P25" s="135" t="s">
        <v>150</v>
      </c>
      <c r="Q25" s="135" t="s">
        <v>89</v>
      </c>
      <c r="R25" s="135" t="s">
        <v>151</v>
      </c>
      <c r="S25" s="135" t="s">
        <v>94</v>
      </c>
      <c r="T25" s="135" t="s">
        <v>1</v>
      </c>
      <c r="U25" s="146" t="str">
        <f>IF(OR(ISNUMBER(SEARCH("FAIL",K25&amp;" "&amp;Q25)),ISNUMBER(SEARCH("CLEAN RETEST REQUIRED",K25&amp;" "&amp;Q25))),"Failed",IF(OR(ISNUMBER(SEARCH("NOT RUN",K25&amp;" "&amp;Q25)),ISNUMBER(SEARCH("NOT IMPLEMENTED",K25&amp;" "&amp;Q25))),"Not started",IF(OR(ISNUMBER(SEARCH("PARTIAL",K25&amp;" "&amp;Q25)),ISNUMBER(SEARCH("PENDING",K25&amp;" "&amp;Q25)),ISNUMBER(SEARCH("IN PROGRESS",K25&amp;" "&amp;Q25)),ISNUMBER(SEARCH("OPEN",K25&amp;" "&amp;Q25)),ISNUMBER(SEARCH("RETEST REQUIRED",K25&amp;" "&amp;Q25)),ISNUMBER(SEARCH("IMPLEMENTATION UPDATED",K25&amp;" "&amp;Q25)),ISNUMBER(SEARCH("REQUIRED EVERY SESSION",K25&amp;" "&amp;Q25))),"Pending",IF(OR(Q25="PASS",ISNUMBER(SEARCH("PASS",K25&amp;" "&amp;Q25))),"Done","Pending"))))</f>
        <v>Done</v>
      </c>
      <c r="V25" s="146">
        <f>IF(T25="","",VALUE(LEFT(T25,SEARCH("/",T25)-1)))</f>
        <v/>
      </c>
      <c r="W25" s="146">
        <f>IF(T25="","",VALUE(MID(T25,SEARCH("/",T25)+1,LEN(T25))))</f>
        <v/>
      </c>
    </row>
    <row r="26" customFormat="false" ht="15" hidden="false" customHeight="false" outlineLevel="0" collapsed="false">
      <c r="A26" s="135" t="s">
        <v>159</v>
      </c>
      <c r="B26" s="135" t="s">
        <v>160</v>
      </c>
      <c r="C26" s="252" t="s">
        <v>29</v>
      </c>
      <c r="D26" s="135" t="s">
        <v>161</v>
      </c>
      <c r="E26" s="135" t="s">
        <v>162</v>
      </c>
      <c r="F26" s="135" t="s">
        <v>163</v>
      </c>
      <c r="G26" s="135" t="s">
        <v>164</v>
      </c>
      <c r="H26" s="135" t="s">
        <v>165</v>
      </c>
      <c r="I26" s="135" t="s">
        <v>166</v>
      </c>
      <c r="J26" s="135" t="s">
        <v>167</v>
      </c>
      <c r="K26" s="135" t="s">
        <v>168</v>
      </c>
      <c r="L26" s="135" t="s">
        <v>1</v>
      </c>
      <c r="M26" s="135" t="s">
        <v>1</v>
      </c>
      <c r="N26" s="135" t="s">
        <v>169</v>
      </c>
      <c r="O26" s="135" t="s">
        <v>91</v>
      </c>
      <c r="P26" s="135" t="s">
        <v>92</v>
      </c>
      <c r="Q26" s="135" t="s">
        <v>89</v>
      </c>
      <c r="R26" s="135" t="s">
        <v>170</v>
      </c>
      <c r="S26" s="135" t="s">
        <v>94</v>
      </c>
      <c r="T26" s="135" t="s">
        <v>1</v>
      </c>
      <c r="U26" s="146" t="str">
        <f>IF(OR(ISNUMBER(SEARCH("FAIL",K26&amp;" "&amp;Q26)),ISNUMBER(SEARCH("CLEAN RETEST REQUIRED",K26&amp;" "&amp;Q26))),"Failed",IF(OR(ISNUMBER(SEARCH("NOT RUN",K26&amp;" "&amp;Q26)),ISNUMBER(SEARCH("NOT IMPLEMENTED",K26&amp;" "&amp;Q26))),"Not started",IF(OR(ISNUMBER(SEARCH("PARTIAL",K26&amp;" "&amp;Q26)),ISNUMBER(SEARCH("PENDING",K26&amp;" "&amp;Q26)),ISNUMBER(SEARCH("IN PROGRESS",K26&amp;" "&amp;Q26)),ISNUMBER(SEARCH("OPEN",K26&amp;" "&amp;Q26)),ISNUMBER(SEARCH("RETEST REQUIRED",K26&amp;" "&amp;Q26)),ISNUMBER(SEARCH("IMPLEMENTATION UPDATED",K26&amp;" "&amp;Q26)),ISNUMBER(SEARCH("REQUIRED EVERY SESSION",K26&amp;" "&amp;Q26))),"Pending",IF(OR(Q26="PASS",ISNUMBER(SEARCH("PASS",K26&amp;" "&amp;Q26))),"Done","Pending"))))</f>
        <v>Done</v>
      </c>
      <c r="V26" s="146">
        <f>IF(T26="","",VALUE(LEFT(T26,SEARCH("/",T26)-1)))</f>
        <v/>
      </c>
      <c r="W26" s="146">
        <f>IF(T26="","",VALUE(MID(T26,SEARCH("/",T26)+1,LEN(T26))))</f>
        <v/>
      </c>
    </row>
    <row r="27" customFormat="false" ht="15" hidden="false" customHeight="false" outlineLevel="0" collapsed="false">
      <c r="A27" s="135" t="s">
        <v>171</v>
      </c>
      <c r="B27" s="135" t="s">
        <v>172</v>
      </c>
      <c r="C27" s="252" t="s">
        <v>29</v>
      </c>
      <c r="D27" s="135" t="s">
        <v>173</v>
      </c>
      <c r="E27" s="135" t="s">
        <v>174</v>
      </c>
      <c r="F27" s="135" t="s">
        <v>4</v>
      </c>
      <c r="G27" s="135" t="s">
        <v>4</v>
      </c>
      <c r="H27" s="135" t="s">
        <v>4</v>
      </c>
      <c r="I27" s="135" t="s">
        <v>4</v>
      </c>
      <c r="J27" s="135" t="s">
        <v>175</v>
      </c>
      <c r="K27" s="135" t="s">
        <v>168</v>
      </c>
      <c r="L27" s="135" t="s">
        <v>1</v>
      </c>
      <c r="M27" s="135" t="s">
        <v>1</v>
      </c>
      <c r="N27" s="135" t="s">
        <v>169</v>
      </c>
      <c r="O27" s="135" t="s">
        <v>91</v>
      </c>
      <c r="P27" s="135" t="s">
        <v>92</v>
      </c>
      <c r="Q27" s="135" t="s">
        <v>89</v>
      </c>
      <c r="R27" s="135" t="s">
        <v>176</v>
      </c>
      <c r="S27" s="135" t="s">
        <v>177</v>
      </c>
      <c r="T27" s="135" t="s">
        <v>1</v>
      </c>
      <c r="U27" s="146" t="str">
        <f>IF(OR(ISNUMBER(SEARCH("FAIL",K27&amp;" "&amp;Q27)),ISNUMBER(SEARCH("CLEAN RETEST REQUIRED",K27&amp;" "&amp;Q27))),"Failed",IF(OR(ISNUMBER(SEARCH("NOT RUN",K27&amp;" "&amp;Q27)),ISNUMBER(SEARCH("NOT IMPLEMENTED",K27&amp;" "&amp;Q27))),"Not started",IF(OR(ISNUMBER(SEARCH("PARTIAL",K27&amp;" "&amp;Q27)),ISNUMBER(SEARCH("PENDING",K27&amp;" "&amp;Q27)),ISNUMBER(SEARCH("IN PROGRESS",K27&amp;" "&amp;Q27)),ISNUMBER(SEARCH("OPEN",K27&amp;" "&amp;Q27)),ISNUMBER(SEARCH("RETEST REQUIRED",K27&amp;" "&amp;Q27)),ISNUMBER(SEARCH("IMPLEMENTATION UPDATED",K27&amp;" "&amp;Q27)),ISNUMBER(SEARCH("REQUIRED EVERY SESSION",K27&amp;" "&amp;Q27))),"Pending",IF(OR(Q27="PASS",ISNUMBER(SEARCH("PASS",K27&amp;" "&amp;Q27))),"Done","Pending"))))</f>
        <v>Done</v>
      </c>
      <c r="V27" s="146">
        <f>IF(T27="","",VALUE(LEFT(T27,SEARCH("/",T27)-1)))</f>
        <v/>
      </c>
      <c r="W27" s="146">
        <f>IF(T27="","",VALUE(MID(T27,SEARCH("/",T27)+1,LEN(T27))))</f>
        <v/>
      </c>
    </row>
    <row r="28" customFormat="false" ht="15" hidden="false" customHeight="false" outlineLevel="0" collapsed="false">
      <c r="A28" s="135" t="s">
        <v>178</v>
      </c>
      <c r="B28" s="135" t="s">
        <v>179</v>
      </c>
      <c r="C28" s="253" t="s">
        <v>35</v>
      </c>
      <c r="D28" s="135" t="s">
        <v>180</v>
      </c>
      <c r="E28" s="135" t="s">
        <v>181</v>
      </c>
      <c r="F28" s="135" t="s">
        <v>182</v>
      </c>
      <c r="G28" s="135" t="s">
        <v>183</v>
      </c>
      <c r="H28" s="135" t="s">
        <v>184</v>
      </c>
      <c r="I28" s="135" t="s">
        <v>4</v>
      </c>
      <c r="J28" s="135" t="s">
        <v>87</v>
      </c>
      <c r="K28" s="135" t="s">
        <v>185</v>
      </c>
      <c r="L28" s="135" t="s">
        <v>1</v>
      </c>
      <c r="M28" s="135" t="s">
        <v>1</v>
      </c>
      <c r="N28" s="135" t="s">
        <v>186</v>
      </c>
      <c r="O28" s="135" t="s">
        <v>91</v>
      </c>
      <c r="P28" s="135" t="s">
        <v>92</v>
      </c>
      <c r="Q28" s="135" t="s">
        <v>89</v>
      </c>
      <c r="R28" s="135" t="s">
        <v>187</v>
      </c>
      <c r="S28" s="135" t="s">
        <v>188</v>
      </c>
      <c r="T28" s="135" t="s">
        <v>1</v>
      </c>
      <c r="U28" s="146" t="str">
        <f>IF(OR(ISNUMBER(SEARCH("FAIL",K28&amp;" "&amp;Q28)),ISNUMBER(SEARCH("CLEAN RETEST REQUIRED",K28&amp;" "&amp;Q28))),"Failed",IF(OR(ISNUMBER(SEARCH("NOT RUN",K28&amp;" "&amp;Q28)),ISNUMBER(SEARCH("NOT IMPLEMENTED",K28&amp;" "&amp;Q28))),"Not started",IF(OR(ISNUMBER(SEARCH("PARTIAL",K28&amp;" "&amp;Q28)),ISNUMBER(SEARCH("PENDING",K28&amp;" "&amp;Q28)),ISNUMBER(SEARCH("IN PROGRESS",K28&amp;" "&amp;Q28)),ISNUMBER(SEARCH("OPEN",K28&amp;" "&amp;Q28)),ISNUMBER(SEARCH("RETEST REQUIRED",K28&amp;" "&amp;Q28)),ISNUMBER(SEARCH("IMPLEMENTATION UPDATED",K28&amp;" "&amp;Q28)),ISNUMBER(SEARCH("REQUIRED EVERY SESSION",K28&amp;" "&amp;Q28))),"Pending",IF(OR(Q28="PASS",ISNUMBER(SEARCH("PASS",K28&amp;" "&amp;Q28))),"Done","Pending"))))</f>
        <v>Done</v>
      </c>
      <c r="V28" s="146">
        <f>IF(T28="","",VALUE(LEFT(T28,SEARCH("/",T28)-1)))</f>
        <v/>
      </c>
      <c r="W28" s="146">
        <f>IF(T28="","",VALUE(MID(T28,SEARCH("/",T28)+1,LEN(T28))))</f>
        <v/>
      </c>
    </row>
    <row r="29" customFormat="false" ht="15" hidden="false" customHeight="false" outlineLevel="0" collapsed="false">
      <c r="A29" s="135" t="s">
        <v>189</v>
      </c>
      <c r="B29" s="135" t="s">
        <v>179</v>
      </c>
      <c r="C29" s="253" t="s">
        <v>35</v>
      </c>
      <c r="D29" s="135" t="s">
        <v>190</v>
      </c>
      <c r="E29" s="135" t="s">
        <v>191</v>
      </c>
      <c r="F29" s="135" t="s">
        <v>4</v>
      </c>
      <c r="G29" s="135" t="s">
        <v>192</v>
      </c>
      <c r="H29" s="135" t="s">
        <v>4</v>
      </c>
      <c r="I29" s="135" t="s">
        <v>4</v>
      </c>
      <c r="J29" s="135" t="s">
        <v>193</v>
      </c>
      <c r="K29" s="135" t="s">
        <v>185</v>
      </c>
      <c r="L29" s="135" t="s">
        <v>1</v>
      </c>
      <c r="M29" s="135" t="s">
        <v>1</v>
      </c>
      <c r="N29" s="135" t="s">
        <v>186</v>
      </c>
      <c r="O29" s="135" t="s">
        <v>91</v>
      </c>
      <c r="P29" s="135" t="s">
        <v>92</v>
      </c>
      <c r="Q29" s="135" t="s">
        <v>89</v>
      </c>
      <c r="R29" s="135" t="s">
        <v>194</v>
      </c>
      <c r="S29" s="135" t="s">
        <v>94</v>
      </c>
      <c r="T29" s="135" t="s">
        <v>1</v>
      </c>
      <c r="U29" s="146" t="str">
        <f>IF(OR(ISNUMBER(SEARCH("FAIL",K29&amp;" "&amp;Q29)),ISNUMBER(SEARCH("CLEAN RETEST REQUIRED",K29&amp;" "&amp;Q29))),"Failed",IF(OR(ISNUMBER(SEARCH("NOT RUN",K29&amp;" "&amp;Q29)),ISNUMBER(SEARCH("NOT IMPLEMENTED",K29&amp;" "&amp;Q29))),"Not started",IF(OR(ISNUMBER(SEARCH("PARTIAL",K29&amp;" "&amp;Q29)),ISNUMBER(SEARCH("PENDING",K29&amp;" "&amp;Q29)),ISNUMBER(SEARCH("IN PROGRESS",K29&amp;" "&amp;Q29)),ISNUMBER(SEARCH("OPEN",K29&amp;" "&amp;Q29)),ISNUMBER(SEARCH("RETEST REQUIRED",K29&amp;" "&amp;Q29)),ISNUMBER(SEARCH("IMPLEMENTATION UPDATED",K29&amp;" "&amp;Q29)),ISNUMBER(SEARCH("REQUIRED EVERY SESSION",K29&amp;" "&amp;Q29))),"Pending",IF(OR(Q29="PASS",ISNUMBER(SEARCH("PASS",K29&amp;" "&amp;Q29))),"Done","Pending"))))</f>
        <v>Done</v>
      </c>
      <c r="V29" s="146">
        <f>IF(T29="","",VALUE(LEFT(T29,SEARCH("/",T29)-1)))</f>
        <v/>
      </c>
      <c r="W29" s="146">
        <f>IF(T29="","",VALUE(MID(T29,SEARCH("/",T29)+1,LEN(T29))))</f>
        <v/>
      </c>
    </row>
    <row r="30" customFormat="false" ht="15" hidden="false" customHeight="false" outlineLevel="0" collapsed="false">
      <c r="A30" s="135" t="s">
        <v>195</v>
      </c>
      <c r="B30" s="135" t="s">
        <v>179</v>
      </c>
      <c r="C30" s="253" t="s">
        <v>35</v>
      </c>
      <c r="D30" s="135" t="s">
        <v>190</v>
      </c>
      <c r="E30" s="135" t="s">
        <v>196</v>
      </c>
      <c r="F30" s="135" t="s">
        <v>4</v>
      </c>
      <c r="G30" s="135" t="s">
        <v>197</v>
      </c>
      <c r="H30" s="135" t="s">
        <v>4</v>
      </c>
      <c r="I30" s="135" t="s">
        <v>4</v>
      </c>
      <c r="J30" s="135" t="s">
        <v>198</v>
      </c>
      <c r="K30" s="135" t="s">
        <v>185</v>
      </c>
      <c r="L30" s="135" t="s">
        <v>1</v>
      </c>
      <c r="M30" s="135" t="s">
        <v>1</v>
      </c>
      <c r="N30" s="135" t="s">
        <v>186</v>
      </c>
      <c r="O30" s="135" t="s">
        <v>91</v>
      </c>
      <c r="P30" s="135" t="s">
        <v>92</v>
      </c>
      <c r="Q30" s="135" t="s">
        <v>89</v>
      </c>
      <c r="R30" s="135" t="s">
        <v>199</v>
      </c>
      <c r="S30" s="135" t="s">
        <v>94</v>
      </c>
      <c r="T30" s="135" t="s">
        <v>1</v>
      </c>
      <c r="U30" s="146" t="str">
        <f>IF(OR(ISNUMBER(SEARCH("FAIL",K30&amp;" "&amp;Q30)),ISNUMBER(SEARCH("CLEAN RETEST REQUIRED",K30&amp;" "&amp;Q30))),"Failed",IF(OR(ISNUMBER(SEARCH("NOT RUN",K30&amp;" "&amp;Q30)),ISNUMBER(SEARCH("NOT IMPLEMENTED",K30&amp;" "&amp;Q30))),"Not started",IF(OR(ISNUMBER(SEARCH("PARTIAL",K30&amp;" "&amp;Q30)),ISNUMBER(SEARCH("PENDING",K30&amp;" "&amp;Q30)),ISNUMBER(SEARCH("IN PROGRESS",K30&amp;" "&amp;Q30)),ISNUMBER(SEARCH("OPEN",K30&amp;" "&amp;Q30)),ISNUMBER(SEARCH("RETEST REQUIRED",K30&amp;" "&amp;Q30)),ISNUMBER(SEARCH("IMPLEMENTATION UPDATED",K30&amp;" "&amp;Q30)),ISNUMBER(SEARCH("REQUIRED EVERY SESSION",K30&amp;" "&amp;Q30))),"Pending",IF(OR(Q30="PASS",ISNUMBER(SEARCH("PASS",K30&amp;" "&amp;Q30))),"Done","Pending"))))</f>
        <v>Done</v>
      </c>
      <c r="V30" s="146">
        <f>IF(T30="","",VALUE(LEFT(T30,SEARCH("/",T30)-1)))</f>
        <v/>
      </c>
      <c r="W30" s="146">
        <f>IF(T30="","",VALUE(MID(T30,SEARCH("/",T30)+1,LEN(T30))))</f>
        <v/>
      </c>
    </row>
    <row r="31" customFormat="false" ht="15" hidden="false" customHeight="false" outlineLevel="0" collapsed="false">
      <c r="A31" s="135" t="s">
        <v>200</v>
      </c>
      <c r="B31" s="135" t="s">
        <v>179</v>
      </c>
      <c r="C31" s="253" t="s">
        <v>35</v>
      </c>
      <c r="D31" s="135" t="s">
        <v>190</v>
      </c>
      <c r="E31" s="135" t="s">
        <v>201</v>
      </c>
      <c r="F31" s="135" t="s">
        <v>4</v>
      </c>
      <c r="G31" s="135" t="s">
        <v>202</v>
      </c>
      <c r="H31" s="135" t="s">
        <v>4</v>
      </c>
      <c r="I31" s="135" t="s">
        <v>4</v>
      </c>
      <c r="J31" s="135" t="s">
        <v>203</v>
      </c>
      <c r="K31" s="135" t="s">
        <v>168</v>
      </c>
      <c r="L31" s="135" t="s">
        <v>1</v>
      </c>
      <c r="M31" s="135" t="s">
        <v>1</v>
      </c>
      <c r="N31" s="135" t="s">
        <v>186</v>
      </c>
      <c r="O31" s="135" t="s">
        <v>91</v>
      </c>
      <c r="P31" s="135" t="s">
        <v>92</v>
      </c>
      <c r="Q31" s="135" t="s">
        <v>89</v>
      </c>
      <c r="R31" s="135" t="s">
        <v>204</v>
      </c>
      <c r="S31" s="135" t="s">
        <v>94</v>
      </c>
      <c r="T31" s="135" t="s">
        <v>1</v>
      </c>
      <c r="U31" s="146" t="str">
        <f>IF(OR(ISNUMBER(SEARCH("FAIL",K31&amp;" "&amp;Q31)),ISNUMBER(SEARCH("CLEAN RETEST REQUIRED",K31&amp;" "&amp;Q31))),"Failed",IF(OR(ISNUMBER(SEARCH("NOT RUN",K31&amp;" "&amp;Q31)),ISNUMBER(SEARCH("NOT IMPLEMENTED",K31&amp;" "&amp;Q31))),"Not started",IF(OR(ISNUMBER(SEARCH("PARTIAL",K31&amp;" "&amp;Q31)),ISNUMBER(SEARCH("PENDING",K31&amp;" "&amp;Q31)),ISNUMBER(SEARCH("IN PROGRESS",K31&amp;" "&amp;Q31)),ISNUMBER(SEARCH("OPEN",K31&amp;" "&amp;Q31)),ISNUMBER(SEARCH("RETEST REQUIRED",K31&amp;" "&amp;Q31)),ISNUMBER(SEARCH("IMPLEMENTATION UPDATED",K31&amp;" "&amp;Q31)),ISNUMBER(SEARCH("REQUIRED EVERY SESSION",K31&amp;" "&amp;Q31))),"Pending",IF(OR(Q31="PASS",ISNUMBER(SEARCH("PASS",K31&amp;" "&amp;Q31))),"Done","Pending"))))</f>
        <v>Done</v>
      </c>
      <c r="V31" s="146">
        <f>IF(T31="","",VALUE(LEFT(T31,SEARCH("/",T31)-1)))</f>
        <v/>
      </c>
      <c r="W31" s="146">
        <f>IF(T31="","",VALUE(MID(T31,SEARCH("/",T31)+1,LEN(T31))))</f>
        <v/>
      </c>
    </row>
    <row r="32" customFormat="false" ht="15" hidden="false" customHeight="false" outlineLevel="0" collapsed="false">
      <c r="A32" s="135" t="s">
        <v>205</v>
      </c>
      <c r="B32" s="135" t="s">
        <v>206</v>
      </c>
      <c r="C32" s="253" t="s">
        <v>35</v>
      </c>
      <c r="D32" s="135" t="s">
        <v>207</v>
      </c>
      <c r="E32" s="135" t="s">
        <v>208</v>
      </c>
      <c r="F32" s="135" t="s">
        <v>209</v>
      </c>
      <c r="G32" s="135" t="s">
        <v>107</v>
      </c>
      <c r="H32" s="135" t="s">
        <v>4</v>
      </c>
      <c r="I32" s="135" t="s">
        <v>4</v>
      </c>
      <c r="J32" s="135" t="s">
        <v>87</v>
      </c>
      <c r="K32" s="135" t="s">
        <v>168</v>
      </c>
      <c r="L32" s="135" t="s">
        <v>1</v>
      </c>
      <c r="M32" s="135" t="s">
        <v>1</v>
      </c>
      <c r="N32" s="135" t="s">
        <v>210</v>
      </c>
      <c r="O32" s="135" t="s">
        <v>91</v>
      </c>
      <c r="P32" s="135" t="s">
        <v>92</v>
      </c>
      <c r="Q32" s="135" t="s">
        <v>89</v>
      </c>
      <c r="R32" s="135" t="s">
        <v>211</v>
      </c>
      <c r="S32" s="135" t="s">
        <v>94</v>
      </c>
      <c r="T32" s="135" t="s">
        <v>1</v>
      </c>
      <c r="U32" s="146" t="str">
        <f>IF(OR(ISNUMBER(SEARCH("FAIL",K32&amp;" "&amp;Q32)),ISNUMBER(SEARCH("CLEAN RETEST REQUIRED",K32&amp;" "&amp;Q32))),"Failed",IF(OR(ISNUMBER(SEARCH("NOT RUN",K32&amp;" "&amp;Q32)),ISNUMBER(SEARCH("NOT IMPLEMENTED",K32&amp;" "&amp;Q32))),"Not started",IF(OR(ISNUMBER(SEARCH("PARTIAL",K32&amp;" "&amp;Q32)),ISNUMBER(SEARCH("PENDING",K32&amp;" "&amp;Q32)),ISNUMBER(SEARCH("IN PROGRESS",K32&amp;" "&amp;Q32)),ISNUMBER(SEARCH("OPEN",K32&amp;" "&amp;Q32)),ISNUMBER(SEARCH("RETEST REQUIRED",K32&amp;" "&amp;Q32)),ISNUMBER(SEARCH("IMPLEMENTATION UPDATED",K32&amp;" "&amp;Q32)),ISNUMBER(SEARCH("REQUIRED EVERY SESSION",K32&amp;" "&amp;Q32))),"Pending",IF(OR(Q32="PASS",ISNUMBER(SEARCH("PASS",K32&amp;" "&amp;Q32))),"Done","Pending"))))</f>
        <v>Done</v>
      </c>
      <c r="V32" s="146">
        <f>IF(T32="","",VALUE(LEFT(T32,SEARCH("/",T32)-1)))</f>
        <v/>
      </c>
      <c r="W32" s="146">
        <f>IF(T32="","",VALUE(MID(T32,SEARCH("/",T32)+1,LEN(T32))))</f>
        <v/>
      </c>
    </row>
    <row r="33" customFormat="false" ht="15" hidden="false" customHeight="false" outlineLevel="0" collapsed="false">
      <c r="A33" s="135" t="s">
        <v>212</v>
      </c>
      <c r="B33" s="135" t="s">
        <v>206</v>
      </c>
      <c r="C33" s="253" t="s">
        <v>35</v>
      </c>
      <c r="D33" s="135" t="s">
        <v>213</v>
      </c>
      <c r="E33" s="135" t="s">
        <v>214</v>
      </c>
      <c r="F33" s="135" t="s">
        <v>4</v>
      </c>
      <c r="G33" s="135" t="s">
        <v>215</v>
      </c>
      <c r="H33" s="135" t="s">
        <v>4</v>
      </c>
      <c r="I33" s="135" t="s">
        <v>4</v>
      </c>
      <c r="J33" s="135" t="s">
        <v>87</v>
      </c>
      <c r="K33" s="135" t="s">
        <v>168</v>
      </c>
      <c r="L33" s="135" t="s">
        <v>1</v>
      </c>
      <c r="M33" s="135" t="s">
        <v>1</v>
      </c>
      <c r="N33" s="135" t="s">
        <v>216</v>
      </c>
      <c r="O33" s="135" t="s">
        <v>91</v>
      </c>
      <c r="P33" s="135" t="s">
        <v>92</v>
      </c>
      <c r="Q33" s="135" t="s">
        <v>89</v>
      </c>
      <c r="R33" s="135" t="s">
        <v>217</v>
      </c>
      <c r="S33" s="135" t="s">
        <v>94</v>
      </c>
      <c r="T33" s="135" t="s">
        <v>1</v>
      </c>
      <c r="U33" s="146" t="str">
        <f>IF(OR(ISNUMBER(SEARCH("FAIL",K33&amp;" "&amp;Q33)),ISNUMBER(SEARCH("CLEAN RETEST REQUIRED",K33&amp;" "&amp;Q33))),"Failed",IF(OR(ISNUMBER(SEARCH("NOT RUN",K33&amp;" "&amp;Q33)),ISNUMBER(SEARCH("NOT IMPLEMENTED",K33&amp;" "&amp;Q33))),"Not started",IF(OR(ISNUMBER(SEARCH("PARTIAL",K33&amp;" "&amp;Q33)),ISNUMBER(SEARCH("PENDING",K33&amp;" "&amp;Q33)),ISNUMBER(SEARCH("IN PROGRESS",K33&amp;" "&amp;Q33)),ISNUMBER(SEARCH("OPEN",K33&amp;" "&amp;Q33)),ISNUMBER(SEARCH("RETEST REQUIRED",K33&amp;" "&amp;Q33)),ISNUMBER(SEARCH("IMPLEMENTATION UPDATED",K33&amp;" "&amp;Q33)),ISNUMBER(SEARCH("REQUIRED EVERY SESSION",K33&amp;" "&amp;Q33))),"Pending",IF(OR(Q33="PASS",ISNUMBER(SEARCH("PASS",K33&amp;" "&amp;Q33))),"Done","Pending"))))</f>
        <v>Done</v>
      </c>
      <c r="V33" s="146">
        <f>IF(T33="","",VALUE(LEFT(T33,SEARCH("/",T33)-1)))</f>
        <v/>
      </c>
      <c r="W33" s="146">
        <f>IF(T33="","",VALUE(MID(T33,SEARCH("/",T33)+1,LEN(T33))))</f>
        <v/>
      </c>
    </row>
    <row r="34" customFormat="false" ht="15" hidden="false" customHeight="false" outlineLevel="0" collapsed="false">
      <c r="A34" s="135" t="s">
        <v>218</v>
      </c>
      <c r="B34" s="135" t="s">
        <v>219</v>
      </c>
      <c r="C34" s="253" t="s">
        <v>35</v>
      </c>
      <c r="D34" s="135" t="s">
        <v>220</v>
      </c>
      <c r="E34" s="135" t="s">
        <v>221</v>
      </c>
      <c r="F34" s="135" t="s">
        <v>222</v>
      </c>
      <c r="G34" s="135" t="s">
        <v>107</v>
      </c>
      <c r="H34" s="135" t="s">
        <v>4</v>
      </c>
      <c r="I34" s="135" t="s">
        <v>223</v>
      </c>
      <c r="J34" s="135" t="s">
        <v>87</v>
      </c>
      <c r="K34" s="135" t="s">
        <v>224</v>
      </c>
      <c r="L34" s="135" t="s">
        <v>1</v>
      </c>
      <c r="M34" s="135" t="s">
        <v>1</v>
      </c>
      <c r="N34" s="135" t="s">
        <v>225</v>
      </c>
      <c r="O34" s="135" t="s">
        <v>91</v>
      </c>
      <c r="P34" s="135" t="s">
        <v>92</v>
      </c>
      <c r="Q34" s="135" t="s">
        <v>89</v>
      </c>
      <c r="R34" s="135" t="s">
        <v>226</v>
      </c>
      <c r="S34" s="135" t="s">
        <v>227</v>
      </c>
      <c r="T34" s="135" t="s">
        <v>1</v>
      </c>
      <c r="U34" s="146" t="str">
        <f>IF(OR(ISNUMBER(SEARCH("FAIL",K34&amp;" "&amp;Q34)),ISNUMBER(SEARCH("CLEAN RETEST REQUIRED",K34&amp;" "&amp;Q34))),"Failed",IF(OR(ISNUMBER(SEARCH("NOT RUN",K34&amp;" "&amp;Q34)),ISNUMBER(SEARCH("NOT IMPLEMENTED",K34&amp;" "&amp;Q34))),"Not started",IF(OR(ISNUMBER(SEARCH("PARTIAL",K34&amp;" "&amp;Q34)),ISNUMBER(SEARCH("PENDING",K34&amp;" "&amp;Q34)),ISNUMBER(SEARCH("IN PROGRESS",K34&amp;" "&amp;Q34)),ISNUMBER(SEARCH("OPEN",K34&amp;" "&amp;Q34)),ISNUMBER(SEARCH("RETEST REQUIRED",K34&amp;" "&amp;Q34)),ISNUMBER(SEARCH("IMPLEMENTATION UPDATED",K34&amp;" "&amp;Q34)),ISNUMBER(SEARCH("REQUIRED EVERY SESSION",K34&amp;" "&amp;Q34))),"Pending",IF(OR(Q34="PASS",ISNUMBER(SEARCH("PASS",K34&amp;" "&amp;Q34))),"Done","Pending"))))</f>
        <v>Done</v>
      </c>
      <c r="V34" s="146">
        <f>IF(T34="","",VALUE(LEFT(T34,SEARCH("/",T34)-1)))</f>
        <v/>
      </c>
      <c r="W34" s="146">
        <f>IF(T34="","",VALUE(MID(T34,SEARCH("/",T34)+1,LEN(T34))))</f>
        <v/>
      </c>
    </row>
    <row r="35" customFormat="false" ht="15" hidden="false" customHeight="false" outlineLevel="0" collapsed="false">
      <c r="A35" s="135" t="s">
        <v>228</v>
      </c>
      <c r="B35" s="135" t="s">
        <v>229</v>
      </c>
      <c r="C35" s="253" t="s">
        <v>35</v>
      </c>
      <c r="D35" s="135" t="s">
        <v>230</v>
      </c>
      <c r="E35" s="135" t="s">
        <v>231</v>
      </c>
      <c r="F35" s="135" t="s">
        <v>232</v>
      </c>
      <c r="G35" s="135" t="s">
        <v>233</v>
      </c>
      <c r="H35" s="135" t="s">
        <v>234</v>
      </c>
      <c r="I35" s="135" t="s">
        <v>8</v>
      </c>
      <c r="J35" s="135" t="s">
        <v>235</v>
      </c>
      <c r="K35" s="135" t="s">
        <v>224</v>
      </c>
      <c r="L35" s="135" t="s">
        <v>1</v>
      </c>
      <c r="M35" s="135" t="s">
        <v>1</v>
      </c>
      <c r="N35" s="135" t="s">
        <v>225</v>
      </c>
      <c r="O35" s="135" t="s">
        <v>91</v>
      </c>
      <c r="P35" s="135" t="s">
        <v>92</v>
      </c>
      <c r="Q35" s="135" t="s">
        <v>89</v>
      </c>
      <c r="R35" s="135" t="s">
        <v>236</v>
      </c>
      <c r="S35" s="135" t="s">
        <v>188</v>
      </c>
      <c r="T35" s="135" t="s">
        <v>1</v>
      </c>
      <c r="U35" s="146" t="str">
        <f>IF(OR(ISNUMBER(SEARCH("FAIL",K35&amp;" "&amp;Q35)),ISNUMBER(SEARCH("CLEAN RETEST REQUIRED",K35&amp;" "&amp;Q35))),"Failed",IF(OR(ISNUMBER(SEARCH("NOT RUN",K35&amp;" "&amp;Q35)),ISNUMBER(SEARCH("NOT IMPLEMENTED",K35&amp;" "&amp;Q35))),"Not started",IF(OR(ISNUMBER(SEARCH("PARTIAL",K35&amp;" "&amp;Q35)),ISNUMBER(SEARCH("PENDING",K35&amp;" "&amp;Q35)),ISNUMBER(SEARCH("IN PROGRESS",K35&amp;" "&amp;Q35)),ISNUMBER(SEARCH("OPEN",K35&amp;" "&amp;Q35)),ISNUMBER(SEARCH("RETEST REQUIRED",K35&amp;" "&amp;Q35)),ISNUMBER(SEARCH("IMPLEMENTATION UPDATED",K35&amp;" "&amp;Q35)),ISNUMBER(SEARCH("REQUIRED EVERY SESSION",K35&amp;" "&amp;Q35))),"Pending",IF(OR(Q35="PASS",ISNUMBER(SEARCH("PASS",K35&amp;" "&amp;Q35))),"Done","Pending"))))</f>
        <v>Done</v>
      </c>
      <c r="V35" s="146">
        <f>IF(T35="","",VALUE(LEFT(T35,SEARCH("/",T35)-1)))</f>
        <v/>
      </c>
      <c r="W35" s="146">
        <f>IF(T35="","",VALUE(MID(T35,SEARCH("/",T35)+1,LEN(T35))))</f>
        <v/>
      </c>
    </row>
    <row r="36" customFormat="false" ht="15" hidden="false" customHeight="false" outlineLevel="0" collapsed="false">
      <c r="A36" s="135" t="s">
        <v>237</v>
      </c>
      <c r="B36" s="135" t="s">
        <v>238</v>
      </c>
      <c r="C36" s="253" t="s">
        <v>35</v>
      </c>
      <c r="D36" s="135" t="s">
        <v>239</v>
      </c>
      <c r="E36" s="135" t="s">
        <v>240</v>
      </c>
      <c r="F36" s="135" t="s">
        <v>4</v>
      </c>
      <c r="G36" s="135" t="s">
        <v>241</v>
      </c>
      <c r="H36" s="135" t="s">
        <v>4</v>
      </c>
      <c r="I36" s="135" t="s">
        <v>4</v>
      </c>
      <c r="J36" s="135" t="s">
        <v>242</v>
      </c>
      <c r="K36" s="135" t="s">
        <v>243</v>
      </c>
      <c r="L36" s="135" t="s">
        <v>100</v>
      </c>
      <c r="M36" s="135" t="s">
        <v>244</v>
      </c>
      <c r="N36" s="135" t="s">
        <v>129</v>
      </c>
      <c r="O36" s="135" t="s">
        <v>91</v>
      </c>
      <c r="P36" s="135" t="s">
        <v>92</v>
      </c>
      <c r="Q36" s="135" t="s">
        <v>89</v>
      </c>
      <c r="R36" s="135" t="s">
        <v>245</v>
      </c>
      <c r="S36" s="135" t="s">
        <v>246</v>
      </c>
      <c r="T36" s="135" t="s">
        <v>1</v>
      </c>
      <c r="U36" s="146" t="str">
        <f>IF(OR(ISNUMBER(SEARCH("FAIL",K36&amp;" "&amp;Q36)),ISNUMBER(SEARCH("CLEAN RETEST REQUIRED",K36&amp;" "&amp;Q36))),"Failed",IF(OR(ISNUMBER(SEARCH("NOT RUN",K36&amp;" "&amp;Q36)),ISNUMBER(SEARCH("NOT IMPLEMENTED",K36&amp;" "&amp;Q36))),"Not started",IF(OR(ISNUMBER(SEARCH("PARTIAL",K36&amp;" "&amp;Q36)),ISNUMBER(SEARCH("PENDING",K36&amp;" "&amp;Q36)),ISNUMBER(SEARCH("IN PROGRESS",K36&amp;" "&amp;Q36)),ISNUMBER(SEARCH("OPEN",K36&amp;" "&amp;Q36)),ISNUMBER(SEARCH("RETEST REQUIRED",K36&amp;" "&amp;Q36)),ISNUMBER(SEARCH("IMPLEMENTATION UPDATED",K36&amp;" "&amp;Q36)),ISNUMBER(SEARCH("REQUIRED EVERY SESSION",K36&amp;" "&amp;Q36))),"Pending",IF(OR(Q36="PASS",ISNUMBER(SEARCH("PASS",K36&amp;" "&amp;Q36))),"Done","Pending"))))</f>
        <v>Done</v>
      </c>
      <c r="V36" s="146">
        <f>IF(T36="","",VALUE(LEFT(T36,SEARCH("/",T36)-1)))</f>
        <v/>
      </c>
      <c r="W36" s="146">
        <f>IF(T36="","",VALUE(MID(T36,SEARCH("/",T36)+1,LEN(T36))))</f>
        <v/>
      </c>
    </row>
    <row r="37" customFormat="false" ht="15" hidden="false" customHeight="false" outlineLevel="0" collapsed="false">
      <c r="A37" s="135" t="s">
        <v>247</v>
      </c>
      <c r="B37" s="135" t="s">
        <v>133</v>
      </c>
      <c r="C37" s="253" t="s">
        <v>35</v>
      </c>
      <c r="D37" s="135" t="s">
        <v>248</v>
      </c>
      <c r="E37" s="135" t="s">
        <v>249</v>
      </c>
      <c r="F37" s="135" t="s">
        <v>1</v>
      </c>
      <c r="G37" s="135" t="s">
        <v>1</v>
      </c>
      <c r="H37" s="135" t="s">
        <v>1</v>
      </c>
      <c r="I37" s="135" t="s">
        <v>1</v>
      </c>
      <c r="J37" s="135" t="s">
        <v>1</v>
      </c>
      <c r="K37" s="135" t="s">
        <v>136</v>
      </c>
      <c r="L37" s="135" t="s">
        <v>137</v>
      </c>
      <c r="M37" s="135" t="s">
        <v>100</v>
      </c>
      <c r="N37" s="135" t="s">
        <v>138</v>
      </c>
      <c r="O37" s="135" t="s">
        <v>91</v>
      </c>
      <c r="P37" s="135" t="s">
        <v>139</v>
      </c>
      <c r="Q37" s="135" t="s">
        <v>89</v>
      </c>
      <c r="R37" s="135" t="s">
        <v>250</v>
      </c>
      <c r="S37" s="135" t="s">
        <v>141</v>
      </c>
      <c r="T37" s="135" t="s">
        <v>1</v>
      </c>
      <c r="U37" s="146" t="str">
        <f>IF(OR(ISNUMBER(SEARCH("FAIL",K37&amp;" "&amp;Q37)),ISNUMBER(SEARCH("CLEAN RETEST REQUIRED",K37&amp;" "&amp;Q37))),"Failed",IF(OR(ISNUMBER(SEARCH("NOT RUN",K37&amp;" "&amp;Q37)),ISNUMBER(SEARCH("NOT IMPLEMENTED",K37&amp;" "&amp;Q37))),"Not started",IF(OR(ISNUMBER(SEARCH("PARTIAL",K37&amp;" "&amp;Q37)),ISNUMBER(SEARCH("PENDING",K37&amp;" "&amp;Q37)),ISNUMBER(SEARCH("IN PROGRESS",K37&amp;" "&amp;Q37)),ISNUMBER(SEARCH("OPEN",K37&amp;" "&amp;Q37)),ISNUMBER(SEARCH("RETEST REQUIRED",K37&amp;" "&amp;Q37)),ISNUMBER(SEARCH("IMPLEMENTATION UPDATED",K37&amp;" "&amp;Q37)),ISNUMBER(SEARCH("REQUIRED EVERY SESSION",K37&amp;" "&amp;Q37))),"Pending",IF(OR(Q37="PASS",ISNUMBER(SEARCH("PASS",K37&amp;" "&amp;Q37))),"Done","Pending"))))</f>
        <v>Done</v>
      </c>
      <c r="V37" s="146">
        <f>IF(T37="","",VALUE(LEFT(T37,SEARCH("/",T37)-1)))</f>
        <v/>
      </c>
      <c r="W37" s="146">
        <f>IF(T37="","",VALUE(MID(T37,SEARCH("/",T37)+1,LEN(T37))))</f>
        <v/>
      </c>
    </row>
    <row r="38" customFormat="false" ht="15" hidden="false" customHeight="false" outlineLevel="0" collapsed="false">
      <c r="A38" s="136" t="s">
        <v>251</v>
      </c>
      <c r="B38" s="136" t="s">
        <v>143</v>
      </c>
      <c r="C38" s="253" t="s">
        <v>35</v>
      </c>
      <c r="D38" s="136" t="s">
        <v>252</v>
      </c>
      <c r="E38" s="136" t="s">
        <v>253</v>
      </c>
      <c r="F38" s="136" t="s">
        <v>4</v>
      </c>
      <c r="G38" s="136" t="s">
        <v>254</v>
      </c>
      <c r="H38" s="136" t="s">
        <v>4</v>
      </c>
      <c r="I38" s="136" t="s">
        <v>255</v>
      </c>
      <c r="J38" s="136" t="s">
        <v>256</v>
      </c>
      <c r="K38" s="136" t="s">
        <v>257</v>
      </c>
      <c r="L38" s="136" t="s">
        <v>258</v>
      </c>
      <c r="M38" s="136" t="s">
        <v>259</v>
      </c>
      <c r="N38" s="136" t="s">
        <v>138</v>
      </c>
      <c r="O38" s="136" t="s">
        <v>260</v>
      </c>
      <c r="P38" s="136" t="s">
        <v>261</v>
      </c>
      <c r="Q38" s="136" t="s">
        <v>258</v>
      </c>
      <c r="R38" s="136" t="s">
        <v>262</v>
      </c>
      <c r="S38" s="136" t="s">
        <v>94</v>
      </c>
      <c r="T38" s="136" t="s">
        <v>263</v>
      </c>
      <c r="U38" s="146" t="str">
        <f>IF(OR(ISNUMBER(SEARCH("FAIL",K38&amp;" "&amp;Q38)),ISNUMBER(SEARCH("CLEAN RETEST REQUIRED",K38&amp;" "&amp;Q38))),"Failed",IF(OR(ISNUMBER(SEARCH("NOT RUN",K38&amp;" "&amp;Q38)),ISNUMBER(SEARCH("NOT IMPLEMENTED",K38&amp;" "&amp;Q38))),"Not started",IF(OR(ISNUMBER(SEARCH("PARTIAL",K38&amp;" "&amp;Q38)),ISNUMBER(SEARCH("PENDING",K38&amp;" "&amp;Q38)),ISNUMBER(SEARCH("IN PROGRESS",K38&amp;" "&amp;Q38)),ISNUMBER(SEARCH("OPEN",K38&amp;" "&amp;Q38)),ISNUMBER(SEARCH("RETEST REQUIRED",K38&amp;" "&amp;Q38)),ISNUMBER(SEARCH("IMPLEMENTATION UPDATED",K38&amp;" "&amp;Q38)),ISNUMBER(SEARCH("REQUIRED EVERY SESSION",K38&amp;" "&amp;Q38))),"Pending",IF(OR(Q38="PASS",ISNUMBER(SEARCH("PASS",K38&amp;" "&amp;Q38))),"Done","Pending"))))</f>
        <v>Pending</v>
      </c>
      <c r="V38" s="146">
        <f>IF(T38="","",VALUE(LEFT(T38,SEARCH("/",T38)-1)))</f>
        <v>180</v>
      </c>
      <c r="W38" s="146">
        <f>IF(T38="","",VALUE(MID(T38,SEARCH("/",T38)+1,LEN(T38))))</f>
        <v>425</v>
      </c>
    </row>
    <row r="39" customFormat="false" ht="15" hidden="false" customHeight="false" outlineLevel="0" collapsed="false">
      <c r="A39" s="135" t="s">
        <v>264</v>
      </c>
      <c r="B39" s="135" t="s">
        <v>83</v>
      </c>
      <c r="C39" s="256" t="s">
        <v>41</v>
      </c>
      <c r="D39" s="135" t="s">
        <v>265</v>
      </c>
      <c r="E39" s="135" t="s">
        <v>266</v>
      </c>
      <c r="F39" s="135" t="s">
        <v>4</v>
      </c>
      <c r="G39" s="135" t="s">
        <v>4</v>
      </c>
      <c r="H39" s="135" t="s">
        <v>4</v>
      </c>
      <c r="I39" s="135" t="s">
        <v>4</v>
      </c>
      <c r="J39" s="135" t="s">
        <v>267</v>
      </c>
      <c r="K39" s="135" t="s">
        <v>99</v>
      </c>
      <c r="L39" s="135" t="s">
        <v>89</v>
      </c>
      <c r="M39" s="135" t="s">
        <v>268</v>
      </c>
      <c r="N39" s="135" t="s">
        <v>90</v>
      </c>
      <c r="O39" s="135" t="s">
        <v>91</v>
      </c>
      <c r="P39" s="135" t="s">
        <v>92</v>
      </c>
      <c r="Q39" s="135" t="s">
        <v>89</v>
      </c>
      <c r="R39" s="135" t="s">
        <v>269</v>
      </c>
      <c r="S39" s="135" t="s">
        <v>94</v>
      </c>
      <c r="T39" s="135" t="s">
        <v>1</v>
      </c>
      <c r="U39" s="146" t="str">
        <f>IF(OR(ISNUMBER(SEARCH("FAIL",K39&amp;" "&amp;Q39)),ISNUMBER(SEARCH("CLEAN RETEST REQUIRED",K39&amp;" "&amp;Q39))),"Failed",IF(OR(ISNUMBER(SEARCH("NOT RUN",K39&amp;" "&amp;Q39)),ISNUMBER(SEARCH("NOT IMPLEMENTED",K39&amp;" "&amp;Q39))),"Not started",IF(OR(ISNUMBER(SEARCH("PARTIAL",K39&amp;" "&amp;Q39)),ISNUMBER(SEARCH("PENDING",K39&amp;" "&amp;Q39)),ISNUMBER(SEARCH("IN PROGRESS",K39&amp;" "&amp;Q39)),ISNUMBER(SEARCH("OPEN",K39&amp;" "&amp;Q39)),ISNUMBER(SEARCH("RETEST REQUIRED",K39&amp;" "&amp;Q39)),ISNUMBER(SEARCH("IMPLEMENTATION UPDATED",K39&amp;" "&amp;Q39)),ISNUMBER(SEARCH("REQUIRED EVERY SESSION",K39&amp;" "&amp;Q39))),"Pending",IF(OR(Q39="PASS",ISNUMBER(SEARCH("PASS",K39&amp;" "&amp;Q39))),"Done","Pending"))))</f>
        <v>Done</v>
      </c>
      <c r="V39" s="146">
        <f>IF(T39="","",VALUE(LEFT(T39,SEARCH("/",T39)-1)))</f>
        <v/>
      </c>
      <c r="W39" s="146">
        <f>IF(T39="","",VALUE(MID(T39,SEARCH("/",T39)+1,LEN(T39))))</f>
        <v/>
      </c>
    </row>
    <row r="40" customFormat="false" ht="15" hidden="false" customHeight="false" outlineLevel="0" collapsed="false">
      <c r="A40" s="135" t="s">
        <v>270</v>
      </c>
      <c r="B40" s="135" t="s">
        <v>83</v>
      </c>
      <c r="C40" s="256" t="s">
        <v>41</v>
      </c>
      <c r="D40" s="135" t="s">
        <v>271</v>
      </c>
      <c r="E40" s="135" t="s">
        <v>272</v>
      </c>
      <c r="F40" s="135" t="s">
        <v>4</v>
      </c>
      <c r="G40" s="135" t="s">
        <v>4</v>
      </c>
      <c r="H40" s="135" t="s">
        <v>4</v>
      </c>
      <c r="I40" s="135" t="s">
        <v>4</v>
      </c>
      <c r="J40" s="135" t="s">
        <v>267</v>
      </c>
      <c r="K40" s="135" t="s">
        <v>99</v>
      </c>
      <c r="L40" s="135" t="s">
        <v>89</v>
      </c>
      <c r="M40" s="135" t="s">
        <v>268</v>
      </c>
      <c r="N40" s="135" t="s">
        <v>90</v>
      </c>
      <c r="O40" s="135" t="s">
        <v>91</v>
      </c>
      <c r="P40" s="135" t="s">
        <v>92</v>
      </c>
      <c r="Q40" s="135" t="s">
        <v>89</v>
      </c>
      <c r="R40" s="135" t="s">
        <v>273</v>
      </c>
      <c r="S40" s="135" t="s">
        <v>94</v>
      </c>
      <c r="T40" s="135" t="s">
        <v>1</v>
      </c>
      <c r="U40" s="146" t="str">
        <f>IF(OR(ISNUMBER(SEARCH("FAIL",K40&amp;" "&amp;Q40)),ISNUMBER(SEARCH("CLEAN RETEST REQUIRED",K40&amp;" "&amp;Q40))),"Failed",IF(OR(ISNUMBER(SEARCH("NOT RUN",K40&amp;" "&amp;Q40)),ISNUMBER(SEARCH("NOT IMPLEMENTED",K40&amp;" "&amp;Q40))),"Not started",IF(OR(ISNUMBER(SEARCH("PARTIAL",K40&amp;" "&amp;Q40)),ISNUMBER(SEARCH("PENDING",K40&amp;" "&amp;Q40)),ISNUMBER(SEARCH("IN PROGRESS",K40&amp;" "&amp;Q40)),ISNUMBER(SEARCH("OPEN",K40&amp;" "&amp;Q40)),ISNUMBER(SEARCH("RETEST REQUIRED",K40&amp;" "&amp;Q40)),ISNUMBER(SEARCH("IMPLEMENTATION UPDATED",K40&amp;" "&amp;Q40)),ISNUMBER(SEARCH("REQUIRED EVERY SESSION",K40&amp;" "&amp;Q40))),"Pending",IF(OR(Q40="PASS",ISNUMBER(SEARCH("PASS",K40&amp;" "&amp;Q40))),"Done","Pending"))))</f>
        <v>Done</v>
      </c>
      <c r="V40" s="146">
        <f>IF(T40="","",VALUE(LEFT(T40,SEARCH("/",T40)-1)))</f>
        <v/>
      </c>
      <c r="W40" s="146">
        <f>IF(T40="","",VALUE(MID(T40,SEARCH("/",T40)+1,LEN(T40))))</f>
        <v/>
      </c>
    </row>
    <row r="41" customFormat="false" ht="15" hidden="false" customHeight="false" outlineLevel="0" collapsed="false">
      <c r="A41" s="135" t="s">
        <v>274</v>
      </c>
      <c r="B41" s="135" t="s">
        <v>275</v>
      </c>
      <c r="C41" s="256" t="s">
        <v>41</v>
      </c>
      <c r="D41" s="135" t="s">
        <v>276</v>
      </c>
      <c r="E41" s="135" t="s">
        <v>277</v>
      </c>
      <c r="F41" s="135" t="s">
        <v>4</v>
      </c>
      <c r="G41" s="135" t="s">
        <v>278</v>
      </c>
      <c r="H41" s="135" t="s">
        <v>279</v>
      </c>
      <c r="I41" s="135" t="s">
        <v>280</v>
      </c>
      <c r="J41" s="135" t="s">
        <v>281</v>
      </c>
      <c r="K41" s="135" t="s">
        <v>282</v>
      </c>
      <c r="L41" s="135" t="s">
        <v>89</v>
      </c>
      <c r="M41" s="135" t="s">
        <v>283</v>
      </c>
      <c r="N41" s="135" t="s">
        <v>90</v>
      </c>
      <c r="O41" s="135" t="s">
        <v>91</v>
      </c>
      <c r="P41" s="135" t="s">
        <v>92</v>
      </c>
      <c r="Q41" s="135" t="s">
        <v>89</v>
      </c>
      <c r="R41" s="135" t="s">
        <v>284</v>
      </c>
      <c r="S41" s="135" t="s">
        <v>188</v>
      </c>
      <c r="T41" s="135" t="s">
        <v>1</v>
      </c>
      <c r="U41" s="146" t="str">
        <f>IF(OR(ISNUMBER(SEARCH("FAIL",K41&amp;" "&amp;Q41)),ISNUMBER(SEARCH("CLEAN RETEST REQUIRED",K41&amp;" "&amp;Q41))),"Failed",IF(OR(ISNUMBER(SEARCH("NOT RUN",K41&amp;" "&amp;Q41)),ISNUMBER(SEARCH("NOT IMPLEMENTED",K41&amp;" "&amp;Q41))),"Not started",IF(OR(ISNUMBER(SEARCH("PARTIAL",K41&amp;" "&amp;Q41)),ISNUMBER(SEARCH("PENDING",K41&amp;" "&amp;Q41)),ISNUMBER(SEARCH("IN PROGRESS",K41&amp;" "&amp;Q41)),ISNUMBER(SEARCH("OPEN",K41&amp;" "&amp;Q41)),ISNUMBER(SEARCH("RETEST REQUIRED",K41&amp;" "&amp;Q41)),ISNUMBER(SEARCH("IMPLEMENTATION UPDATED",K41&amp;" "&amp;Q41)),ISNUMBER(SEARCH("REQUIRED EVERY SESSION",K41&amp;" "&amp;Q41))),"Pending",IF(OR(Q41="PASS",ISNUMBER(SEARCH("PASS",K41&amp;" "&amp;Q41))),"Done","Pending"))))</f>
        <v>Done</v>
      </c>
      <c r="V41" s="146">
        <f>IF(T41="","",VALUE(LEFT(T41,SEARCH("/",T41)-1)))</f>
        <v/>
      </c>
      <c r="W41" s="146">
        <f>IF(T41="","",VALUE(MID(T41,SEARCH("/",T41)+1,LEN(T41))))</f>
        <v/>
      </c>
    </row>
    <row r="42" customFormat="false" ht="15" hidden="false" customHeight="false" outlineLevel="0" collapsed="false">
      <c r="A42" s="135" t="s">
        <v>285</v>
      </c>
      <c r="B42" s="135" t="s">
        <v>286</v>
      </c>
      <c r="C42" s="256" t="s">
        <v>41</v>
      </c>
      <c r="D42" s="135" t="s">
        <v>287</v>
      </c>
      <c r="E42" s="135" t="s">
        <v>288</v>
      </c>
      <c r="F42" s="135" t="s">
        <v>289</v>
      </c>
      <c r="G42" s="135" t="s">
        <v>290</v>
      </c>
      <c r="H42" s="135" t="s">
        <v>291</v>
      </c>
      <c r="I42" s="135" t="s">
        <v>292</v>
      </c>
      <c r="J42" s="135" t="s">
        <v>293</v>
      </c>
      <c r="K42" s="135" t="s">
        <v>294</v>
      </c>
      <c r="L42" s="135" t="s">
        <v>295</v>
      </c>
      <c r="M42" s="135" t="s">
        <v>100</v>
      </c>
      <c r="N42" s="135" t="s">
        <v>90</v>
      </c>
      <c r="O42" s="135" t="s">
        <v>91</v>
      </c>
      <c r="P42" s="135" t="s">
        <v>92</v>
      </c>
      <c r="Q42" s="135" t="s">
        <v>89</v>
      </c>
      <c r="R42" s="135" t="s">
        <v>296</v>
      </c>
      <c r="S42" s="135" t="s">
        <v>297</v>
      </c>
      <c r="T42" s="135" t="s">
        <v>1</v>
      </c>
      <c r="U42" s="146" t="str">
        <f>IF(OR(ISNUMBER(SEARCH("FAIL",K42&amp;" "&amp;Q42)),ISNUMBER(SEARCH("CLEAN RETEST REQUIRED",K42&amp;" "&amp;Q42))),"Failed",IF(OR(ISNUMBER(SEARCH("NOT RUN",K42&amp;" "&amp;Q42)),ISNUMBER(SEARCH("NOT IMPLEMENTED",K42&amp;" "&amp;Q42))),"Not started",IF(OR(ISNUMBER(SEARCH("PARTIAL",K42&amp;" "&amp;Q42)),ISNUMBER(SEARCH("PENDING",K42&amp;" "&amp;Q42)),ISNUMBER(SEARCH("IN PROGRESS",K42&amp;" "&amp;Q42)),ISNUMBER(SEARCH("OPEN",K42&amp;" "&amp;Q42)),ISNUMBER(SEARCH("RETEST REQUIRED",K42&amp;" "&amp;Q42)),ISNUMBER(SEARCH("IMPLEMENTATION UPDATED",K42&amp;" "&amp;Q42)),ISNUMBER(SEARCH("REQUIRED EVERY SESSION",K42&amp;" "&amp;Q42))),"Pending",IF(OR(Q42="PASS",ISNUMBER(SEARCH("PASS",K42&amp;" "&amp;Q42))),"Done","Pending"))))</f>
        <v>Done</v>
      </c>
      <c r="V42" s="146">
        <f>IF(T42="","",VALUE(LEFT(T42,SEARCH("/",T42)-1)))</f>
        <v/>
      </c>
      <c r="W42" s="146">
        <f>IF(T42="","",VALUE(MID(T42,SEARCH("/",T42)+1,LEN(T42))))</f>
        <v/>
      </c>
    </row>
    <row r="43" customFormat="false" ht="15" hidden="false" customHeight="false" outlineLevel="0" collapsed="false">
      <c r="A43" s="135" t="s">
        <v>298</v>
      </c>
      <c r="B43" s="135" t="s">
        <v>299</v>
      </c>
      <c r="C43" s="256" t="s">
        <v>41</v>
      </c>
      <c r="D43" s="135" t="s">
        <v>300</v>
      </c>
      <c r="E43" s="135" t="s">
        <v>301</v>
      </c>
      <c r="F43" s="135" t="s">
        <v>302</v>
      </c>
      <c r="G43" s="135" t="s">
        <v>303</v>
      </c>
      <c r="H43" s="135" t="s">
        <v>304</v>
      </c>
      <c r="I43" s="135" t="s">
        <v>305</v>
      </c>
      <c r="J43" s="135" t="s">
        <v>306</v>
      </c>
      <c r="K43" s="135" t="s">
        <v>307</v>
      </c>
      <c r="L43" s="135" t="s">
        <v>1</v>
      </c>
      <c r="M43" s="135" t="s">
        <v>1</v>
      </c>
      <c r="N43" s="135" t="s">
        <v>308</v>
      </c>
      <c r="O43" s="135" t="s">
        <v>91</v>
      </c>
      <c r="P43" s="135" t="s">
        <v>92</v>
      </c>
      <c r="Q43" s="135" t="s">
        <v>89</v>
      </c>
      <c r="R43" s="135" t="s">
        <v>309</v>
      </c>
      <c r="S43" s="135" t="s">
        <v>177</v>
      </c>
      <c r="T43" s="135" t="s">
        <v>1</v>
      </c>
      <c r="U43" s="146" t="str">
        <f>IF(OR(ISNUMBER(SEARCH("FAIL",K43&amp;" "&amp;Q43)),ISNUMBER(SEARCH("CLEAN RETEST REQUIRED",K43&amp;" "&amp;Q43))),"Failed",IF(OR(ISNUMBER(SEARCH("NOT RUN",K43&amp;" "&amp;Q43)),ISNUMBER(SEARCH("NOT IMPLEMENTED",K43&amp;" "&amp;Q43))),"Not started",IF(OR(ISNUMBER(SEARCH("PARTIAL",K43&amp;" "&amp;Q43)),ISNUMBER(SEARCH("PENDING",K43&amp;" "&amp;Q43)),ISNUMBER(SEARCH("IN PROGRESS",K43&amp;" "&amp;Q43)),ISNUMBER(SEARCH("OPEN",K43&amp;" "&amp;Q43)),ISNUMBER(SEARCH("RETEST REQUIRED",K43&amp;" "&amp;Q43)),ISNUMBER(SEARCH("IMPLEMENTATION UPDATED",K43&amp;" "&amp;Q43)),ISNUMBER(SEARCH("REQUIRED EVERY SESSION",K43&amp;" "&amp;Q43))),"Pending",IF(OR(Q43="PASS",ISNUMBER(SEARCH("PASS",K43&amp;" "&amp;Q43))),"Done","Pending"))))</f>
        <v>Done</v>
      </c>
      <c r="V43" s="146">
        <f>IF(T43="","",VALUE(LEFT(T43,SEARCH("/",T43)-1)))</f>
        <v/>
      </c>
      <c r="W43" s="146">
        <f>IF(T43="","",VALUE(MID(T43,SEARCH("/",T43)+1,LEN(T43))))</f>
        <v/>
      </c>
    </row>
    <row r="44" customFormat="false" ht="15" hidden="false" customHeight="false" outlineLevel="0" collapsed="false">
      <c r="A44" s="135" t="s">
        <v>310</v>
      </c>
      <c r="B44" s="135" t="s">
        <v>311</v>
      </c>
      <c r="C44" s="256" t="s">
        <v>41</v>
      </c>
      <c r="D44" s="135" t="s">
        <v>312</v>
      </c>
      <c r="E44" s="135" t="s">
        <v>313</v>
      </c>
      <c r="F44" s="135" t="s">
        <v>314</v>
      </c>
      <c r="G44" s="135" t="s">
        <v>315</v>
      </c>
      <c r="H44" s="135" t="s">
        <v>316</v>
      </c>
      <c r="I44" s="135" t="s">
        <v>317</v>
      </c>
      <c r="J44" s="135" t="s">
        <v>318</v>
      </c>
      <c r="K44" s="135" t="s">
        <v>307</v>
      </c>
      <c r="L44" s="135" t="s">
        <v>1</v>
      </c>
      <c r="M44" s="135" t="s">
        <v>1</v>
      </c>
      <c r="N44" s="135" t="s">
        <v>308</v>
      </c>
      <c r="O44" s="135" t="s">
        <v>91</v>
      </c>
      <c r="P44" s="135" t="s">
        <v>92</v>
      </c>
      <c r="Q44" s="135" t="s">
        <v>89</v>
      </c>
      <c r="R44" s="135" t="s">
        <v>319</v>
      </c>
      <c r="S44" s="135" t="s">
        <v>188</v>
      </c>
      <c r="T44" s="135" t="s">
        <v>1</v>
      </c>
      <c r="U44" s="146" t="str">
        <f>IF(OR(ISNUMBER(SEARCH("FAIL",K44&amp;" "&amp;Q44)),ISNUMBER(SEARCH("CLEAN RETEST REQUIRED",K44&amp;" "&amp;Q44))),"Failed",IF(OR(ISNUMBER(SEARCH("NOT RUN",K44&amp;" "&amp;Q44)),ISNUMBER(SEARCH("NOT IMPLEMENTED",K44&amp;" "&amp;Q44))),"Not started",IF(OR(ISNUMBER(SEARCH("PARTIAL",K44&amp;" "&amp;Q44)),ISNUMBER(SEARCH("PENDING",K44&amp;" "&amp;Q44)),ISNUMBER(SEARCH("IN PROGRESS",K44&amp;" "&amp;Q44)),ISNUMBER(SEARCH("OPEN",K44&amp;" "&amp;Q44)),ISNUMBER(SEARCH("RETEST REQUIRED",K44&amp;" "&amp;Q44)),ISNUMBER(SEARCH("IMPLEMENTATION UPDATED",K44&amp;" "&amp;Q44)),ISNUMBER(SEARCH("REQUIRED EVERY SESSION",K44&amp;" "&amp;Q44))),"Pending",IF(OR(Q44="PASS",ISNUMBER(SEARCH("PASS",K44&amp;" "&amp;Q44))),"Done","Pending"))))</f>
        <v>Done</v>
      </c>
      <c r="V44" s="146">
        <f>IF(T44="","",VALUE(LEFT(T44,SEARCH("/",T44)-1)))</f>
        <v/>
      </c>
      <c r="W44" s="146">
        <f>IF(T44="","",VALUE(MID(T44,SEARCH("/",T44)+1,LEN(T44))))</f>
        <v/>
      </c>
    </row>
    <row r="45" customFormat="false" ht="15" hidden="false" customHeight="false" outlineLevel="0" collapsed="false">
      <c r="A45" s="135" t="s">
        <v>320</v>
      </c>
      <c r="B45" s="135" t="s">
        <v>299</v>
      </c>
      <c r="C45" s="256" t="s">
        <v>41</v>
      </c>
      <c r="D45" s="135" t="s">
        <v>300</v>
      </c>
      <c r="E45" s="135" t="s">
        <v>321</v>
      </c>
      <c r="F45" s="135" t="s">
        <v>322</v>
      </c>
      <c r="G45" s="135" t="s">
        <v>323</v>
      </c>
      <c r="H45" s="135" t="s">
        <v>304</v>
      </c>
      <c r="I45" s="135" t="s">
        <v>324</v>
      </c>
      <c r="J45" s="135" t="s">
        <v>325</v>
      </c>
      <c r="K45" s="135" t="s">
        <v>307</v>
      </c>
      <c r="L45" s="135" t="s">
        <v>1</v>
      </c>
      <c r="M45" s="135" t="s">
        <v>1</v>
      </c>
      <c r="N45" s="135" t="s">
        <v>308</v>
      </c>
      <c r="O45" s="135" t="s">
        <v>91</v>
      </c>
      <c r="P45" s="135" t="s">
        <v>92</v>
      </c>
      <c r="Q45" s="135" t="s">
        <v>89</v>
      </c>
      <c r="R45" s="135" t="s">
        <v>326</v>
      </c>
      <c r="S45" s="135" t="s">
        <v>327</v>
      </c>
      <c r="T45" s="135" t="s">
        <v>1</v>
      </c>
      <c r="U45" s="146" t="str">
        <f>IF(OR(ISNUMBER(SEARCH("FAIL",K45&amp;" "&amp;Q45)),ISNUMBER(SEARCH("CLEAN RETEST REQUIRED",K45&amp;" "&amp;Q45))),"Failed",IF(OR(ISNUMBER(SEARCH("NOT RUN",K45&amp;" "&amp;Q45)),ISNUMBER(SEARCH("NOT IMPLEMENTED",K45&amp;" "&amp;Q45))),"Not started",IF(OR(ISNUMBER(SEARCH("PARTIAL",K45&amp;" "&amp;Q45)),ISNUMBER(SEARCH("PENDING",K45&amp;" "&amp;Q45)),ISNUMBER(SEARCH("IN PROGRESS",K45&amp;" "&amp;Q45)),ISNUMBER(SEARCH("OPEN",K45&amp;" "&amp;Q45)),ISNUMBER(SEARCH("RETEST REQUIRED",K45&amp;" "&amp;Q45)),ISNUMBER(SEARCH("IMPLEMENTATION UPDATED",K45&amp;" "&amp;Q45)),ISNUMBER(SEARCH("REQUIRED EVERY SESSION",K45&amp;" "&amp;Q45))),"Pending",IF(OR(Q45="PASS",ISNUMBER(SEARCH("PASS",K45&amp;" "&amp;Q45))),"Done","Pending"))))</f>
        <v>Done</v>
      </c>
      <c r="V45" s="146">
        <f>IF(T45="","",VALUE(LEFT(T45,SEARCH("/",T45)-1)))</f>
        <v/>
      </c>
      <c r="W45" s="146">
        <f>IF(T45="","",VALUE(MID(T45,SEARCH("/",T45)+1,LEN(T45))))</f>
        <v/>
      </c>
    </row>
    <row r="46" customFormat="false" ht="15" hidden="false" customHeight="false" outlineLevel="0" collapsed="false">
      <c r="A46" s="135" t="s">
        <v>328</v>
      </c>
      <c r="B46" s="135" t="s">
        <v>329</v>
      </c>
      <c r="C46" s="256" t="s">
        <v>41</v>
      </c>
      <c r="D46" s="135" t="s">
        <v>330</v>
      </c>
      <c r="E46" s="135" t="s">
        <v>331</v>
      </c>
      <c r="F46" s="135" t="s">
        <v>4</v>
      </c>
      <c r="G46" s="135" t="s">
        <v>107</v>
      </c>
      <c r="H46" s="135" t="s">
        <v>4</v>
      </c>
      <c r="I46" s="135" t="s">
        <v>332</v>
      </c>
      <c r="J46" s="135" t="s">
        <v>87</v>
      </c>
      <c r="K46" s="135" t="s">
        <v>168</v>
      </c>
      <c r="L46" s="135" t="s">
        <v>1</v>
      </c>
      <c r="M46" s="135" t="s">
        <v>1</v>
      </c>
      <c r="N46" s="135" t="s">
        <v>186</v>
      </c>
      <c r="O46" s="135" t="s">
        <v>91</v>
      </c>
      <c r="P46" s="135" t="s">
        <v>92</v>
      </c>
      <c r="Q46" s="135" t="s">
        <v>89</v>
      </c>
      <c r="R46" s="135" t="s">
        <v>333</v>
      </c>
      <c r="S46" s="135" t="s">
        <v>334</v>
      </c>
      <c r="T46" s="135" t="s">
        <v>1</v>
      </c>
      <c r="U46" s="146" t="str">
        <f>IF(OR(ISNUMBER(SEARCH("FAIL",K46&amp;" "&amp;Q46)),ISNUMBER(SEARCH("CLEAN RETEST REQUIRED",K46&amp;" "&amp;Q46))),"Failed",IF(OR(ISNUMBER(SEARCH("NOT RUN",K46&amp;" "&amp;Q46)),ISNUMBER(SEARCH("NOT IMPLEMENTED",K46&amp;" "&amp;Q46))),"Not started",IF(OR(ISNUMBER(SEARCH("PARTIAL",K46&amp;" "&amp;Q46)),ISNUMBER(SEARCH("PENDING",K46&amp;" "&amp;Q46)),ISNUMBER(SEARCH("IN PROGRESS",K46&amp;" "&amp;Q46)),ISNUMBER(SEARCH("OPEN",K46&amp;" "&amp;Q46)),ISNUMBER(SEARCH("RETEST REQUIRED",K46&amp;" "&amp;Q46)),ISNUMBER(SEARCH("IMPLEMENTATION UPDATED",K46&amp;" "&amp;Q46)),ISNUMBER(SEARCH("REQUIRED EVERY SESSION",K46&amp;" "&amp;Q46))),"Pending",IF(OR(Q46="PASS",ISNUMBER(SEARCH("PASS",K46&amp;" "&amp;Q46))),"Done","Pending"))))</f>
        <v>Done</v>
      </c>
      <c r="V46" s="146">
        <f>IF(T46="","",VALUE(LEFT(T46,SEARCH("/",T46)-1)))</f>
        <v/>
      </c>
      <c r="W46" s="146">
        <f>IF(T46="","",VALUE(MID(T46,SEARCH("/",T46)+1,LEN(T46))))</f>
        <v/>
      </c>
    </row>
    <row r="47" customFormat="false" ht="15" hidden="false" customHeight="false" outlineLevel="0" collapsed="false">
      <c r="A47" s="135" t="s">
        <v>335</v>
      </c>
      <c r="B47" s="135" t="s">
        <v>336</v>
      </c>
      <c r="C47" s="256" t="s">
        <v>41</v>
      </c>
      <c r="D47" s="135" t="s">
        <v>337</v>
      </c>
      <c r="E47" s="135" t="s">
        <v>338</v>
      </c>
      <c r="F47" s="135" t="s">
        <v>322</v>
      </c>
      <c r="G47" s="135" t="s">
        <v>339</v>
      </c>
      <c r="H47" s="135" t="s">
        <v>4</v>
      </c>
      <c r="I47" s="135" t="s">
        <v>340</v>
      </c>
      <c r="J47" s="135" t="s">
        <v>87</v>
      </c>
      <c r="K47" s="135" t="s">
        <v>341</v>
      </c>
      <c r="L47" s="135" t="s">
        <v>1</v>
      </c>
      <c r="M47" s="135" t="s">
        <v>1</v>
      </c>
      <c r="N47" s="135" t="s">
        <v>186</v>
      </c>
      <c r="O47" s="135" t="s">
        <v>91</v>
      </c>
      <c r="P47" s="135" t="s">
        <v>92</v>
      </c>
      <c r="Q47" s="135" t="s">
        <v>89</v>
      </c>
      <c r="R47" s="135" t="s">
        <v>342</v>
      </c>
      <c r="S47" s="135" t="s">
        <v>94</v>
      </c>
      <c r="T47" s="135" t="s">
        <v>1</v>
      </c>
      <c r="U47" s="146" t="str">
        <f>IF(OR(ISNUMBER(SEARCH("FAIL",K47&amp;" "&amp;Q47)),ISNUMBER(SEARCH("CLEAN RETEST REQUIRED",K47&amp;" "&amp;Q47))),"Failed",IF(OR(ISNUMBER(SEARCH("NOT RUN",K47&amp;" "&amp;Q47)),ISNUMBER(SEARCH("NOT IMPLEMENTED",K47&amp;" "&amp;Q47))),"Not started",IF(OR(ISNUMBER(SEARCH("PARTIAL",K47&amp;" "&amp;Q47)),ISNUMBER(SEARCH("PENDING",K47&amp;" "&amp;Q47)),ISNUMBER(SEARCH("IN PROGRESS",K47&amp;" "&amp;Q47)),ISNUMBER(SEARCH("OPEN",K47&amp;" "&amp;Q47)),ISNUMBER(SEARCH("RETEST REQUIRED",K47&amp;" "&amp;Q47)),ISNUMBER(SEARCH("IMPLEMENTATION UPDATED",K47&amp;" "&amp;Q47)),ISNUMBER(SEARCH("REQUIRED EVERY SESSION",K47&amp;" "&amp;Q47))),"Pending",IF(OR(Q47="PASS",ISNUMBER(SEARCH("PASS",K47&amp;" "&amp;Q47))),"Done","Pending"))))</f>
        <v>Done</v>
      </c>
      <c r="V47" s="146">
        <f>IF(T47="","",VALUE(LEFT(T47,SEARCH("/",T47)-1)))</f>
        <v/>
      </c>
      <c r="W47" s="146">
        <f>IF(T47="","",VALUE(MID(T47,SEARCH("/",T47)+1,LEN(T47))))</f>
        <v/>
      </c>
    </row>
    <row r="48" customFormat="false" ht="15" hidden="false" customHeight="false" outlineLevel="0" collapsed="false">
      <c r="A48" s="135" t="s">
        <v>343</v>
      </c>
      <c r="B48" s="135" t="s">
        <v>299</v>
      </c>
      <c r="C48" s="256" t="s">
        <v>41</v>
      </c>
      <c r="D48" s="135" t="s">
        <v>344</v>
      </c>
      <c r="E48" s="135" t="s">
        <v>345</v>
      </c>
      <c r="F48" s="135" t="s">
        <v>346</v>
      </c>
      <c r="G48" s="135" t="s">
        <v>347</v>
      </c>
      <c r="H48" s="135" t="s">
        <v>348</v>
      </c>
      <c r="I48" s="135" t="s">
        <v>349</v>
      </c>
      <c r="J48" s="135" t="s">
        <v>87</v>
      </c>
      <c r="K48" s="135" t="s">
        <v>307</v>
      </c>
      <c r="L48" s="135" t="s">
        <v>1</v>
      </c>
      <c r="M48" s="135" t="s">
        <v>1</v>
      </c>
      <c r="N48" s="135" t="s">
        <v>308</v>
      </c>
      <c r="O48" s="135" t="s">
        <v>91</v>
      </c>
      <c r="P48" s="135" t="s">
        <v>92</v>
      </c>
      <c r="Q48" s="135" t="s">
        <v>89</v>
      </c>
      <c r="R48" s="135" t="s">
        <v>350</v>
      </c>
      <c r="S48" s="135" t="s">
        <v>351</v>
      </c>
      <c r="T48" s="135" t="s">
        <v>1</v>
      </c>
      <c r="U48" s="146" t="str">
        <f>IF(OR(ISNUMBER(SEARCH("FAIL",K48&amp;" "&amp;Q48)),ISNUMBER(SEARCH("CLEAN RETEST REQUIRED",K48&amp;" "&amp;Q48))),"Failed",IF(OR(ISNUMBER(SEARCH("NOT RUN",K48&amp;" "&amp;Q48)),ISNUMBER(SEARCH("NOT IMPLEMENTED",K48&amp;" "&amp;Q48))),"Not started",IF(OR(ISNUMBER(SEARCH("PARTIAL",K48&amp;" "&amp;Q48)),ISNUMBER(SEARCH("PENDING",K48&amp;" "&amp;Q48)),ISNUMBER(SEARCH("IN PROGRESS",K48&amp;" "&amp;Q48)),ISNUMBER(SEARCH("OPEN",K48&amp;" "&amp;Q48)),ISNUMBER(SEARCH("RETEST REQUIRED",K48&amp;" "&amp;Q48)),ISNUMBER(SEARCH("IMPLEMENTATION UPDATED",K48&amp;" "&amp;Q48)),ISNUMBER(SEARCH("REQUIRED EVERY SESSION",K48&amp;" "&amp;Q48))),"Pending",IF(OR(Q48="PASS",ISNUMBER(SEARCH("PASS",K48&amp;" "&amp;Q48))),"Done","Pending"))))</f>
        <v>Done</v>
      </c>
      <c r="V48" s="146">
        <f>IF(T48="","",VALUE(LEFT(T48,SEARCH("/",T48)-1)))</f>
        <v/>
      </c>
      <c r="W48" s="146">
        <f>IF(T48="","",VALUE(MID(T48,SEARCH("/",T48)+1,LEN(T48))))</f>
        <v/>
      </c>
    </row>
    <row r="49" customFormat="false" ht="15" hidden="false" customHeight="false" outlineLevel="0" collapsed="false">
      <c r="A49" s="135" t="s">
        <v>352</v>
      </c>
      <c r="B49" s="135" t="s">
        <v>353</v>
      </c>
      <c r="C49" s="256" t="s">
        <v>41</v>
      </c>
      <c r="D49" s="135" t="s">
        <v>354</v>
      </c>
      <c r="E49" s="135" t="s">
        <v>355</v>
      </c>
      <c r="F49" s="135" t="s">
        <v>4</v>
      </c>
      <c r="G49" s="135" t="s">
        <v>356</v>
      </c>
      <c r="H49" s="135" t="s">
        <v>4</v>
      </c>
      <c r="I49" s="135" t="s">
        <v>357</v>
      </c>
      <c r="J49" s="135" t="s">
        <v>87</v>
      </c>
      <c r="K49" s="135" t="s">
        <v>358</v>
      </c>
      <c r="L49" s="135" t="s">
        <v>1</v>
      </c>
      <c r="M49" s="135" t="s">
        <v>1</v>
      </c>
      <c r="N49" s="135" t="s">
        <v>308</v>
      </c>
      <c r="O49" s="135" t="s">
        <v>91</v>
      </c>
      <c r="P49" s="135" t="s">
        <v>92</v>
      </c>
      <c r="Q49" s="135" t="s">
        <v>89</v>
      </c>
      <c r="R49" s="135" t="s">
        <v>359</v>
      </c>
      <c r="S49" s="135" t="s">
        <v>360</v>
      </c>
      <c r="T49" s="135" t="s">
        <v>1</v>
      </c>
      <c r="U49" s="146" t="str">
        <f>IF(OR(ISNUMBER(SEARCH("FAIL",K49&amp;" "&amp;Q49)),ISNUMBER(SEARCH("CLEAN RETEST REQUIRED",K49&amp;" "&amp;Q49))),"Failed",IF(OR(ISNUMBER(SEARCH("NOT RUN",K49&amp;" "&amp;Q49)),ISNUMBER(SEARCH("NOT IMPLEMENTED",K49&amp;" "&amp;Q49))),"Not started",IF(OR(ISNUMBER(SEARCH("PARTIAL",K49&amp;" "&amp;Q49)),ISNUMBER(SEARCH("PENDING",K49&amp;" "&amp;Q49)),ISNUMBER(SEARCH("IN PROGRESS",K49&amp;" "&amp;Q49)),ISNUMBER(SEARCH("OPEN",K49&amp;" "&amp;Q49)),ISNUMBER(SEARCH("RETEST REQUIRED",K49&amp;" "&amp;Q49)),ISNUMBER(SEARCH("IMPLEMENTATION UPDATED",K49&amp;" "&amp;Q49)),ISNUMBER(SEARCH("REQUIRED EVERY SESSION",K49&amp;" "&amp;Q49))),"Pending",IF(OR(Q49="PASS",ISNUMBER(SEARCH("PASS",K49&amp;" "&amp;Q49))),"Done","Pending"))))</f>
        <v>Done</v>
      </c>
      <c r="V49" s="146">
        <f>IF(T49="","",VALUE(LEFT(T49,SEARCH("/",T49)-1)))</f>
        <v/>
      </c>
      <c r="W49" s="146">
        <f>IF(T49="","",VALUE(MID(T49,SEARCH("/",T49)+1,LEN(T49))))</f>
        <v/>
      </c>
    </row>
    <row r="50" customFormat="false" ht="15" hidden="false" customHeight="false" outlineLevel="0" collapsed="false">
      <c r="A50" s="135" t="s">
        <v>361</v>
      </c>
      <c r="B50" s="135" t="s">
        <v>362</v>
      </c>
      <c r="C50" s="256" t="s">
        <v>41</v>
      </c>
      <c r="D50" s="135" t="s">
        <v>363</v>
      </c>
      <c r="E50" s="135" t="s">
        <v>364</v>
      </c>
      <c r="F50" s="135" t="s">
        <v>365</v>
      </c>
      <c r="G50" s="135" t="s">
        <v>366</v>
      </c>
      <c r="H50" s="135" t="s">
        <v>367</v>
      </c>
      <c r="I50" s="135" t="s">
        <v>368</v>
      </c>
      <c r="J50" s="135" t="s">
        <v>87</v>
      </c>
      <c r="K50" s="135" t="s">
        <v>341</v>
      </c>
      <c r="L50" s="135" t="s">
        <v>1</v>
      </c>
      <c r="M50" s="135" t="s">
        <v>1</v>
      </c>
      <c r="N50" s="135" t="s">
        <v>308</v>
      </c>
      <c r="O50" s="135" t="s">
        <v>91</v>
      </c>
      <c r="P50" s="135" t="s">
        <v>92</v>
      </c>
      <c r="Q50" s="135" t="s">
        <v>89</v>
      </c>
      <c r="R50" s="135" t="s">
        <v>369</v>
      </c>
      <c r="S50" s="135" t="s">
        <v>297</v>
      </c>
      <c r="T50" s="135" t="s">
        <v>1</v>
      </c>
      <c r="U50" s="146" t="str">
        <f>IF(OR(ISNUMBER(SEARCH("FAIL",K50&amp;" "&amp;Q50)),ISNUMBER(SEARCH("CLEAN RETEST REQUIRED",K50&amp;" "&amp;Q50))),"Failed",IF(OR(ISNUMBER(SEARCH("NOT RUN",K50&amp;" "&amp;Q50)),ISNUMBER(SEARCH("NOT IMPLEMENTED",K50&amp;" "&amp;Q50))),"Not started",IF(OR(ISNUMBER(SEARCH("PARTIAL",K50&amp;" "&amp;Q50)),ISNUMBER(SEARCH("PENDING",K50&amp;" "&amp;Q50)),ISNUMBER(SEARCH("IN PROGRESS",K50&amp;" "&amp;Q50)),ISNUMBER(SEARCH("OPEN",K50&amp;" "&amp;Q50)),ISNUMBER(SEARCH("RETEST REQUIRED",K50&amp;" "&amp;Q50)),ISNUMBER(SEARCH("IMPLEMENTATION UPDATED",K50&amp;" "&amp;Q50)),ISNUMBER(SEARCH("REQUIRED EVERY SESSION",K50&amp;" "&amp;Q50))),"Pending",IF(OR(Q50="PASS",ISNUMBER(SEARCH("PASS",K50&amp;" "&amp;Q50))),"Done","Pending"))))</f>
        <v>Done</v>
      </c>
      <c r="V50" s="146">
        <f>IF(T50="","",VALUE(LEFT(T50,SEARCH("/",T50)-1)))</f>
        <v/>
      </c>
      <c r="W50" s="146">
        <f>IF(T50="","",VALUE(MID(T50,SEARCH("/",T50)+1,LEN(T50))))</f>
        <v/>
      </c>
    </row>
    <row r="51" customFormat="false" ht="15" hidden="false" customHeight="false" outlineLevel="0" collapsed="false">
      <c r="A51" s="135" t="s">
        <v>370</v>
      </c>
      <c r="B51" s="135" t="s">
        <v>311</v>
      </c>
      <c r="C51" s="256" t="s">
        <v>41</v>
      </c>
      <c r="D51" s="135" t="s">
        <v>371</v>
      </c>
      <c r="E51" s="135" t="s">
        <v>372</v>
      </c>
      <c r="F51" s="135" t="s">
        <v>4</v>
      </c>
      <c r="G51" s="135" t="s">
        <v>373</v>
      </c>
      <c r="H51" s="135" t="s">
        <v>4</v>
      </c>
      <c r="I51" s="135" t="s">
        <v>4</v>
      </c>
      <c r="J51" s="135" t="s">
        <v>374</v>
      </c>
      <c r="K51" s="135" t="s">
        <v>341</v>
      </c>
      <c r="L51" s="135" t="s">
        <v>1</v>
      </c>
      <c r="M51" s="135" t="s">
        <v>1</v>
      </c>
      <c r="N51" s="135" t="s">
        <v>308</v>
      </c>
      <c r="O51" s="135" t="s">
        <v>91</v>
      </c>
      <c r="P51" s="135" t="s">
        <v>92</v>
      </c>
      <c r="Q51" s="135" t="s">
        <v>89</v>
      </c>
      <c r="R51" s="135" t="s">
        <v>375</v>
      </c>
      <c r="S51" s="135" t="s">
        <v>376</v>
      </c>
      <c r="T51" s="135" t="s">
        <v>1</v>
      </c>
      <c r="U51" s="146" t="str">
        <f>IF(OR(ISNUMBER(SEARCH("FAIL",K51&amp;" "&amp;Q51)),ISNUMBER(SEARCH("CLEAN RETEST REQUIRED",K51&amp;" "&amp;Q51))),"Failed",IF(OR(ISNUMBER(SEARCH("NOT RUN",K51&amp;" "&amp;Q51)),ISNUMBER(SEARCH("NOT IMPLEMENTED",K51&amp;" "&amp;Q51))),"Not started",IF(OR(ISNUMBER(SEARCH("PARTIAL",K51&amp;" "&amp;Q51)),ISNUMBER(SEARCH("PENDING",K51&amp;" "&amp;Q51)),ISNUMBER(SEARCH("IN PROGRESS",K51&amp;" "&amp;Q51)),ISNUMBER(SEARCH("OPEN",K51&amp;" "&amp;Q51)),ISNUMBER(SEARCH("RETEST REQUIRED",K51&amp;" "&amp;Q51)),ISNUMBER(SEARCH("IMPLEMENTATION UPDATED",K51&amp;" "&amp;Q51)),ISNUMBER(SEARCH("REQUIRED EVERY SESSION",K51&amp;" "&amp;Q51))),"Pending",IF(OR(Q51="PASS",ISNUMBER(SEARCH("PASS",K51&amp;" "&amp;Q51))),"Done","Pending"))))</f>
        <v>Done</v>
      </c>
      <c r="V51" s="146">
        <f>IF(T51="","",VALUE(LEFT(T51,SEARCH("/",T51)-1)))</f>
        <v/>
      </c>
      <c r="W51" s="146">
        <f>IF(T51="","",VALUE(MID(T51,SEARCH("/",T51)+1,LEN(T51))))</f>
        <v/>
      </c>
    </row>
    <row r="52" customFormat="false" ht="15" hidden="false" customHeight="false" outlineLevel="0" collapsed="false">
      <c r="A52" s="135" t="s">
        <v>377</v>
      </c>
      <c r="B52" s="135" t="s">
        <v>219</v>
      </c>
      <c r="C52" s="256" t="s">
        <v>41</v>
      </c>
      <c r="D52" s="135" t="s">
        <v>378</v>
      </c>
      <c r="E52" s="135" t="s">
        <v>379</v>
      </c>
      <c r="F52" s="135" t="s">
        <v>380</v>
      </c>
      <c r="G52" s="135" t="s">
        <v>107</v>
      </c>
      <c r="H52" s="135" t="s">
        <v>381</v>
      </c>
      <c r="I52" s="135" t="s">
        <v>87</v>
      </c>
      <c r="J52" s="135" t="s">
        <v>87</v>
      </c>
      <c r="K52" s="135" t="s">
        <v>341</v>
      </c>
      <c r="L52" s="135" t="s">
        <v>1</v>
      </c>
      <c r="M52" s="135" t="s">
        <v>1</v>
      </c>
      <c r="N52" s="135" t="s">
        <v>382</v>
      </c>
      <c r="O52" s="135" t="s">
        <v>91</v>
      </c>
      <c r="P52" s="135" t="s">
        <v>92</v>
      </c>
      <c r="Q52" s="135" t="s">
        <v>89</v>
      </c>
      <c r="R52" s="135" t="s">
        <v>383</v>
      </c>
      <c r="S52" s="135" t="s">
        <v>188</v>
      </c>
      <c r="T52" s="135" t="s">
        <v>1</v>
      </c>
      <c r="U52" s="146" t="str">
        <f>IF(OR(ISNUMBER(SEARCH("FAIL",K52&amp;" "&amp;Q52)),ISNUMBER(SEARCH("CLEAN RETEST REQUIRED",K52&amp;" "&amp;Q52))),"Failed",IF(OR(ISNUMBER(SEARCH("NOT RUN",K52&amp;" "&amp;Q52)),ISNUMBER(SEARCH("NOT IMPLEMENTED",K52&amp;" "&amp;Q52))),"Not started",IF(OR(ISNUMBER(SEARCH("PARTIAL",K52&amp;" "&amp;Q52)),ISNUMBER(SEARCH("PENDING",K52&amp;" "&amp;Q52)),ISNUMBER(SEARCH("IN PROGRESS",K52&amp;" "&amp;Q52)),ISNUMBER(SEARCH("OPEN",K52&amp;" "&amp;Q52)),ISNUMBER(SEARCH("RETEST REQUIRED",K52&amp;" "&amp;Q52)),ISNUMBER(SEARCH("IMPLEMENTATION UPDATED",K52&amp;" "&amp;Q52)),ISNUMBER(SEARCH("REQUIRED EVERY SESSION",K52&amp;" "&amp;Q52))),"Pending",IF(OR(Q52="PASS",ISNUMBER(SEARCH("PASS",K52&amp;" "&amp;Q52))),"Done","Pending"))))</f>
        <v>Done</v>
      </c>
      <c r="V52" s="146">
        <f>IF(T52="","",VALUE(LEFT(T52,SEARCH("/",T52)-1)))</f>
        <v/>
      </c>
      <c r="W52" s="146">
        <f>IF(T52="","",VALUE(MID(T52,SEARCH("/",T52)+1,LEN(T52))))</f>
        <v/>
      </c>
    </row>
    <row r="53" customFormat="false" ht="15" hidden="false" customHeight="false" outlineLevel="0" collapsed="false">
      <c r="A53" s="135" t="s">
        <v>384</v>
      </c>
      <c r="B53" s="135" t="s">
        <v>219</v>
      </c>
      <c r="C53" s="256" t="s">
        <v>41</v>
      </c>
      <c r="D53" s="135" t="s">
        <v>385</v>
      </c>
      <c r="E53" s="135" t="s">
        <v>386</v>
      </c>
      <c r="F53" s="135" t="s">
        <v>387</v>
      </c>
      <c r="G53" s="135" t="s">
        <v>107</v>
      </c>
      <c r="H53" s="135" t="s">
        <v>388</v>
      </c>
      <c r="I53" s="135" t="s">
        <v>107</v>
      </c>
      <c r="J53" s="135" t="s">
        <v>87</v>
      </c>
      <c r="K53" s="135" t="s">
        <v>389</v>
      </c>
      <c r="L53" s="135" t="s">
        <v>1</v>
      </c>
      <c r="M53" s="135" t="s">
        <v>1</v>
      </c>
      <c r="N53" s="135" t="s">
        <v>390</v>
      </c>
      <c r="O53" s="135" t="s">
        <v>91</v>
      </c>
      <c r="P53" s="135" t="s">
        <v>92</v>
      </c>
      <c r="Q53" s="135" t="s">
        <v>89</v>
      </c>
      <c r="R53" s="135" t="s">
        <v>391</v>
      </c>
      <c r="S53" s="135" t="s">
        <v>94</v>
      </c>
      <c r="T53" s="135" t="s">
        <v>1</v>
      </c>
      <c r="U53" s="146" t="str">
        <f>IF(OR(ISNUMBER(SEARCH("FAIL",K53&amp;" "&amp;Q53)),ISNUMBER(SEARCH("CLEAN RETEST REQUIRED",K53&amp;" "&amp;Q53))),"Failed",IF(OR(ISNUMBER(SEARCH("NOT RUN",K53&amp;" "&amp;Q53)),ISNUMBER(SEARCH("NOT IMPLEMENTED",K53&amp;" "&amp;Q53))),"Not started",IF(OR(ISNUMBER(SEARCH("PARTIAL",K53&amp;" "&amp;Q53)),ISNUMBER(SEARCH("PENDING",K53&amp;" "&amp;Q53)),ISNUMBER(SEARCH("IN PROGRESS",K53&amp;" "&amp;Q53)),ISNUMBER(SEARCH("OPEN",K53&amp;" "&amp;Q53)),ISNUMBER(SEARCH("RETEST REQUIRED",K53&amp;" "&amp;Q53)),ISNUMBER(SEARCH("IMPLEMENTATION UPDATED",K53&amp;" "&amp;Q53)),ISNUMBER(SEARCH("REQUIRED EVERY SESSION",K53&amp;" "&amp;Q53))),"Pending",IF(OR(Q53="PASS",ISNUMBER(SEARCH("PASS",K53&amp;" "&amp;Q53))),"Done","Pending"))))</f>
        <v>Done</v>
      </c>
      <c r="V53" s="146">
        <f>IF(T53="","",VALUE(LEFT(T53,SEARCH("/",T53)-1)))</f>
        <v/>
      </c>
      <c r="W53" s="146">
        <f>IF(T53="","",VALUE(MID(T53,SEARCH("/",T53)+1,LEN(T53))))</f>
        <v/>
      </c>
    </row>
    <row r="54" customFormat="false" ht="15" hidden="false" customHeight="false" outlineLevel="0" collapsed="false">
      <c r="A54" s="135" t="s">
        <v>392</v>
      </c>
      <c r="B54" s="135" t="s">
        <v>299</v>
      </c>
      <c r="C54" s="256" t="s">
        <v>41</v>
      </c>
      <c r="D54" s="135" t="s">
        <v>393</v>
      </c>
      <c r="E54" s="135" t="s">
        <v>394</v>
      </c>
      <c r="F54" s="135" t="s">
        <v>395</v>
      </c>
      <c r="G54" s="135" t="s">
        <v>323</v>
      </c>
      <c r="H54" s="135" t="s">
        <v>304</v>
      </c>
      <c r="I54" s="135" t="s">
        <v>396</v>
      </c>
      <c r="J54" s="135" t="s">
        <v>397</v>
      </c>
      <c r="K54" s="135" t="s">
        <v>307</v>
      </c>
      <c r="L54" s="135" t="s">
        <v>1</v>
      </c>
      <c r="M54" s="135" t="s">
        <v>1</v>
      </c>
      <c r="N54" s="135" t="s">
        <v>308</v>
      </c>
      <c r="O54" s="135" t="s">
        <v>91</v>
      </c>
      <c r="P54" s="135" t="s">
        <v>92</v>
      </c>
      <c r="Q54" s="135" t="s">
        <v>89</v>
      </c>
      <c r="R54" s="135" t="s">
        <v>398</v>
      </c>
      <c r="S54" s="135" t="s">
        <v>399</v>
      </c>
      <c r="T54" s="135" t="s">
        <v>1</v>
      </c>
      <c r="U54" s="146" t="str">
        <f>IF(OR(ISNUMBER(SEARCH("FAIL",K54&amp;" "&amp;Q54)),ISNUMBER(SEARCH("CLEAN RETEST REQUIRED",K54&amp;" "&amp;Q54))),"Failed",IF(OR(ISNUMBER(SEARCH("NOT RUN",K54&amp;" "&amp;Q54)),ISNUMBER(SEARCH("NOT IMPLEMENTED",K54&amp;" "&amp;Q54))),"Not started",IF(OR(ISNUMBER(SEARCH("PARTIAL",K54&amp;" "&amp;Q54)),ISNUMBER(SEARCH("PENDING",K54&amp;" "&amp;Q54)),ISNUMBER(SEARCH("IN PROGRESS",K54&amp;" "&amp;Q54)),ISNUMBER(SEARCH("OPEN",K54&amp;" "&amp;Q54)),ISNUMBER(SEARCH("RETEST REQUIRED",K54&amp;" "&amp;Q54)),ISNUMBER(SEARCH("IMPLEMENTATION UPDATED",K54&amp;" "&amp;Q54)),ISNUMBER(SEARCH("REQUIRED EVERY SESSION",K54&amp;" "&amp;Q54))),"Pending",IF(OR(Q54="PASS",ISNUMBER(SEARCH("PASS",K54&amp;" "&amp;Q54))),"Done","Pending"))))</f>
        <v>Done</v>
      </c>
      <c r="V54" s="146">
        <f>IF(T54="","",VALUE(LEFT(T54,SEARCH("/",T54)-1)))</f>
        <v/>
      </c>
      <c r="W54" s="146">
        <f>IF(T54="","",VALUE(MID(T54,SEARCH("/",T54)+1,LEN(T54))))</f>
        <v/>
      </c>
    </row>
    <row r="55" customFormat="false" ht="15" hidden="false" customHeight="false" outlineLevel="0" collapsed="false">
      <c r="A55" s="135" t="s">
        <v>400</v>
      </c>
      <c r="B55" s="135" t="s">
        <v>299</v>
      </c>
      <c r="C55" s="256" t="s">
        <v>41</v>
      </c>
      <c r="D55" s="135" t="s">
        <v>393</v>
      </c>
      <c r="E55" s="135" t="s">
        <v>401</v>
      </c>
      <c r="F55" s="135" t="s">
        <v>402</v>
      </c>
      <c r="G55" s="135" t="s">
        <v>403</v>
      </c>
      <c r="H55" s="135" t="s">
        <v>304</v>
      </c>
      <c r="I55" s="135" t="s">
        <v>404</v>
      </c>
      <c r="J55" s="135" t="s">
        <v>87</v>
      </c>
      <c r="K55" s="135" t="s">
        <v>405</v>
      </c>
      <c r="L55" s="135" t="s">
        <v>1</v>
      </c>
      <c r="M55" s="135" t="s">
        <v>1</v>
      </c>
      <c r="N55" s="135" t="s">
        <v>186</v>
      </c>
      <c r="O55" s="135" t="s">
        <v>91</v>
      </c>
      <c r="P55" s="135" t="s">
        <v>92</v>
      </c>
      <c r="Q55" s="135" t="s">
        <v>89</v>
      </c>
      <c r="R55" s="135" t="s">
        <v>406</v>
      </c>
      <c r="S55" s="135" t="s">
        <v>407</v>
      </c>
      <c r="T55" s="135" t="s">
        <v>1</v>
      </c>
      <c r="U55" s="146" t="str">
        <f>IF(OR(ISNUMBER(SEARCH("FAIL",K55&amp;" "&amp;Q55)),ISNUMBER(SEARCH("CLEAN RETEST REQUIRED",K55&amp;" "&amp;Q55))),"Failed",IF(OR(ISNUMBER(SEARCH("NOT RUN",K55&amp;" "&amp;Q55)),ISNUMBER(SEARCH("NOT IMPLEMENTED",K55&amp;" "&amp;Q55))),"Not started",IF(OR(ISNUMBER(SEARCH("PARTIAL",K55&amp;" "&amp;Q55)),ISNUMBER(SEARCH("PENDING",K55&amp;" "&amp;Q55)),ISNUMBER(SEARCH("IN PROGRESS",K55&amp;" "&amp;Q55)),ISNUMBER(SEARCH("OPEN",K55&amp;" "&amp;Q55)),ISNUMBER(SEARCH("RETEST REQUIRED",K55&amp;" "&amp;Q55)),ISNUMBER(SEARCH("IMPLEMENTATION UPDATED",K55&amp;" "&amp;Q55)),ISNUMBER(SEARCH("REQUIRED EVERY SESSION",K55&amp;" "&amp;Q55))),"Pending",IF(OR(Q55="PASS",ISNUMBER(SEARCH("PASS",K55&amp;" "&amp;Q55))),"Done","Pending"))))</f>
        <v>Done</v>
      </c>
      <c r="V55" s="146">
        <f>IF(T55="","",VALUE(LEFT(T55,SEARCH("/",T55)-1)))</f>
        <v/>
      </c>
      <c r="W55" s="146">
        <f>IF(T55="","",VALUE(MID(T55,SEARCH("/",T55)+1,LEN(T55))))</f>
        <v/>
      </c>
    </row>
    <row r="56" customFormat="false" ht="15" hidden="false" customHeight="false" outlineLevel="0" collapsed="false">
      <c r="A56" s="135" t="s">
        <v>408</v>
      </c>
      <c r="B56" s="135" t="s">
        <v>299</v>
      </c>
      <c r="C56" s="256" t="s">
        <v>41</v>
      </c>
      <c r="D56" s="135" t="s">
        <v>393</v>
      </c>
      <c r="E56" s="135" t="s">
        <v>409</v>
      </c>
      <c r="F56" s="135" t="s">
        <v>410</v>
      </c>
      <c r="G56" s="135" t="s">
        <v>411</v>
      </c>
      <c r="H56" s="135" t="s">
        <v>304</v>
      </c>
      <c r="I56" s="135" t="s">
        <v>412</v>
      </c>
      <c r="J56" s="135" t="s">
        <v>413</v>
      </c>
      <c r="K56" s="135" t="s">
        <v>307</v>
      </c>
      <c r="L56" s="135" t="s">
        <v>1</v>
      </c>
      <c r="M56" s="135" t="s">
        <v>1</v>
      </c>
      <c r="N56" s="135" t="s">
        <v>210</v>
      </c>
      <c r="O56" s="135" t="s">
        <v>91</v>
      </c>
      <c r="P56" s="135" t="s">
        <v>92</v>
      </c>
      <c r="Q56" s="135" t="s">
        <v>89</v>
      </c>
      <c r="R56" s="135" t="s">
        <v>414</v>
      </c>
      <c r="S56" s="135" t="s">
        <v>351</v>
      </c>
      <c r="T56" s="135" t="s">
        <v>1</v>
      </c>
      <c r="U56" s="146" t="str">
        <f>IF(OR(ISNUMBER(SEARCH("FAIL",K56&amp;" "&amp;Q56)),ISNUMBER(SEARCH("CLEAN RETEST REQUIRED",K56&amp;" "&amp;Q56))),"Failed",IF(OR(ISNUMBER(SEARCH("NOT RUN",K56&amp;" "&amp;Q56)),ISNUMBER(SEARCH("NOT IMPLEMENTED",K56&amp;" "&amp;Q56))),"Not started",IF(OR(ISNUMBER(SEARCH("PARTIAL",K56&amp;" "&amp;Q56)),ISNUMBER(SEARCH("PENDING",K56&amp;" "&amp;Q56)),ISNUMBER(SEARCH("IN PROGRESS",K56&amp;" "&amp;Q56)),ISNUMBER(SEARCH("OPEN",K56&amp;" "&amp;Q56)),ISNUMBER(SEARCH("RETEST REQUIRED",K56&amp;" "&amp;Q56)),ISNUMBER(SEARCH("IMPLEMENTATION UPDATED",K56&amp;" "&amp;Q56)),ISNUMBER(SEARCH("REQUIRED EVERY SESSION",K56&amp;" "&amp;Q56))),"Pending",IF(OR(Q56="PASS",ISNUMBER(SEARCH("PASS",K56&amp;" "&amp;Q56))),"Done","Pending"))))</f>
        <v>Done</v>
      </c>
      <c r="V56" s="146">
        <f>IF(T56="","",VALUE(LEFT(T56,SEARCH("/",T56)-1)))</f>
        <v/>
      </c>
      <c r="W56" s="146">
        <f>IF(T56="","",VALUE(MID(T56,SEARCH("/",T56)+1,LEN(T56))))</f>
        <v/>
      </c>
    </row>
    <row r="57" customFormat="false" ht="15" hidden="false" customHeight="false" outlineLevel="0" collapsed="false">
      <c r="A57" s="135" t="s">
        <v>415</v>
      </c>
      <c r="B57" s="135" t="s">
        <v>299</v>
      </c>
      <c r="C57" s="256" t="s">
        <v>41</v>
      </c>
      <c r="D57" s="135" t="s">
        <v>416</v>
      </c>
      <c r="E57" s="135" t="s">
        <v>417</v>
      </c>
      <c r="F57" s="135" t="s">
        <v>418</v>
      </c>
      <c r="G57" s="135" t="s">
        <v>419</v>
      </c>
      <c r="H57" s="135" t="s">
        <v>420</v>
      </c>
      <c r="I57" s="135" t="s">
        <v>421</v>
      </c>
      <c r="J57" s="135" t="s">
        <v>422</v>
      </c>
      <c r="K57" s="135" t="s">
        <v>307</v>
      </c>
      <c r="L57" s="135" t="s">
        <v>1</v>
      </c>
      <c r="M57" s="135" t="s">
        <v>1</v>
      </c>
      <c r="N57" s="135" t="s">
        <v>210</v>
      </c>
      <c r="O57" s="135" t="s">
        <v>91</v>
      </c>
      <c r="P57" s="135" t="s">
        <v>92</v>
      </c>
      <c r="Q57" s="135" t="s">
        <v>89</v>
      </c>
      <c r="R57" s="135" t="s">
        <v>423</v>
      </c>
      <c r="S57" s="135" t="s">
        <v>407</v>
      </c>
      <c r="T57" s="135" t="s">
        <v>1</v>
      </c>
      <c r="U57" s="146" t="str">
        <f>IF(OR(ISNUMBER(SEARCH("FAIL",K57&amp;" "&amp;Q57)),ISNUMBER(SEARCH("CLEAN RETEST REQUIRED",K57&amp;" "&amp;Q57))),"Failed",IF(OR(ISNUMBER(SEARCH("NOT RUN",K57&amp;" "&amp;Q57)),ISNUMBER(SEARCH("NOT IMPLEMENTED",K57&amp;" "&amp;Q57))),"Not started",IF(OR(ISNUMBER(SEARCH("PARTIAL",K57&amp;" "&amp;Q57)),ISNUMBER(SEARCH("PENDING",K57&amp;" "&amp;Q57)),ISNUMBER(SEARCH("IN PROGRESS",K57&amp;" "&amp;Q57)),ISNUMBER(SEARCH("OPEN",K57&amp;" "&amp;Q57)),ISNUMBER(SEARCH("RETEST REQUIRED",K57&amp;" "&amp;Q57)),ISNUMBER(SEARCH("IMPLEMENTATION UPDATED",K57&amp;" "&amp;Q57)),ISNUMBER(SEARCH("REQUIRED EVERY SESSION",K57&amp;" "&amp;Q57))),"Pending",IF(OR(Q57="PASS",ISNUMBER(SEARCH("PASS",K57&amp;" "&amp;Q57))),"Done","Pending"))))</f>
        <v>Done</v>
      </c>
      <c r="V57" s="146">
        <f>IF(T57="","",VALUE(LEFT(T57,SEARCH("/",T57)-1)))</f>
        <v/>
      </c>
      <c r="W57" s="146">
        <f>IF(T57="","",VALUE(MID(T57,SEARCH("/",T57)+1,LEN(T57))))</f>
        <v/>
      </c>
    </row>
    <row r="58" customFormat="false" ht="15" hidden="false" customHeight="false" outlineLevel="0" collapsed="false">
      <c r="A58" s="135" t="s">
        <v>424</v>
      </c>
      <c r="B58" s="135" t="s">
        <v>299</v>
      </c>
      <c r="C58" s="256" t="s">
        <v>41</v>
      </c>
      <c r="D58" s="135" t="s">
        <v>425</v>
      </c>
      <c r="E58" s="135" t="s">
        <v>426</v>
      </c>
      <c r="F58" s="135" t="s">
        <v>4</v>
      </c>
      <c r="G58" s="135" t="s">
        <v>4</v>
      </c>
      <c r="H58" s="135" t="s">
        <v>4</v>
      </c>
      <c r="I58" s="135" t="s">
        <v>4</v>
      </c>
      <c r="J58" s="135" t="s">
        <v>427</v>
      </c>
      <c r="K58" s="135" t="s">
        <v>307</v>
      </c>
      <c r="L58" s="135" t="s">
        <v>1</v>
      </c>
      <c r="M58" s="135" t="s">
        <v>1</v>
      </c>
      <c r="N58" s="135" t="s">
        <v>210</v>
      </c>
      <c r="O58" s="135" t="s">
        <v>91</v>
      </c>
      <c r="P58" s="135" t="s">
        <v>92</v>
      </c>
      <c r="Q58" s="135" t="s">
        <v>89</v>
      </c>
      <c r="R58" s="135" t="s">
        <v>428</v>
      </c>
      <c r="S58" s="135" t="s">
        <v>429</v>
      </c>
      <c r="T58" s="135" t="s">
        <v>1</v>
      </c>
      <c r="U58" s="146" t="str">
        <f>IF(OR(ISNUMBER(SEARCH("FAIL",K58&amp;" "&amp;Q58)),ISNUMBER(SEARCH("CLEAN RETEST REQUIRED",K58&amp;" "&amp;Q58))),"Failed",IF(OR(ISNUMBER(SEARCH("NOT RUN",K58&amp;" "&amp;Q58)),ISNUMBER(SEARCH("NOT IMPLEMENTED",K58&amp;" "&amp;Q58))),"Not started",IF(OR(ISNUMBER(SEARCH("PARTIAL",K58&amp;" "&amp;Q58)),ISNUMBER(SEARCH("PENDING",K58&amp;" "&amp;Q58)),ISNUMBER(SEARCH("IN PROGRESS",K58&amp;" "&amp;Q58)),ISNUMBER(SEARCH("OPEN",K58&amp;" "&amp;Q58)),ISNUMBER(SEARCH("RETEST REQUIRED",K58&amp;" "&amp;Q58)),ISNUMBER(SEARCH("IMPLEMENTATION UPDATED",K58&amp;" "&amp;Q58)),ISNUMBER(SEARCH("REQUIRED EVERY SESSION",K58&amp;" "&amp;Q58))),"Pending",IF(OR(Q58="PASS",ISNUMBER(SEARCH("PASS",K58&amp;" "&amp;Q58))),"Done","Pending"))))</f>
        <v>Done</v>
      </c>
      <c r="V58" s="146">
        <f>IF(T58="","",VALUE(LEFT(T58,SEARCH("/",T58)-1)))</f>
        <v/>
      </c>
      <c r="W58" s="146">
        <f>IF(T58="","",VALUE(MID(T58,SEARCH("/",T58)+1,LEN(T58))))</f>
        <v/>
      </c>
    </row>
    <row r="59" customFormat="false" ht="15" hidden="false" customHeight="false" outlineLevel="0" collapsed="false">
      <c r="A59" s="135" t="s">
        <v>430</v>
      </c>
      <c r="B59" s="135" t="s">
        <v>299</v>
      </c>
      <c r="C59" s="256" t="s">
        <v>41</v>
      </c>
      <c r="D59" s="135" t="s">
        <v>431</v>
      </c>
      <c r="E59" s="135" t="s">
        <v>432</v>
      </c>
      <c r="F59" s="135" t="s">
        <v>433</v>
      </c>
      <c r="G59" s="135" t="s">
        <v>434</v>
      </c>
      <c r="H59" s="135" t="s">
        <v>435</v>
      </c>
      <c r="I59" s="135" t="s">
        <v>436</v>
      </c>
      <c r="J59" s="135" t="s">
        <v>437</v>
      </c>
      <c r="K59" s="135" t="s">
        <v>307</v>
      </c>
      <c r="L59" s="135" t="s">
        <v>1</v>
      </c>
      <c r="M59" s="135" t="s">
        <v>1</v>
      </c>
      <c r="N59" s="135" t="s">
        <v>210</v>
      </c>
      <c r="O59" s="135" t="s">
        <v>91</v>
      </c>
      <c r="P59" s="135" t="s">
        <v>92</v>
      </c>
      <c r="Q59" s="135" t="s">
        <v>89</v>
      </c>
      <c r="R59" s="135" t="s">
        <v>438</v>
      </c>
      <c r="S59" s="135" t="s">
        <v>351</v>
      </c>
      <c r="T59" s="135" t="s">
        <v>1</v>
      </c>
      <c r="U59" s="146" t="str">
        <f>IF(OR(ISNUMBER(SEARCH("FAIL",K59&amp;" "&amp;Q59)),ISNUMBER(SEARCH("CLEAN RETEST REQUIRED",K59&amp;" "&amp;Q59))),"Failed",IF(OR(ISNUMBER(SEARCH("NOT RUN",K59&amp;" "&amp;Q59)),ISNUMBER(SEARCH("NOT IMPLEMENTED",K59&amp;" "&amp;Q59))),"Not started",IF(OR(ISNUMBER(SEARCH("PARTIAL",K59&amp;" "&amp;Q59)),ISNUMBER(SEARCH("PENDING",K59&amp;" "&amp;Q59)),ISNUMBER(SEARCH("IN PROGRESS",K59&amp;" "&amp;Q59)),ISNUMBER(SEARCH("OPEN",K59&amp;" "&amp;Q59)),ISNUMBER(SEARCH("RETEST REQUIRED",K59&amp;" "&amp;Q59)),ISNUMBER(SEARCH("IMPLEMENTATION UPDATED",K59&amp;" "&amp;Q59)),ISNUMBER(SEARCH("REQUIRED EVERY SESSION",K59&amp;" "&amp;Q59))),"Pending",IF(OR(Q59="PASS",ISNUMBER(SEARCH("PASS",K59&amp;" "&amp;Q59))),"Done","Pending"))))</f>
        <v>Done</v>
      </c>
      <c r="V59" s="146">
        <f>IF(T59="","",VALUE(LEFT(T59,SEARCH("/",T59)-1)))</f>
        <v/>
      </c>
      <c r="W59" s="146">
        <f>IF(T59="","",VALUE(MID(T59,SEARCH("/",T59)+1,LEN(T59))))</f>
        <v/>
      </c>
    </row>
    <row r="60" customFormat="false" ht="15" hidden="false" customHeight="false" outlineLevel="0" collapsed="false">
      <c r="A60" s="135" t="s">
        <v>439</v>
      </c>
      <c r="B60" s="135" t="s">
        <v>299</v>
      </c>
      <c r="C60" s="256" t="s">
        <v>41</v>
      </c>
      <c r="D60" s="135" t="s">
        <v>440</v>
      </c>
      <c r="E60" s="135" t="s">
        <v>441</v>
      </c>
      <c r="F60" s="135" t="s">
        <v>4</v>
      </c>
      <c r="G60" s="135" t="s">
        <v>4</v>
      </c>
      <c r="H60" s="135" t="s">
        <v>4</v>
      </c>
      <c r="I60" s="135" t="s">
        <v>4</v>
      </c>
      <c r="J60" s="135" t="s">
        <v>442</v>
      </c>
      <c r="K60" s="135" t="s">
        <v>443</v>
      </c>
      <c r="L60" s="135" t="s">
        <v>1</v>
      </c>
      <c r="M60" s="135" t="s">
        <v>1</v>
      </c>
      <c r="N60" s="135" t="s">
        <v>308</v>
      </c>
      <c r="O60" s="135" t="s">
        <v>91</v>
      </c>
      <c r="P60" s="135" t="s">
        <v>92</v>
      </c>
      <c r="Q60" s="135" t="s">
        <v>89</v>
      </c>
      <c r="R60" s="135" t="s">
        <v>444</v>
      </c>
      <c r="S60" s="135" t="s">
        <v>94</v>
      </c>
      <c r="T60" s="135" t="s">
        <v>1</v>
      </c>
      <c r="U60" s="146" t="str">
        <f>IF(OR(ISNUMBER(SEARCH("FAIL",K60&amp;" "&amp;Q60)),ISNUMBER(SEARCH("CLEAN RETEST REQUIRED",K60&amp;" "&amp;Q60))),"Failed",IF(OR(ISNUMBER(SEARCH("NOT RUN",K60&amp;" "&amp;Q60)),ISNUMBER(SEARCH("NOT IMPLEMENTED",K60&amp;" "&amp;Q60))),"Not started",IF(OR(ISNUMBER(SEARCH("PARTIAL",K60&amp;" "&amp;Q60)),ISNUMBER(SEARCH("PENDING",K60&amp;" "&amp;Q60)),ISNUMBER(SEARCH("IN PROGRESS",K60&amp;" "&amp;Q60)),ISNUMBER(SEARCH("OPEN",K60&amp;" "&amp;Q60)),ISNUMBER(SEARCH("RETEST REQUIRED",K60&amp;" "&amp;Q60)),ISNUMBER(SEARCH("IMPLEMENTATION UPDATED",K60&amp;" "&amp;Q60)),ISNUMBER(SEARCH("REQUIRED EVERY SESSION",K60&amp;" "&amp;Q60))),"Pending",IF(OR(Q60="PASS",ISNUMBER(SEARCH("PASS",K60&amp;" "&amp;Q60))),"Done","Pending"))))</f>
        <v>Done</v>
      </c>
      <c r="V60" s="146">
        <f>IF(T60="","",VALUE(LEFT(T60,SEARCH("/",T60)-1)))</f>
        <v/>
      </c>
      <c r="W60" s="146">
        <f>IF(T60="","",VALUE(MID(T60,SEARCH("/",T60)+1,LEN(T60))))</f>
        <v/>
      </c>
    </row>
    <row r="61" customFormat="false" ht="15" hidden="false" customHeight="false" outlineLevel="0" collapsed="false">
      <c r="A61" s="135" t="s">
        <v>445</v>
      </c>
      <c r="B61" s="135" t="s">
        <v>299</v>
      </c>
      <c r="C61" s="256" t="s">
        <v>41</v>
      </c>
      <c r="D61" s="135" t="s">
        <v>431</v>
      </c>
      <c r="E61" s="135" t="s">
        <v>446</v>
      </c>
      <c r="F61" s="135" t="s">
        <v>447</v>
      </c>
      <c r="G61" s="135" t="s">
        <v>448</v>
      </c>
      <c r="H61" s="135" t="s">
        <v>449</v>
      </c>
      <c r="I61" s="135" t="s">
        <v>450</v>
      </c>
      <c r="J61" s="135" t="s">
        <v>87</v>
      </c>
      <c r="K61" s="135" t="s">
        <v>168</v>
      </c>
      <c r="L61" s="135" t="s">
        <v>1</v>
      </c>
      <c r="M61" s="135" t="s">
        <v>1</v>
      </c>
      <c r="N61" s="135" t="s">
        <v>308</v>
      </c>
      <c r="O61" s="135" t="s">
        <v>91</v>
      </c>
      <c r="P61" s="135" t="s">
        <v>92</v>
      </c>
      <c r="Q61" s="135" t="s">
        <v>89</v>
      </c>
      <c r="R61" s="135" t="s">
        <v>451</v>
      </c>
      <c r="S61" s="135" t="s">
        <v>94</v>
      </c>
      <c r="T61" s="135" t="s">
        <v>1</v>
      </c>
      <c r="U61" s="146" t="str">
        <f>IF(OR(ISNUMBER(SEARCH("FAIL",K61&amp;" "&amp;Q61)),ISNUMBER(SEARCH("CLEAN RETEST REQUIRED",K61&amp;" "&amp;Q61))),"Failed",IF(OR(ISNUMBER(SEARCH("NOT RUN",K61&amp;" "&amp;Q61)),ISNUMBER(SEARCH("NOT IMPLEMENTED",K61&amp;" "&amp;Q61))),"Not started",IF(OR(ISNUMBER(SEARCH("PARTIAL",K61&amp;" "&amp;Q61)),ISNUMBER(SEARCH("PENDING",K61&amp;" "&amp;Q61)),ISNUMBER(SEARCH("IN PROGRESS",K61&amp;" "&amp;Q61)),ISNUMBER(SEARCH("OPEN",K61&amp;" "&amp;Q61)),ISNUMBER(SEARCH("RETEST REQUIRED",K61&amp;" "&amp;Q61)),ISNUMBER(SEARCH("IMPLEMENTATION UPDATED",K61&amp;" "&amp;Q61)),ISNUMBER(SEARCH("REQUIRED EVERY SESSION",K61&amp;" "&amp;Q61))),"Pending",IF(OR(Q61="PASS",ISNUMBER(SEARCH("PASS",K61&amp;" "&amp;Q61))),"Done","Pending"))))</f>
        <v>Done</v>
      </c>
      <c r="V61" s="146">
        <f>IF(T61="","",VALUE(LEFT(T61,SEARCH("/",T61)-1)))</f>
        <v/>
      </c>
      <c r="W61" s="146">
        <f>IF(T61="","",VALUE(MID(T61,SEARCH("/",T61)+1,LEN(T61))))</f>
        <v/>
      </c>
    </row>
    <row r="62" customFormat="false" ht="15" hidden="false" customHeight="false" outlineLevel="0" collapsed="false">
      <c r="A62" s="135" t="s">
        <v>452</v>
      </c>
      <c r="B62" s="135" t="s">
        <v>299</v>
      </c>
      <c r="C62" s="256" t="s">
        <v>41</v>
      </c>
      <c r="D62" s="135" t="s">
        <v>453</v>
      </c>
      <c r="E62" s="135" t="s">
        <v>454</v>
      </c>
      <c r="F62" s="135" t="s">
        <v>455</v>
      </c>
      <c r="G62" s="135" t="s">
        <v>456</v>
      </c>
      <c r="H62" s="135" t="s">
        <v>457</v>
      </c>
      <c r="I62" s="135" t="s">
        <v>458</v>
      </c>
      <c r="J62" s="135" t="s">
        <v>459</v>
      </c>
      <c r="K62" s="135" t="s">
        <v>341</v>
      </c>
      <c r="L62" s="135" t="s">
        <v>1</v>
      </c>
      <c r="M62" s="135" t="s">
        <v>1</v>
      </c>
      <c r="N62" s="135" t="s">
        <v>210</v>
      </c>
      <c r="O62" s="135" t="s">
        <v>91</v>
      </c>
      <c r="P62" s="135" t="s">
        <v>92</v>
      </c>
      <c r="Q62" s="135" t="s">
        <v>89</v>
      </c>
      <c r="R62" s="135" t="s">
        <v>460</v>
      </c>
      <c r="S62" s="135" t="s">
        <v>94</v>
      </c>
      <c r="T62" s="135" t="s">
        <v>1</v>
      </c>
      <c r="U62" s="146" t="str">
        <f>IF(OR(ISNUMBER(SEARCH("FAIL",K62&amp;" "&amp;Q62)),ISNUMBER(SEARCH("CLEAN RETEST REQUIRED",K62&amp;" "&amp;Q62))),"Failed",IF(OR(ISNUMBER(SEARCH("NOT RUN",K62&amp;" "&amp;Q62)),ISNUMBER(SEARCH("NOT IMPLEMENTED",K62&amp;" "&amp;Q62))),"Not started",IF(OR(ISNUMBER(SEARCH("PARTIAL",K62&amp;" "&amp;Q62)),ISNUMBER(SEARCH("PENDING",K62&amp;" "&amp;Q62)),ISNUMBER(SEARCH("IN PROGRESS",K62&amp;" "&amp;Q62)),ISNUMBER(SEARCH("OPEN",K62&amp;" "&amp;Q62)),ISNUMBER(SEARCH("RETEST REQUIRED",K62&amp;" "&amp;Q62)),ISNUMBER(SEARCH("IMPLEMENTATION UPDATED",K62&amp;" "&amp;Q62)),ISNUMBER(SEARCH("REQUIRED EVERY SESSION",K62&amp;" "&amp;Q62))),"Pending",IF(OR(Q62="PASS",ISNUMBER(SEARCH("PASS",K62&amp;" "&amp;Q62))),"Done","Pending"))))</f>
        <v>Done</v>
      </c>
      <c r="V62" s="146">
        <f>IF(T62="","",VALUE(LEFT(T62,SEARCH("/",T62)-1)))</f>
        <v/>
      </c>
      <c r="W62" s="146">
        <f>IF(T62="","",VALUE(MID(T62,SEARCH("/",T62)+1,LEN(T62))))</f>
        <v/>
      </c>
    </row>
    <row r="63" customFormat="false" ht="15" hidden="false" customHeight="false" outlineLevel="0" collapsed="false">
      <c r="A63" s="135" t="s">
        <v>461</v>
      </c>
      <c r="B63" s="135" t="s">
        <v>299</v>
      </c>
      <c r="C63" s="256" t="s">
        <v>41</v>
      </c>
      <c r="D63" s="135" t="s">
        <v>462</v>
      </c>
      <c r="E63" s="135" t="s">
        <v>463</v>
      </c>
      <c r="F63" s="135" t="s">
        <v>464</v>
      </c>
      <c r="G63" s="135" t="s">
        <v>465</v>
      </c>
      <c r="H63" s="135" t="s">
        <v>464</v>
      </c>
      <c r="I63" s="135" t="s">
        <v>466</v>
      </c>
      <c r="J63" s="135" t="s">
        <v>467</v>
      </c>
      <c r="K63" s="135" t="s">
        <v>389</v>
      </c>
      <c r="L63" s="135" t="s">
        <v>1</v>
      </c>
      <c r="M63" s="135" t="s">
        <v>1</v>
      </c>
      <c r="N63" s="135" t="s">
        <v>210</v>
      </c>
      <c r="O63" s="135" t="s">
        <v>91</v>
      </c>
      <c r="P63" s="135" t="s">
        <v>92</v>
      </c>
      <c r="Q63" s="135" t="s">
        <v>89</v>
      </c>
      <c r="R63" s="135" t="s">
        <v>468</v>
      </c>
      <c r="S63" s="135" t="s">
        <v>188</v>
      </c>
      <c r="T63" s="135" t="s">
        <v>1</v>
      </c>
      <c r="U63" s="146" t="str">
        <f>IF(OR(ISNUMBER(SEARCH("FAIL",K63&amp;" "&amp;Q63)),ISNUMBER(SEARCH("CLEAN RETEST REQUIRED",K63&amp;" "&amp;Q63))),"Failed",IF(OR(ISNUMBER(SEARCH("NOT RUN",K63&amp;" "&amp;Q63)),ISNUMBER(SEARCH("NOT IMPLEMENTED",K63&amp;" "&amp;Q63))),"Not started",IF(OR(ISNUMBER(SEARCH("PARTIAL",K63&amp;" "&amp;Q63)),ISNUMBER(SEARCH("PENDING",K63&amp;" "&amp;Q63)),ISNUMBER(SEARCH("IN PROGRESS",K63&amp;" "&amp;Q63)),ISNUMBER(SEARCH("OPEN",K63&amp;" "&amp;Q63)),ISNUMBER(SEARCH("RETEST REQUIRED",K63&amp;" "&amp;Q63)),ISNUMBER(SEARCH("IMPLEMENTATION UPDATED",K63&amp;" "&amp;Q63)),ISNUMBER(SEARCH("REQUIRED EVERY SESSION",K63&amp;" "&amp;Q63))),"Pending",IF(OR(Q63="PASS",ISNUMBER(SEARCH("PASS",K63&amp;" "&amp;Q63))),"Done","Pending"))))</f>
        <v>Done</v>
      </c>
      <c r="V63" s="146">
        <f>IF(T63="","",VALUE(LEFT(T63,SEARCH("/",T63)-1)))</f>
        <v/>
      </c>
      <c r="W63" s="146">
        <f>IF(T63="","",VALUE(MID(T63,SEARCH("/",T63)+1,LEN(T63))))</f>
        <v/>
      </c>
    </row>
    <row r="64" customFormat="false" ht="15" hidden="false" customHeight="false" outlineLevel="0" collapsed="false">
      <c r="A64" s="135" t="s">
        <v>469</v>
      </c>
      <c r="B64" s="135" t="s">
        <v>299</v>
      </c>
      <c r="C64" s="256" t="s">
        <v>41</v>
      </c>
      <c r="D64" s="135" t="s">
        <v>470</v>
      </c>
      <c r="E64" s="135" t="s">
        <v>471</v>
      </c>
      <c r="F64" s="135" t="s">
        <v>472</v>
      </c>
      <c r="G64" s="135" t="s">
        <v>473</v>
      </c>
      <c r="H64" s="135" t="s">
        <v>435</v>
      </c>
      <c r="I64" s="135" t="s">
        <v>450</v>
      </c>
      <c r="J64" s="135" t="s">
        <v>87</v>
      </c>
      <c r="K64" s="135" t="s">
        <v>168</v>
      </c>
      <c r="L64" s="135" t="s">
        <v>1</v>
      </c>
      <c r="M64" s="135" t="s">
        <v>1</v>
      </c>
      <c r="N64" s="135" t="s">
        <v>210</v>
      </c>
      <c r="O64" s="135" t="s">
        <v>91</v>
      </c>
      <c r="P64" s="135" t="s">
        <v>92</v>
      </c>
      <c r="Q64" s="135" t="s">
        <v>89</v>
      </c>
      <c r="R64" s="135" t="s">
        <v>474</v>
      </c>
      <c r="S64" s="135" t="s">
        <v>94</v>
      </c>
      <c r="T64" s="135" t="s">
        <v>1</v>
      </c>
      <c r="U64" s="146" t="str">
        <f>IF(OR(ISNUMBER(SEARCH("FAIL",K64&amp;" "&amp;Q64)),ISNUMBER(SEARCH("CLEAN RETEST REQUIRED",K64&amp;" "&amp;Q64))),"Failed",IF(OR(ISNUMBER(SEARCH("NOT RUN",K64&amp;" "&amp;Q64)),ISNUMBER(SEARCH("NOT IMPLEMENTED",K64&amp;" "&amp;Q64))),"Not started",IF(OR(ISNUMBER(SEARCH("PARTIAL",K64&amp;" "&amp;Q64)),ISNUMBER(SEARCH("PENDING",K64&amp;" "&amp;Q64)),ISNUMBER(SEARCH("IN PROGRESS",K64&amp;" "&amp;Q64)),ISNUMBER(SEARCH("OPEN",K64&amp;" "&amp;Q64)),ISNUMBER(SEARCH("RETEST REQUIRED",K64&amp;" "&amp;Q64)),ISNUMBER(SEARCH("IMPLEMENTATION UPDATED",K64&amp;" "&amp;Q64)),ISNUMBER(SEARCH("REQUIRED EVERY SESSION",K64&amp;" "&amp;Q64))),"Pending",IF(OR(Q64="PASS",ISNUMBER(SEARCH("PASS",K64&amp;" "&amp;Q64))),"Done","Pending"))))</f>
        <v>Done</v>
      </c>
      <c r="V64" s="146">
        <f>IF(T64="","",VALUE(LEFT(T64,SEARCH("/",T64)-1)))</f>
        <v/>
      </c>
      <c r="W64" s="146">
        <f>IF(T64="","",VALUE(MID(T64,SEARCH("/",T64)+1,LEN(T64))))</f>
        <v/>
      </c>
    </row>
    <row r="65" customFormat="false" ht="15" hidden="false" customHeight="false" outlineLevel="0" collapsed="false">
      <c r="A65" s="135" t="s">
        <v>475</v>
      </c>
      <c r="B65" s="135" t="s">
        <v>299</v>
      </c>
      <c r="C65" s="256" t="s">
        <v>41</v>
      </c>
      <c r="D65" s="135" t="s">
        <v>476</v>
      </c>
      <c r="E65" s="135" t="s">
        <v>477</v>
      </c>
      <c r="F65" s="135" t="s">
        <v>4</v>
      </c>
      <c r="G65" s="135" t="s">
        <v>478</v>
      </c>
      <c r="H65" s="135" t="s">
        <v>4</v>
      </c>
      <c r="I65" s="135" t="s">
        <v>479</v>
      </c>
      <c r="J65" s="135" t="s">
        <v>87</v>
      </c>
      <c r="K65" s="135" t="s">
        <v>480</v>
      </c>
      <c r="L65" s="135" t="s">
        <v>1</v>
      </c>
      <c r="M65" s="135" t="s">
        <v>1</v>
      </c>
      <c r="N65" s="135" t="s">
        <v>481</v>
      </c>
      <c r="O65" s="135" t="s">
        <v>91</v>
      </c>
      <c r="P65" s="135" t="s">
        <v>92</v>
      </c>
      <c r="Q65" s="135" t="s">
        <v>89</v>
      </c>
      <c r="R65" s="135" t="s">
        <v>482</v>
      </c>
      <c r="S65" s="135" t="s">
        <v>327</v>
      </c>
      <c r="T65" s="135" t="s">
        <v>1</v>
      </c>
      <c r="U65" s="146" t="str">
        <f>IF(OR(ISNUMBER(SEARCH("FAIL",K65&amp;" "&amp;Q65)),ISNUMBER(SEARCH("CLEAN RETEST REQUIRED",K65&amp;" "&amp;Q65))),"Failed",IF(OR(ISNUMBER(SEARCH("NOT RUN",K65&amp;" "&amp;Q65)),ISNUMBER(SEARCH("NOT IMPLEMENTED",K65&amp;" "&amp;Q65))),"Not started",IF(OR(ISNUMBER(SEARCH("PARTIAL",K65&amp;" "&amp;Q65)),ISNUMBER(SEARCH("PENDING",K65&amp;" "&amp;Q65)),ISNUMBER(SEARCH("IN PROGRESS",K65&amp;" "&amp;Q65)),ISNUMBER(SEARCH("OPEN",K65&amp;" "&amp;Q65)),ISNUMBER(SEARCH("RETEST REQUIRED",K65&amp;" "&amp;Q65)),ISNUMBER(SEARCH("IMPLEMENTATION UPDATED",K65&amp;" "&amp;Q65)),ISNUMBER(SEARCH("REQUIRED EVERY SESSION",K65&amp;" "&amp;Q65))),"Pending",IF(OR(Q65="PASS",ISNUMBER(SEARCH("PASS",K65&amp;" "&amp;Q65))),"Done","Pending"))))</f>
        <v>Done</v>
      </c>
      <c r="V65" s="146">
        <f>IF(T65="","",VALUE(LEFT(T65,SEARCH("/",T65)-1)))</f>
        <v/>
      </c>
      <c r="W65" s="146">
        <f>IF(T65="","",VALUE(MID(T65,SEARCH("/",T65)+1,LEN(T65))))</f>
        <v/>
      </c>
    </row>
    <row r="66" customFormat="false" ht="15" hidden="false" customHeight="false" outlineLevel="0" collapsed="false">
      <c r="A66" s="135" t="s">
        <v>483</v>
      </c>
      <c r="B66" s="135" t="s">
        <v>299</v>
      </c>
      <c r="C66" s="256" t="s">
        <v>41</v>
      </c>
      <c r="D66" s="135" t="s">
        <v>476</v>
      </c>
      <c r="E66" s="135" t="s">
        <v>484</v>
      </c>
      <c r="F66" s="135" t="s">
        <v>485</v>
      </c>
      <c r="G66" s="135" t="s">
        <v>486</v>
      </c>
      <c r="H66" s="135" t="s">
        <v>487</v>
      </c>
      <c r="I66" s="135" t="s">
        <v>488</v>
      </c>
      <c r="J66" s="135" t="s">
        <v>87</v>
      </c>
      <c r="K66" s="135" t="s">
        <v>168</v>
      </c>
      <c r="L66" s="135" t="s">
        <v>1</v>
      </c>
      <c r="M66" s="135" t="s">
        <v>1</v>
      </c>
      <c r="N66" s="135" t="s">
        <v>481</v>
      </c>
      <c r="O66" s="135" t="s">
        <v>91</v>
      </c>
      <c r="P66" s="135" t="s">
        <v>92</v>
      </c>
      <c r="Q66" s="135" t="s">
        <v>89</v>
      </c>
      <c r="R66" s="135" t="s">
        <v>489</v>
      </c>
      <c r="S66" s="135" t="s">
        <v>407</v>
      </c>
      <c r="T66" s="135" t="s">
        <v>1</v>
      </c>
      <c r="U66" s="146" t="str">
        <f>IF(OR(ISNUMBER(SEARCH("FAIL",K66&amp;" "&amp;Q66)),ISNUMBER(SEARCH("CLEAN RETEST REQUIRED",K66&amp;" "&amp;Q66))),"Failed",IF(OR(ISNUMBER(SEARCH("NOT RUN",K66&amp;" "&amp;Q66)),ISNUMBER(SEARCH("NOT IMPLEMENTED",K66&amp;" "&amp;Q66))),"Not started",IF(OR(ISNUMBER(SEARCH("PARTIAL",K66&amp;" "&amp;Q66)),ISNUMBER(SEARCH("PENDING",K66&amp;" "&amp;Q66)),ISNUMBER(SEARCH("IN PROGRESS",K66&amp;" "&amp;Q66)),ISNUMBER(SEARCH("OPEN",K66&amp;" "&amp;Q66)),ISNUMBER(SEARCH("RETEST REQUIRED",K66&amp;" "&amp;Q66)),ISNUMBER(SEARCH("IMPLEMENTATION UPDATED",K66&amp;" "&amp;Q66)),ISNUMBER(SEARCH("REQUIRED EVERY SESSION",K66&amp;" "&amp;Q66))),"Pending",IF(OR(Q66="PASS",ISNUMBER(SEARCH("PASS",K66&amp;" "&amp;Q66))),"Done","Pending"))))</f>
        <v>Done</v>
      </c>
      <c r="V66" s="146">
        <f>IF(T66="","",VALUE(LEFT(T66,SEARCH("/",T66)-1)))</f>
        <v/>
      </c>
      <c r="W66" s="146">
        <f>IF(T66="","",VALUE(MID(T66,SEARCH("/",T66)+1,LEN(T66))))</f>
        <v/>
      </c>
    </row>
    <row r="67" customFormat="false" ht="15" hidden="false" customHeight="false" outlineLevel="0" collapsed="false">
      <c r="A67" s="135" t="s">
        <v>490</v>
      </c>
      <c r="B67" s="135" t="s">
        <v>299</v>
      </c>
      <c r="C67" s="256" t="s">
        <v>41</v>
      </c>
      <c r="D67" s="135" t="s">
        <v>491</v>
      </c>
      <c r="E67" s="135" t="s">
        <v>492</v>
      </c>
      <c r="F67" s="135" t="s">
        <v>4</v>
      </c>
      <c r="G67" s="135" t="s">
        <v>493</v>
      </c>
      <c r="H67" s="135" t="s">
        <v>4</v>
      </c>
      <c r="I67" s="135" t="s">
        <v>4</v>
      </c>
      <c r="J67" s="135" t="s">
        <v>87</v>
      </c>
      <c r="K67" s="135" t="s">
        <v>168</v>
      </c>
      <c r="L67" s="135" t="s">
        <v>1</v>
      </c>
      <c r="M67" s="135" t="s">
        <v>1</v>
      </c>
      <c r="N67" s="135" t="s">
        <v>481</v>
      </c>
      <c r="O67" s="135" t="s">
        <v>91</v>
      </c>
      <c r="P67" s="135" t="s">
        <v>92</v>
      </c>
      <c r="Q67" s="135" t="s">
        <v>89</v>
      </c>
      <c r="R67" s="135" t="s">
        <v>494</v>
      </c>
      <c r="S67" s="135" t="s">
        <v>376</v>
      </c>
      <c r="T67" s="135" t="s">
        <v>1</v>
      </c>
      <c r="U67" s="146" t="str">
        <f>IF(OR(ISNUMBER(SEARCH("FAIL",K67&amp;" "&amp;Q67)),ISNUMBER(SEARCH("CLEAN RETEST REQUIRED",K67&amp;" "&amp;Q67))),"Failed",IF(OR(ISNUMBER(SEARCH("NOT RUN",K67&amp;" "&amp;Q67)),ISNUMBER(SEARCH("NOT IMPLEMENTED",K67&amp;" "&amp;Q67))),"Not started",IF(OR(ISNUMBER(SEARCH("PARTIAL",K67&amp;" "&amp;Q67)),ISNUMBER(SEARCH("PENDING",K67&amp;" "&amp;Q67)),ISNUMBER(SEARCH("IN PROGRESS",K67&amp;" "&amp;Q67)),ISNUMBER(SEARCH("OPEN",K67&amp;" "&amp;Q67)),ISNUMBER(SEARCH("RETEST REQUIRED",K67&amp;" "&amp;Q67)),ISNUMBER(SEARCH("IMPLEMENTATION UPDATED",K67&amp;" "&amp;Q67)),ISNUMBER(SEARCH("REQUIRED EVERY SESSION",K67&amp;" "&amp;Q67))),"Pending",IF(OR(Q67="PASS",ISNUMBER(SEARCH("PASS",K67&amp;" "&amp;Q67))),"Done","Pending"))))</f>
        <v>Done</v>
      </c>
      <c r="V67" s="146">
        <f>IF(T67="","",VALUE(LEFT(T67,SEARCH("/",T67)-1)))</f>
        <v/>
      </c>
      <c r="W67" s="146">
        <f>IF(T67="","",VALUE(MID(T67,SEARCH("/",T67)+1,LEN(T67))))</f>
        <v/>
      </c>
    </row>
    <row r="68" customFormat="false" ht="15" hidden="false" customHeight="false" outlineLevel="0" collapsed="false">
      <c r="A68" s="135" t="s">
        <v>495</v>
      </c>
      <c r="B68" s="135" t="s">
        <v>299</v>
      </c>
      <c r="C68" s="256" t="s">
        <v>41</v>
      </c>
      <c r="D68" s="135" t="s">
        <v>496</v>
      </c>
      <c r="E68" s="135" t="s">
        <v>497</v>
      </c>
      <c r="F68" s="135" t="s">
        <v>4</v>
      </c>
      <c r="G68" s="135" t="s">
        <v>498</v>
      </c>
      <c r="H68" s="135" t="s">
        <v>4</v>
      </c>
      <c r="I68" s="135" t="s">
        <v>4</v>
      </c>
      <c r="J68" s="135" t="s">
        <v>87</v>
      </c>
      <c r="K68" s="135" t="s">
        <v>307</v>
      </c>
      <c r="L68" s="135" t="s">
        <v>1</v>
      </c>
      <c r="M68" s="135" t="s">
        <v>1</v>
      </c>
      <c r="N68" s="135" t="s">
        <v>481</v>
      </c>
      <c r="O68" s="135" t="s">
        <v>91</v>
      </c>
      <c r="P68" s="135" t="s">
        <v>92</v>
      </c>
      <c r="Q68" s="135" t="s">
        <v>89</v>
      </c>
      <c r="R68" s="135" t="s">
        <v>499</v>
      </c>
      <c r="S68" s="135" t="s">
        <v>351</v>
      </c>
      <c r="T68" s="135" t="s">
        <v>1</v>
      </c>
      <c r="U68" s="146" t="str">
        <f>IF(OR(ISNUMBER(SEARCH("FAIL",K68&amp;" "&amp;Q68)),ISNUMBER(SEARCH("CLEAN RETEST REQUIRED",K68&amp;" "&amp;Q68))),"Failed",IF(OR(ISNUMBER(SEARCH("NOT RUN",K68&amp;" "&amp;Q68)),ISNUMBER(SEARCH("NOT IMPLEMENTED",K68&amp;" "&amp;Q68))),"Not started",IF(OR(ISNUMBER(SEARCH("PARTIAL",K68&amp;" "&amp;Q68)),ISNUMBER(SEARCH("PENDING",K68&amp;" "&amp;Q68)),ISNUMBER(SEARCH("IN PROGRESS",K68&amp;" "&amp;Q68)),ISNUMBER(SEARCH("OPEN",K68&amp;" "&amp;Q68)),ISNUMBER(SEARCH("RETEST REQUIRED",K68&amp;" "&amp;Q68)),ISNUMBER(SEARCH("IMPLEMENTATION UPDATED",K68&amp;" "&amp;Q68)),ISNUMBER(SEARCH("REQUIRED EVERY SESSION",K68&amp;" "&amp;Q68))),"Pending",IF(OR(Q68="PASS",ISNUMBER(SEARCH("PASS",K68&amp;" "&amp;Q68))),"Done","Pending"))))</f>
        <v>Done</v>
      </c>
      <c r="V68" s="146">
        <f>IF(T68="","",VALUE(LEFT(T68,SEARCH("/",T68)-1)))</f>
        <v/>
      </c>
      <c r="W68" s="146">
        <f>IF(T68="","",VALUE(MID(T68,SEARCH("/",T68)+1,LEN(T68))))</f>
        <v/>
      </c>
    </row>
    <row r="69" customFormat="false" ht="15" hidden="false" customHeight="false" outlineLevel="0" collapsed="false">
      <c r="A69" s="135" t="s">
        <v>500</v>
      </c>
      <c r="B69" s="135" t="s">
        <v>299</v>
      </c>
      <c r="C69" s="256" t="s">
        <v>41</v>
      </c>
      <c r="D69" s="135" t="s">
        <v>501</v>
      </c>
      <c r="E69" s="135" t="s">
        <v>502</v>
      </c>
      <c r="F69" s="135" t="s">
        <v>4</v>
      </c>
      <c r="G69" s="135" t="s">
        <v>503</v>
      </c>
      <c r="H69" s="135" t="s">
        <v>504</v>
      </c>
      <c r="I69" s="135" t="s">
        <v>4</v>
      </c>
      <c r="J69" s="135" t="s">
        <v>505</v>
      </c>
      <c r="K69" s="135" t="s">
        <v>89</v>
      </c>
      <c r="L69" s="135" t="s">
        <v>1</v>
      </c>
      <c r="M69" s="135" t="s">
        <v>1</v>
      </c>
      <c r="N69" s="135" t="s">
        <v>481</v>
      </c>
      <c r="O69" s="135" t="s">
        <v>91</v>
      </c>
      <c r="P69" s="135" t="s">
        <v>92</v>
      </c>
      <c r="Q69" s="135" t="s">
        <v>89</v>
      </c>
      <c r="R69" s="135" t="s">
        <v>506</v>
      </c>
      <c r="S69" s="135" t="s">
        <v>351</v>
      </c>
      <c r="T69" s="135" t="s">
        <v>1</v>
      </c>
      <c r="U69" s="146" t="str">
        <f>IF(OR(ISNUMBER(SEARCH("FAIL",K69&amp;" "&amp;Q69)),ISNUMBER(SEARCH("CLEAN RETEST REQUIRED",K69&amp;" "&amp;Q69))),"Failed",IF(OR(ISNUMBER(SEARCH("NOT RUN",K69&amp;" "&amp;Q69)),ISNUMBER(SEARCH("NOT IMPLEMENTED",K69&amp;" "&amp;Q69))),"Not started",IF(OR(ISNUMBER(SEARCH("PARTIAL",K69&amp;" "&amp;Q69)),ISNUMBER(SEARCH("PENDING",K69&amp;" "&amp;Q69)),ISNUMBER(SEARCH("IN PROGRESS",K69&amp;" "&amp;Q69)),ISNUMBER(SEARCH("OPEN",K69&amp;" "&amp;Q69)),ISNUMBER(SEARCH("RETEST REQUIRED",K69&amp;" "&amp;Q69)),ISNUMBER(SEARCH("IMPLEMENTATION UPDATED",K69&amp;" "&amp;Q69)),ISNUMBER(SEARCH("REQUIRED EVERY SESSION",K69&amp;" "&amp;Q69))),"Pending",IF(OR(Q69="PASS",ISNUMBER(SEARCH("PASS",K69&amp;" "&amp;Q69))),"Done","Pending"))))</f>
        <v>Done</v>
      </c>
      <c r="V69" s="146">
        <f>IF(T69="","",VALUE(LEFT(T69,SEARCH("/",T69)-1)))</f>
        <v/>
      </c>
      <c r="W69" s="146">
        <f>IF(T69="","",VALUE(MID(T69,SEARCH("/",T69)+1,LEN(T69))))</f>
        <v/>
      </c>
    </row>
    <row r="70" customFormat="false" ht="15" hidden="false" customHeight="false" outlineLevel="0" collapsed="false">
      <c r="A70" s="135" t="s">
        <v>507</v>
      </c>
      <c r="B70" s="135" t="s">
        <v>299</v>
      </c>
      <c r="C70" s="256" t="s">
        <v>41</v>
      </c>
      <c r="D70" s="135" t="s">
        <v>501</v>
      </c>
      <c r="E70" s="135" t="s">
        <v>508</v>
      </c>
      <c r="F70" s="135" t="s">
        <v>4</v>
      </c>
      <c r="G70" s="135" t="s">
        <v>503</v>
      </c>
      <c r="H70" s="135" t="s">
        <v>4</v>
      </c>
      <c r="I70" s="135" t="s">
        <v>4</v>
      </c>
      <c r="J70" s="135" t="s">
        <v>87</v>
      </c>
      <c r="K70" s="135" t="s">
        <v>168</v>
      </c>
      <c r="L70" s="135" t="s">
        <v>1</v>
      </c>
      <c r="M70" s="135" t="s">
        <v>1</v>
      </c>
      <c r="N70" s="135" t="s">
        <v>481</v>
      </c>
      <c r="O70" s="135" t="s">
        <v>91</v>
      </c>
      <c r="P70" s="135" t="s">
        <v>92</v>
      </c>
      <c r="Q70" s="135" t="s">
        <v>89</v>
      </c>
      <c r="R70" s="135" t="s">
        <v>509</v>
      </c>
      <c r="S70" s="135" t="s">
        <v>510</v>
      </c>
      <c r="T70" s="135" t="s">
        <v>1</v>
      </c>
      <c r="U70" s="146" t="str">
        <f>IF(OR(ISNUMBER(SEARCH("FAIL",K70&amp;" "&amp;Q70)),ISNUMBER(SEARCH("CLEAN RETEST REQUIRED",K70&amp;" "&amp;Q70))),"Failed",IF(OR(ISNUMBER(SEARCH("NOT RUN",K70&amp;" "&amp;Q70)),ISNUMBER(SEARCH("NOT IMPLEMENTED",K70&amp;" "&amp;Q70))),"Not started",IF(OR(ISNUMBER(SEARCH("PARTIAL",K70&amp;" "&amp;Q70)),ISNUMBER(SEARCH("PENDING",K70&amp;" "&amp;Q70)),ISNUMBER(SEARCH("IN PROGRESS",K70&amp;" "&amp;Q70)),ISNUMBER(SEARCH("OPEN",K70&amp;" "&amp;Q70)),ISNUMBER(SEARCH("RETEST REQUIRED",K70&amp;" "&amp;Q70)),ISNUMBER(SEARCH("IMPLEMENTATION UPDATED",K70&amp;" "&amp;Q70)),ISNUMBER(SEARCH("REQUIRED EVERY SESSION",K70&amp;" "&amp;Q70))),"Pending",IF(OR(Q70="PASS",ISNUMBER(SEARCH("PASS",K70&amp;" "&amp;Q70))),"Done","Pending"))))</f>
        <v>Done</v>
      </c>
      <c r="V70" s="146">
        <f>IF(T70="","",VALUE(LEFT(T70,SEARCH("/",T70)-1)))</f>
        <v/>
      </c>
      <c r="W70" s="146">
        <f>IF(T70="","",VALUE(MID(T70,SEARCH("/",T70)+1,LEN(T70))))</f>
        <v/>
      </c>
    </row>
    <row r="71" customFormat="false" ht="15" hidden="false" customHeight="false" outlineLevel="0" collapsed="false">
      <c r="A71" s="135" t="s">
        <v>511</v>
      </c>
      <c r="B71" s="135" t="s">
        <v>299</v>
      </c>
      <c r="C71" s="256" t="s">
        <v>41</v>
      </c>
      <c r="D71" s="135" t="s">
        <v>512</v>
      </c>
      <c r="E71" s="135" t="s">
        <v>513</v>
      </c>
      <c r="F71" s="135" t="s">
        <v>514</v>
      </c>
      <c r="G71" s="135" t="s">
        <v>515</v>
      </c>
      <c r="H71" s="135" t="s">
        <v>516</v>
      </c>
      <c r="I71" s="135" t="s">
        <v>517</v>
      </c>
      <c r="J71" s="135" t="s">
        <v>87</v>
      </c>
      <c r="K71" s="135" t="s">
        <v>168</v>
      </c>
      <c r="L71" s="135" t="s">
        <v>1</v>
      </c>
      <c r="M71" s="135" t="s">
        <v>1</v>
      </c>
      <c r="N71" s="135" t="s">
        <v>518</v>
      </c>
      <c r="O71" s="135" t="s">
        <v>91</v>
      </c>
      <c r="P71" s="135" t="s">
        <v>92</v>
      </c>
      <c r="Q71" s="135" t="s">
        <v>89</v>
      </c>
      <c r="R71" s="135" t="s">
        <v>519</v>
      </c>
      <c r="S71" s="135" t="s">
        <v>94</v>
      </c>
      <c r="T71" s="135" t="s">
        <v>1</v>
      </c>
      <c r="U71" s="146" t="str">
        <f>IF(OR(ISNUMBER(SEARCH("FAIL",K71&amp;" "&amp;Q71)),ISNUMBER(SEARCH("CLEAN RETEST REQUIRED",K71&amp;" "&amp;Q71))),"Failed",IF(OR(ISNUMBER(SEARCH("NOT RUN",K71&amp;" "&amp;Q71)),ISNUMBER(SEARCH("NOT IMPLEMENTED",K71&amp;" "&amp;Q71))),"Not started",IF(OR(ISNUMBER(SEARCH("PARTIAL",K71&amp;" "&amp;Q71)),ISNUMBER(SEARCH("PENDING",K71&amp;" "&amp;Q71)),ISNUMBER(SEARCH("IN PROGRESS",K71&amp;" "&amp;Q71)),ISNUMBER(SEARCH("OPEN",K71&amp;" "&amp;Q71)),ISNUMBER(SEARCH("RETEST REQUIRED",K71&amp;" "&amp;Q71)),ISNUMBER(SEARCH("IMPLEMENTATION UPDATED",K71&amp;" "&amp;Q71)),ISNUMBER(SEARCH("REQUIRED EVERY SESSION",K71&amp;" "&amp;Q71))),"Pending",IF(OR(Q71="PASS",ISNUMBER(SEARCH("PASS",K71&amp;" "&amp;Q71))),"Done","Pending"))))</f>
        <v>Done</v>
      </c>
      <c r="V71" s="146">
        <f>IF(T71="","",VALUE(LEFT(T71,SEARCH("/",T71)-1)))</f>
        <v/>
      </c>
      <c r="W71" s="146">
        <f>IF(T71="","",VALUE(MID(T71,SEARCH("/",T71)+1,LEN(T71))))</f>
        <v/>
      </c>
    </row>
    <row r="72" customFormat="false" ht="15" hidden="false" customHeight="false" outlineLevel="0" collapsed="false">
      <c r="A72" s="135" t="s">
        <v>520</v>
      </c>
      <c r="B72" s="135" t="s">
        <v>299</v>
      </c>
      <c r="C72" s="256" t="s">
        <v>41</v>
      </c>
      <c r="D72" s="135" t="s">
        <v>521</v>
      </c>
      <c r="E72" s="135" t="s">
        <v>522</v>
      </c>
      <c r="F72" s="135" t="s">
        <v>523</v>
      </c>
      <c r="G72" s="135" t="s">
        <v>524</v>
      </c>
      <c r="H72" s="135" t="s">
        <v>304</v>
      </c>
      <c r="I72" s="135" t="s">
        <v>525</v>
      </c>
      <c r="J72" s="135" t="s">
        <v>87</v>
      </c>
      <c r="K72" s="135" t="s">
        <v>168</v>
      </c>
      <c r="L72" s="135" t="s">
        <v>1</v>
      </c>
      <c r="M72" s="135" t="s">
        <v>1</v>
      </c>
      <c r="N72" s="135" t="s">
        <v>526</v>
      </c>
      <c r="O72" s="135" t="s">
        <v>91</v>
      </c>
      <c r="P72" s="135" t="s">
        <v>92</v>
      </c>
      <c r="Q72" s="135" t="s">
        <v>89</v>
      </c>
      <c r="R72" s="135" t="s">
        <v>527</v>
      </c>
      <c r="S72" s="135" t="s">
        <v>399</v>
      </c>
      <c r="T72" s="135" t="s">
        <v>1</v>
      </c>
      <c r="U72" s="146" t="str">
        <f>IF(OR(ISNUMBER(SEARCH("FAIL",K72&amp;" "&amp;Q72)),ISNUMBER(SEARCH("CLEAN RETEST REQUIRED",K72&amp;" "&amp;Q72))),"Failed",IF(OR(ISNUMBER(SEARCH("NOT RUN",K72&amp;" "&amp;Q72)),ISNUMBER(SEARCH("NOT IMPLEMENTED",K72&amp;" "&amp;Q72))),"Not started",IF(OR(ISNUMBER(SEARCH("PARTIAL",K72&amp;" "&amp;Q72)),ISNUMBER(SEARCH("PENDING",K72&amp;" "&amp;Q72)),ISNUMBER(SEARCH("IN PROGRESS",K72&amp;" "&amp;Q72)),ISNUMBER(SEARCH("OPEN",K72&amp;" "&amp;Q72)),ISNUMBER(SEARCH("RETEST REQUIRED",K72&amp;" "&amp;Q72)),ISNUMBER(SEARCH("IMPLEMENTATION UPDATED",K72&amp;" "&amp;Q72)),ISNUMBER(SEARCH("REQUIRED EVERY SESSION",K72&amp;" "&amp;Q72))),"Pending",IF(OR(Q72="PASS",ISNUMBER(SEARCH("PASS",K72&amp;" "&amp;Q72))),"Done","Pending"))))</f>
        <v>Done</v>
      </c>
      <c r="V72" s="146">
        <f>IF(T72="","",VALUE(LEFT(T72,SEARCH("/",T72)-1)))</f>
        <v/>
      </c>
      <c r="W72" s="146">
        <f>IF(T72="","",VALUE(MID(T72,SEARCH("/",T72)+1,LEN(T72))))</f>
        <v/>
      </c>
    </row>
    <row r="73" customFormat="false" ht="15" hidden="false" customHeight="false" outlineLevel="0" collapsed="false">
      <c r="A73" s="135" t="s">
        <v>528</v>
      </c>
      <c r="B73" s="135" t="s">
        <v>299</v>
      </c>
      <c r="C73" s="256" t="s">
        <v>41</v>
      </c>
      <c r="D73" s="135" t="s">
        <v>521</v>
      </c>
      <c r="E73" s="135" t="s">
        <v>529</v>
      </c>
      <c r="F73" s="135" t="s">
        <v>4</v>
      </c>
      <c r="G73" s="135" t="s">
        <v>530</v>
      </c>
      <c r="H73" s="135" t="s">
        <v>531</v>
      </c>
      <c r="I73" s="135" t="s">
        <v>532</v>
      </c>
      <c r="J73" s="135" t="s">
        <v>87</v>
      </c>
      <c r="K73" s="135" t="s">
        <v>168</v>
      </c>
      <c r="L73" s="135" t="s">
        <v>1</v>
      </c>
      <c r="M73" s="135" t="s">
        <v>1</v>
      </c>
      <c r="N73" s="135" t="s">
        <v>526</v>
      </c>
      <c r="O73" s="135" t="s">
        <v>91</v>
      </c>
      <c r="P73" s="135" t="s">
        <v>92</v>
      </c>
      <c r="Q73" s="135" t="s">
        <v>89</v>
      </c>
      <c r="R73" s="135" t="s">
        <v>533</v>
      </c>
      <c r="S73" s="135" t="s">
        <v>94</v>
      </c>
      <c r="T73" s="135" t="s">
        <v>1</v>
      </c>
      <c r="U73" s="146" t="str">
        <f>IF(OR(ISNUMBER(SEARCH("FAIL",K73&amp;" "&amp;Q73)),ISNUMBER(SEARCH("CLEAN RETEST REQUIRED",K73&amp;" "&amp;Q73))),"Failed",IF(OR(ISNUMBER(SEARCH("NOT RUN",K73&amp;" "&amp;Q73)),ISNUMBER(SEARCH("NOT IMPLEMENTED",K73&amp;" "&amp;Q73))),"Not started",IF(OR(ISNUMBER(SEARCH("PARTIAL",K73&amp;" "&amp;Q73)),ISNUMBER(SEARCH("PENDING",K73&amp;" "&amp;Q73)),ISNUMBER(SEARCH("IN PROGRESS",K73&amp;" "&amp;Q73)),ISNUMBER(SEARCH("OPEN",K73&amp;" "&amp;Q73)),ISNUMBER(SEARCH("RETEST REQUIRED",K73&amp;" "&amp;Q73)),ISNUMBER(SEARCH("IMPLEMENTATION UPDATED",K73&amp;" "&amp;Q73)),ISNUMBER(SEARCH("REQUIRED EVERY SESSION",K73&amp;" "&amp;Q73))),"Pending",IF(OR(Q73="PASS",ISNUMBER(SEARCH("PASS",K73&amp;" "&amp;Q73))),"Done","Pending"))))</f>
        <v>Done</v>
      </c>
      <c r="V73" s="146">
        <f>IF(T73="","",VALUE(LEFT(T73,SEARCH("/",T73)-1)))</f>
        <v/>
      </c>
      <c r="W73" s="146">
        <f>IF(T73="","",VALUE(MID(T73,SEARCH("/",T73)+1,LEN(T73))))</f>
        <v/>
      </c>
    </row>
    <row r="74" customFormat="false" ht="15" hidden="false" customHeight="false" outlineLevel="0" collapsed="false">
      <c r="A74" s="135" t="s">
        <v>534</v>
      </c>
      <c r="B74" s="135" t="s">
        <v>299</v>
      </c>
      <c r="C74" s="256" t="s">
        <v>41</v>
      </c>
      <c r="D74" s="135" t="s">
        <v>535</v>
      </c>
      <c r="E74" s="135" t="s">
        <v>536</v>
      </c>
      <c r="F74" s="135" t="s">
        <v>4</v>
      </c>
      <c r="G74" s="135" t="s">
        <v>537</v>
      </c>
      <c r="H74" s="135" t="s">
        <v>4</v>
      </c>
      <c r="I74" s="135" t="s">
        <v>538</v>
      </c>
      <c r="J74" s="135" t="s">
        <v>87</v>
      </c>
      <c r="K74" s="135" t="s">
        <v>168</v>
      </c>
      <c r="L74" s="135" t="s">
        <v>1</v>
      </c>
      <c r="M74" s="135" t="s">
        <v>1</v>
      </c>
      <c r="N74" s="135" t="s">
        <v>526</v>
      </c>
      <c r="O74" s="135" t="s">
        <v>91</v>
      </c>
      <c r="P74" s="135" t="s">
        <v>92</v>
      </c>
      <c r="Q74" s="135" t="s">
        <v>89</v>
      </c>
      <c r="R74" s="135" t="s">
        <v>539</v>
      </c>
      <c r="S74" s="135" t="s">
        <v>94</v>
      </c>
      <c r="T74" s="135" t="s">
        <v>1</v>
      </c>
      <c r="U74" s="146" t="str">
        <f>IF(OR(ISNUMBER(SEARCH("FAIL",K74&amp;" "&amp;Q74)),ISNUMBER(SEARCH("CLEAN RETEST REQUIRED",K74&amp;" "&amp;Q74))),"Failed",IF(OR(ISNUMBER(SEARCH("NOT RUN",K74&amp;" "&amp;Q74)),ISNUMBER(SEARCH("NOT IMPLEMENTED",K74&amp;" "&amp;Q74))),"Not started",IF(OR(ISNUMBER(SEARCH("PARTIAL",K74&amp;" "&amp;Q74)),ISNUMBER(SEARCH("PENDING",K74&amp;" "&amp;Q74)),ISNUMBER(SEARCH("IN PROGRESS",K74&amp;" "&amp;Q74)),ISNUMBER(SEARCH("OPEN",K74&amp;" "&amp;Q74)),ISNUMBER(SEARCH("RETEST REQUIRED",K74&amp;" "&amp;Q74)),ISNUMBER(SEARCH("IMPLEMENTATION UPDATED",K74&amp;" "&amp;Q74)),ISNUMBER(SEARCH("REQUIRED EVERY SESSION",K74&amp;" "&amp;Q74))),"Pending",IF(OR(Q74="PASS",ISNUMBER(SEARCH("PASS",K74&amp;" "&amp;Q74))),"Done","Pending"))))</f>
        <v>Done</v>
      </c>
      <c r="V74" s="146">
        <f>IF(T74="","",VALUE(LEFT(T74,SEARCH("/",T74)-1)))</f>
        <v/>
      </c>
      <c r="W74" s="146">
        <f>IF(T74="","",VALUE(MID(T74,SEARCH("/",T74)+1,LEN(T74))))</f>
        <v/>
      </c>
    </row>
    <row r="75" customFormat="false" ht="15" hidden="false" customHeight="false" outlineLevel="0" collapsed="false">
      <c r="A75" s="135" t="s">
        <v>540</v>
      </c>
      <c r="B75" s="135" t="s">
        <v>299</v>
      </c>
      <c r="C75" s="256" t="s">
        <v>41</v>
      </c>
      <c r="D75" s="135" t="s">
        <v>521</v>
      </c>
      <c r="E75" s="135" t="s">
        <v>541</v>
      </c>
      <c r="F75" s="135" t="s">
        <v>542</v>
      </c>
      <c r="G75" s="135" t="s">
        <v>4</v>
      </c>
      <c r="H75" s="135" t="s">
        <v>4</v>
      </c>
      <c r="I75" s="135" t="s">
        <v>4</v>
      </c>
      <c r="J75" s="135" t="s">
        <v>87</v>
      </c>
      <c r="K75" s="135" t="s">
        <v>168</v>
      </c>
      <c r="L75" s="135" t="s">
        <v>1</v>
      </c>
      <c r="M75" s="135" t="s">
        <v>1</v>
      </c>
      <c r="N75" s="135" t="s">
        <v>526</v>
      </c>
      <c r="O75" s="135" t="s">
        <v>91</v>
      </c>
      <c r="P75" s="135" t="s">
        <v>92</v>
      </c>
      <c r="Q75" s="135" t="s">
        <v>89</v>
      </c>
      <c r="R75" s="135" t="s">
        <v>543</v>
      </c>
      <c r="S75" s="135" t="s">
        <v>188</v>
      </c>
      <c r="T75" s="135" t="s">
        <v>1</v>
      </c>
      <c r="U75" s="146" t="str">
        <f>IF(OR(ISNUMBER(SEARCH("FAIL",K75&amp;" "&amp;Q75)),ISNUMBER(SEARCH("CLEAN RETEST REQUIRED",K75&amp;" "&amp;Q75))),"Failed",IF(OR(ISNUMBER(SEARCH("NOT RUN",K75&amp;" "&amp;Q75)),ISNUMBER(SEARCH("NOT IMPLEMENTED",K75&amp;" "&amp;Q75))),"Not started",IF(OR(ISNUMBER(SEARCH("PARTIAL",K75&amp;" "&amp;Q75)),ISNUMBER(SEARCH("PENDING",K75&amp;" "&amp;Q75)),ISNUMBER(SEARCH("IN PROGRESS",K75&amp;" "&amp;Q75)),ISNUMBER(SEARCH("OPEN",K75&amp;" "&amp;Q75)),ISNUMBER(SEARCH("RETEST REQUIRED",K75&amp;" "&amp;Q75)),ISNUMBER(SEARCH("IMPLEMENTATION UPDATED",K75&amp;" "&amp;Q75)),ISNUMBER(SEARCH("REQUIRED EVERY SESSION",K75&amp;" "&amp;Q75))),"Pending",IF(OR(Q75="PASS",ISNUMBER(SEARCH("PASS",K75&amp;" "&amp;Q75))),"Done","Pending"))))</f>
        <v>Done</v>
      </c>
      <c r="V75" s="146">
        <f>IF(T75="","",VALUE(LEFT(T75,SEARCH("/",T75)-1)))</f>
        <v/>
      </c>
      <c r="W75" s="146">
        <f>IF(T75="","",VALUE(MID(T75,SEARCH("/",T75)+1,LEN(T75))))</f>
        <v/>
      </c>
    </row>
    <row r="76" customFormat="false" ht="15" hidden="false" customHeight="false" outlineLevel="0" collapsed="false">
      <c r="A76" s="135" t="s">
        <v>544</v>
      </c>
      <c r="B76" s="135" t="s">
        <v>299</v>
      </c>
      <c r="C76" s="256" t="s">
        <v>41</v>
      </c>
      <c r="D76" s="135" t="s">
        <v>545</v>
      </c>
      <c r="E76" s="135" t="s">
        <v>546</v>
      </c>
      <c r="F76" s="135" t="s">
        <v>547</v>
      </c>
      <c r="G76" s="135" t="s">
        <v>548</v>
      </c>
      <c r="H76" s="135" t="s">
        <v>549</v>
      </c>
      <c r="I76" s="135" t="s">
        <v>550</v>
      </c>
      <c r="J76" s="135" t="s">
        <v>87</v>
      </c>
      <c r="K76" s="135" t="s">
        <v>168</v>
      </c>
      <c r="L76" s="135" t="s">
        <v>1</v>
      </c>
      <c r="M76" s="135" t="s">
        <v>1</v>
      </c>
      <c r="N76" s="135" t="s">
        <v>526</v>
      </c>
      <c r="O76" s="135" t="s">
        <v>91</v>
      </c>
      <c r="P76" s="135" t="s">
        <v>92</v>
      </c>
      <c r="Q76" s="135" t="s">
        <v>89</v>
      </c>
      <c r="R76" s="135" t="s">
        <v>551</v>
      </c>
      <c r="S76" s="135" t="s">
        <v>94</v>
      </c>
      <c r="T76" s="135" t="s">
        <v>1</v>
      </c>
      <c r="U76" s="146" t="str">
        <f>IF(OR(ISNUMBER(SEARCH("FAIL",K76&amp;" "&amp;Q76)),ISNUMBER(SEARCH("CLEAN RETEST REQUIRED",K76&amp;" "&amp;Q76))),"Failed",IF(OR(ISNUMBER(SEARCH("NOT RUN",K76&amp;" "&amp;Q76)),ISNUMBER(SEARCH("NOT IMPLEMENTED",K76&amp;" "&amp;Q76))),"Not started",IF(OR(ISNUMBER(SEARCH("PARTIAL",K76&amp;" "&amp;Q76)),ISNUMBER(SEARCH("PENDING",K76&amp;" "&amp;Q76)),ISNUMBER(SEARCH("IN PROGRESS",K76&amp;" "&amp;Q76)),ISNUMBER(SEARCH("OPEN",K76&amp;" "&amp;Q76)),ISNUMBER(SEARCH("RETEST REQUIRED",K76&amp;" "&amp;Q76)),ISNUMBER(SEARCH("IMPLEMENTATION UPDATED",K76&amp;" "&amp;Q76)),ISNUMBER(SEARCH("REQUIRED EVERY SESSION",K76&amp;" "&amp;Q76))),"Pending",IF(OR(Q76="PASS",ISNUMBER(SEARCH("PASS",K76&amp;" "&amp;Q76))),"Done","Pending"))))</f>
        <v>Done</v>
      </c>
      <c r="V76" s="146">
        <f>IF(T76="","",VALUE(LEFT(T76,SEARCH("/",T76)-1)))</f>
        <v/>
      </c>
      <c r="W76" s="146">
        <f>IF(T76="","",VALUE(MID(T76,SEARCH("/",T76)+1,LEN(T76))))</f>
        <v/>
      </c>
    </row>
    <row r="77" customFormat="false" ht="15" hidden="false" customHeight="false" outlineLevel="0" collapsed="false">
      <c r="A77" s="135" t="s">
        <v>552</v>
      </c>
      <c r="B77" s="135" t="s">
        <v>299</v>
      </c>
      <c r="C77" s="256" t="s">
        <v>41</v>
      </c>
      <c r="D77" s="135" t="s">
        <v>553</v>
      </c>
      <c r="E77" s="135" t="s">
        <v>554</v>
      </c>
      <c r="F77" s="135" t="s">
        <v>555</v>
      </c>
      <c r="G77" s="135" t="s">
        <v>107</v>
      </c>
      <c r="H77" s="135" t="s">
        <v>556</v>
      </c>
      <c r="I77" s="135" t="s">
        <v>107</v>
      </c>
      <c r="J77" s="135" t="s">
        <v>87</v>
      </c>
      <c r="K77" s="135" t="s">
        <v>557</v>
      </c>
      <c r="L77" s="135" t="s">
        <v>1</v>
      </c>
      <c r="M77" s="135" t="s">
        <v>1</v>
      </c>
      <c r="N77" s="135" t="s">
        <v>558</v>
      </c>
      <c r="O77" s="135" t="s">
        <v>91</v>
      </c>
      <c r="P77" s="135" t="s">
        <v>92</v>
      </c>
      <c r="Q77" s="135" t="s">
        <v>89</v>
      </c>
      <c r="R77" s="135" t="s">
        <v>559</v>
      </c>
      <c r="S77" s="135" t="s">
        <v>94</v>
      </c>
      <c r="T77" s="135" t="s">
        <v>1</v>
      </c>
      <c r="U77" s="146" t="str">
        <f>IF(OR(ISNUMBER(SEARCH("FAIL",K77&amp;" "&amp;Q77)),ISNUMBER(SEARCH("CLEAN RETEST REQUIRED",K77&amp;" "&amp;Q77))),"Failed",IF(OR(ISNUMBER(SEARCH("NOT RUN",K77&amp;" "&amp;Q77)),ISNUMBER(SEARCH("NOT IMPLEMENTED",K77&amp;" "&amp;Q77))),"Not started",IF(OR(ISNUMBER(SEARCH("PARTIAL",K77&amp;" "&amp;Q77)),ISNUMBER(SEARCH("PENDING",K77&amp;" "&amp;Q77)),ISNUMBER(SEARCH("IN PROGRESS",K77&amp;" "&amp;Q77)),ISNUMBER(SEARCH("OPEN",K77&amp;" "&amp;Q77)),ISNUMBER(SEARCH("RETEST REQUIRED",K77&amp;" "&amp;Q77)),ISNUMBER(SEARCH("IMPLEMENTATION UPDATED",K77&amp;" "&amp;Q77)),ISNUMBER(SEARCH("REQUIRED EVERY SESSION",K77&amp;" "&amp;Q77))),"Pending",IF(OR(Q77="PASS",ISNUMBER(SEARCH("PASS",K77&amp;" "&amp;Q77))),"Done","Pending"))))</f>
        <v>Done</v>
      </c>
      <c r="V77" s="146">
        <f>IF(T77="","",VALUE(LEFT(T77,SEARCH("/",T77)-1)))</f>
        <v/>
      </c>
      <c r="W77" s="146">
        <f>IF(T77="","",VALUE(MID(T77,SEARCH("/",T77)+1,LEN(T77))))</f>
        <v/>
      </c>
    </row>
    <row r="78" customFormat="false" ht="15" hidden="false" customHeight="false" outlineLevel="0" collapsed="false">
      <c r="A78" s="135" t="s">
        <v>560</v>
      </c>
      <c r="B78" s="135" t="s">
        <v>299</v>
      </c>
      <c r="C78" s="256" t="s">
        <v>41</v>
      </c>
      <c r="D78" s="135" t="s">
        <v>561</v>
      </c>
      <c r="E78" s="135" t="s">
        <v>562</v>
      </c>
      <c r="F78" s="135" t="s">
        <v>4</v>
      </c>
      <c r="G78" s="135" t="s">
        <v>4</v>
      </c>
      <c r="H78" s="135" t="s">
        <v>563</v>
      </c>
      <c r="I78" s="135" t="s">
        <v>564</v>
      </c>
      <c r="J78" s="135" t="s">
        <v>565</v>
      </c>
      <c r="K78" s="135" t="s">
        <v>168</v>
      </c>
      <c r="L78" s="135" t="s">
        <v>1</v>
      </c>
      <c r="M78" s="135" t="s">
        <v>1</v>
      </c>
      <c r="N78" s="135" t="s">
        <v>558</v>
      </c>
      <c r="O78" s="135" t="s">
        <v>91</v>
      </c>
      <c r="P78" s="135" t="s">
        <v>92</v>
      </c>
      <c r="Q78" s="135" t="s">
        <v>89</v>
      </c>
      <c r="R78" s="135" t="s">
        <v>566</v>
      </c>
      <c r="S78" s="135" t="s">
        <v>94</v>
      </c>
      <c r="T78" s="135" t="s">
        <v>1</v>
      </c>
      <c r="U78" s="146" t="str">
        <f>IF(OR(ISNUMBER(SEARCH("FAIL",K78&amp;" "&amp;Q78)),ISNUMBER(SEARCH("CLEAN RETEST REQUIRED",K78&amp;" "&amp;Q78))),"Failed",IF(OR(ISNUMBER(SEARCH("NOT RUN",K78&amp;" "&amp;Q78)),ISNUMBER(SEARCH("NOT IMPLEMENTED",K78&amp;" "&amp;Q78))),"Not started",IF(OR(ISNUMBER(SEARCH("PARTIAL",K78&amp;" "&amp;Q78)),ISNUMBER(SEARCH("PENDING",K78&amp;" "&amp;Q78)),ISNUMBER(SEARCH("IN PROGRESS",K78&amp;" "&amp;Q78)),ISNUMBER(SEARCH("OPEN",K78&amp;" "&amp;Q78)),ISNUMBER(SEARCH("RETEST REQUIRED",K78&amp;" "&amp;Q78)),ISNUMBER(SEARCH("IMPLEMENTATION UPDATED",K78&amp;" "&amp;Q78)),ISNUMBER(SEARCH("REQUIRED EVERY SESSION",K78&amp;" "&amp;Q78))),"Pending",IF(OR(Q78="PASS",ISNUMBER(SEARCH("PASS",K78&amp;" "&amp;Q78))),"Done","Pending"))))</f>
        <v>Done</v>
      </c>
      <c r="V78" s="146">
        <f>IF(T78="","",VALUE(LEFT(T78,SEARCH("/",T78)-1)))</f>
        <v/>
      </c>
      <c r="W78" s="146">
        <f>IF(T78="","",VALUE(MID(T78,SEARCH("/",T78)+1,LEN(T78))))</f>
        <v/>
      </c>
    </row>
    <row r="79" customFormat="false" ht="15" hidden="false" customHeight="false" outlineLevel="0" collapsed="false">
      <c r="A79" s="135" t="s">
        <v>567</v>
      </c>
      <c r="B79" s="135" t="s">
        <v>299</v>
      </c>
      <c r="C79" s="256" t="s">
        <v>41</v>
      </c>
      <c r="D79" s="135" t="s">
        <v>568</v>
      </c>
      <c r="E79" s="135" t="s">
        <v>569</v>
      </c>
      <c r="F79" s="135" t="s">
        <v>570</v>
      </c>
      <c r="G79" s="135" t="s">
        <v>107</v>
      </c>
      <c r="H79" s="135" t="s">
        <v>571</v>
      </c>
      <c r="I79" s="135" t="s">
        <v>107</v>
      </c>
      <c r="J79" s="135" t="s">
        <v>87</v>
      </c>
      <c r="K79" s="135" t="s">
        <v>168</v>
      </c>
      <c r="L79" s="135" t="s">
        <v>1</v>
      </c>
      <c r="M79" s="135" t="s">
        <v>1</v>
      </c>
      <c r="N79" s="135" t="s">
        <v>558</v>
      </c>
      <c r="O79" s="135" t="s">
        <v>91</v>
      </c>
      <c r="P79" s="135" t="s">
        <v>92</v>
      </c>
      <c r="Q79" s="135" t="s">
        <v>89</v>
      </c>
      <c r="R79" s="135" t="s">
        <v>572</v>
      </c>
      <c r="S79" s="135" t="s">
        <v>94</v>
      </c>
      <c r="T79" s="135" t="s">
        <v>1</v>
      </c>
      <c r="U79" s="146" t="str">
        <f>IF(OR(ISNUMBER(SEARCH("FAIL",K79&amp;" "&amp;Q79)),ISNUMBER(SEARCH("CLEAN RETEST REQUIRED",K79&amp;" "&amp;Q79))),"Failed",IF(OR(ISNUMBER(SEARCH("NOT RUN",K79&amp;" "&amp;Q79)),ISNUMBER(SEARCH("NOT IMPLEMENTED",K79&amp;" "&amp;Q79))),"Not started",IF(OR(ISNUMBER(SEARCH("PARTIAL",K79&amp;" "&amp;Q79)),ISNUMBER(SEARCH("PENDING",K79&amp;" "&amp;Q79)),ISNUMBER(SEARCH("IN PROGRESS",K79&amp;" "&amp;Q79)),ISNUMBER(SEARCH("OPEN",K79&amp;" "&amp;Q79)),ISNUMBER(SEARCH("RETEST REQUIRED",K79&amp;" "&amp;Q79)),ISNUMBER(SEARCH("IMPLEMENTATION UPDATED",K79&amp;" "&amp;Q79)),ISNUMBER(SEARCH("REQUIRED EVERY SESSION",K79&amp;" "&amp;Q79))),"Pending",IF(OR(Q79="PASS",ISNUMBER(SEARCH("PASS",K79&amp;" "&amp;Q79))),"Done","Pending"))))</f>
        <v>Done</v>
      </c>
      <c r="V79" s="146">
        <f>IF(T79="","",VALUE(LEFT(T79,SEARCH("/",T79)-1)))</f>
        <v/>
      </c>
      <c r="W79" s="146">
        <f>IF(T79="","",VALUE(MID(T79,SEARCH("/",T79)+1,LEN(T79))))</f>
        <v/>
      </c>
    </row>
    <row r="80" customFormat="false" ht="15" hidden="false" customHeight="false" outlineLevel="0" collapsed="false">
      <c r="A80" s="135" t="s">
        <v>573</v>
      </c>
      <c r="B80" s="135" t="s">
        <v>299</v>
      </c>
      <c r="C80" s="256" t="s">
        <v>41</v>
      </c>
      <c r="D80" s="135" t="s">
        <v>574</v>
      </c>
      <c r="E80" s="135" t="s">
        <v>575</v>
      </c>
      <c r="F80" s="135" t="s">
        <v>576</v>
      </c>
      <c r="G80" s="135" t="s">
        <v>577</v>
      </c>
      <c r="H80" s="135" t="s">
        <v>578</v>
      </c>
      <c r="I80" s="135" t="s">
        <v>579</v>
      </c>
      <c r="J80" s="135" t="s">
        <v>87</v>
      </c>
      <c r="K80" s="135" t="s">
        <v>168</v>
      </c>
      <c r="L80" s="135" t="s">
        <v>1</v>
      </c>
      <c r="M80" s="135" t="s">
        <v>1</v>
      </c>
      <c r="N80" s="135" t="s">
        <v>186</v>
      </c>
      <c r="O80" s="135" t="s">
        <v>91</v>
      </c>
      <c r="P80" s="135" t="s">
        <v>92</v>
      </c>
      <c r="Q80" s="135" t="s">
        <v>89</v>
      </c>
      <c r="R80" s="135" t="s">
        <v>580</v>
      </c>
      <c r="S80" s="135" t="s">
        <v>94</v>
      </c>
      <c r="T80" s="135" t="s">
        <v>1</v>
      </c>
      <c r="U80" s="146" t="str">
        <f>IF(OR(ISNUMBER(SEARCH("FAIL",K80&amp;" "&amp;Q80)),ISNUMBER(SEARCH("CLEAN RETEST REQUIRED",K80&amp;" "&amp;Q80))),"Failed",IF(OR(ISNUMBER(SEARCH("NOT RUN",K80&amp;" "&amp;Q80)),ISNUMBER(SEARCH("NOT IMPLEMENTED",K80&amp;" "&amp;Q80))),"Not started",IF(OR(ISNUMBER(SEARCH("PARTIAL",K80&amp;" "&amp;Q80)),ISNUMBER(SEARCH("PENDING",K80&amp;" "&amp;Q80)),ISNUMBER(SEARCH("IN PROGRESS",K80&amp;" "&amp;Q80)),ISNUMBER(SEARCH("OPEN",K80&amp;" "&amp;Q80)),ISNUMBER(SEARCH("RETEST REQUIRED",K80&amp;" "&amp;Q80)),ISNUMBER(SEARCH("IMPLEMENTATION UPDATED",K80&amp;" "&amp;Q80)),ISNUMBER(SEARCH("REQUIRED EVERY SESSION",K80&amp;" "&amp;Q80))),"Pending",IF(OR(Q80="PASS",ISNUMBER(SEARCH("PASS",K80&amp;" "&amp;Q80))),"Done","Pending"))))</f>
        <v>Done</v>
      </c>
      <c r="V80" s="146">
        <f>IF(T80="","",VALUE(LEFT(T80,SEARCH("/",T80)-1)))</f>
        <v/>
      </c>
      <c r="W80" s="146">
        <f>IF(T80="","",VALUE(MID(T80,SEARCH("/",T80)+1,LEN(T80))))</f>
        <v/>
      </c>
    </row>
    <row r="81" customFormat="false" ht="15" hidden="false" customHeight="false" outlineLevel="0" collapsed="false">
      <c r="A81" s="135" t="s">
        <v>581</v>
      </c>
      <c r="B81" s="135" t="s">
        <v>299</v>
      </c>
      <c r="C81" s="256" t="s">
        <v>41</v>
      </c>
      <c r="D81" s="135" t="s">
        <v>582</v>
      </c>
      <c r="E81" s="135" t="s">
        <v>583</v>
      </c>
      <c r="F81" s="135" t="s">
        <v>4</v>
      </c>
      <c r="G81" s="135" t="s">
        <v>584</v>
      </c>
      <c r="H81" s="135" t="s">
        <v>4</v>
      </c>
      <c r="I81" s="135" t="s">
        <v>585</v>
      </c>
      <c r="J81" s="135" t="s">
        <v>87</v>
      </c>
      <c r="K81" s="135" t="s">
        <v>168</v>
      </c>
      <c r="L81" s="135" t="s">
        <v>1</v>
      </c>
      <c r="M81" s="135" t="s">
        <v>1</v>
      </c>
      <c r="N81" s="135" t="s">
        <v>186</v>
      </c>
      <c r="O81" s="135" t="s">
        <v>91</v>
      </c>
      <c r="P81" s="135" t="s">
        <v>92</v>
      </c>
      <c r="Q81" s="135" t="s">
        <v>89</v>
      </c>
      <c r="R81" s="135" t="s">
        <v>586</v>
      </c>
      <c r="S81" s="135" t="s">
        <v>94</v>
      </c>
      <c r="T81" s="135" t="s">
        <v>1</v>
      </c>
      <c r="U81" s="146" t="str">
        <f>IF(OR(ISNUMBER(SEARCH("FAIL",K81&amp;" "&amp;Q81)),ISNUMBER(SEARCH("CLEAN RETEST REQUIRED",K81&amp;" "&amp;Q81))),"Failed",IF(OR(ISNUMBER(SEARCH("NOT RUN",K81&amp;" "&amp;Q81)),ISNUMBER(SEARCH("NOT IMPLEMENTED",K81&amp;" "&amp;Q81))),"Not started",IF(OR(ISNUMBER(SEARCH("PARTIAL",K81&amp;" "&amp;Q81)),ISNUMBER(SEARCH("PENDING",K81&amp;" "&amp;Q81)),ISNUMBER(SEARCH("IN PROGRESS",K81&amp;" "&amp;Q81)),ISNUMBER(SEARCH("OPEN",K81&amp;" "&amp;Q81)),ISNUMBER(SEARCH("RETEST REQUIRED",K81&amp;" "&amp;Q81)),ISNUMBER(SEARCH("IMPLEMENTATION UPDATED",K81&amp;" "&amp;Q81)),ISNUMBER(SEARCH("REQUIRED EVERY SESSION",K81&amp;" "&amp;Q81))),"Pending",IF(OR(Q81="PASS",ISNUMBER(SEARCH("PASS",K81&amp;" "&amp;Q81))),"Done","Pending"))))</f>
        <v>Done</v>
      </c>
      <c r="V81" s="146">
        <f>IF(T81="","",VALUE(LEFT(T81,SEARCH("/",T81)-1)))</f>
        <v/>
      </c>
      <c r="W81" s="146">
        <f>IF(T81="","",VALUE(MID(T81,SEARCH("/",T81)+1,LEN(T81))))</f>
        <v/>
      </c>
    </row>
    <row r="82" customFormat="false" ht="15" hidden="false" customHeight="false" outlineLevel="0" collapsed="false">
      <c r="A82" s="135" t="s">
        <v>587</v>
      </c>
      <c r="B82" s="135" t="s">
        <v>299</v>
      </c>
      <c r="C82" s="256" t="s">
        <v>41</v>
      </c>
      <c r="D82" s="135" t="s">
        <v>588</v>
      </c>
      <c r="E82" s="135" t="s">
        <v>589</v>
      </c>
      <c r="F82" s="135" t="s">
        <v>4</v>
      </c>
      <c r="G82" s="135" t="s">
        <v>107</v>
      </c>
      <c r="H82" s="135" t="s">
        <v>4</v>
      </c>
      <c r="I82" s="135" t="s">
        <v>590</v>
      </c>
      <c r="J82" s="135" t="s">
        <v>87</v>
      </c>
      <c r="K82" s="135" t="s">
        <v>168</v>
      </c>
      <c r="L82" s="135" t="s">
        <v>1</v>
      </c>
      <c r="M82" s="135" t="s">
        <v>1</v>
      </c>
      <c r="N82" s="135" t="s">
        <v>526</v>
      </c>
      <c r="O82" s="135" t="s">
        <v>91</v>
      </c>
      <c r="P82" s="135" t="s">
        <v>92</v>
      </c>
      <c r="Q82" s="135" t="s">
        <v>89</v>
      </c>
      <c r="R82" s="135" t="s">
        <v>591</v>
      </c>
      <c r="S82" s="135" t="s">
        <v>94</v>
      </c>
      <c r="T82" s="135" t="s">
        <v>1</v>
      </c>
      <c r="U82" s="146" t="str">
        <f>IF(OR(ISNUMBER(SEARCH("FAIL",K82&amp;" "&amp;Q82)),ISNUMBER(SEARCH("CLEAN RETEST REQUIRED",K82&amp;" "&amp;Q82))),"Failed",IF(OR(ISNUMBER(SEARCH("NOT RUN",K82&amp;" "&amp;Q82)),ISNUMBER(SEARCH("NOT IMPLEMENTED",K82&amp;" "&amp;Q82))),"Not started",IF(OR(ISNUMBER(SEARCH("PARTIAL",K82&amp;" "&amp;Q82)),ISNUMBER(SEARCH("PENDING",K82&amp;" "&amp;Q82)),ISNUMBER(SEARCH("IN PROGRESS",K82&amp;" "&amp;Q82)),ISNUMBER(SEARCH("OPEN",K82&amp;" "&amp;Q82)),ISNUMBER(SEARCH("RETEST REQUIRED",K82&amp;" "&amp;Q82)),ISNUMBER(SEARCH("IMPLEMENTATION UPDATED",K82&amp;" "&amp;Q82)),ISNUMBER(SEARCH("REQUIRED EVERY SESSION",K82&amp;" "&amp;Q82))),"Pending",IF(OR(Q82="PASS",ISNUMBER(SEARCH("PASS",K82&amp;" "&amp;Q82))),"Done","Pending"))))</f>
        <v>Done</v>
      </c>
      <c r="V82" s="146">
        <f>IF(T82="","",VALUE(LEFT(T82,SEARCH("/",T82)-1)))</f>
        <v/>
      </c>
      <c r="W82" s="146">
        <f>IF(T82="","",VALUE(MID(T82,SEARCH("/",T82)+1,LEN(T82))))</f>
        <v/>
      </c>
    </row>
    <row r="83" customFormat="false" ht="15" hidden="false" customHeight="false" outlineLevel="0" collapsed="false">
      <c r="A83" s="135" t="s">
        <v>592</v>
      </c>
      <c r="B83" s="135" t="s">
        <v>593</v>
      </c>
      <c r="C83" s="256" t="s">
        <v>41</v>
      </c>
      <c r="D83" s="135" t="s">
        <v>594</v>
      </c>
      <c r="E83" s="135" t="s">
        <v>595</v>
      </c>
      <c r="F83" s="135" t="s">
        <v>596</v>
      </c>
      <c r="G83" s="135" t="s">
        <v>107</v>
      </c>
      <c r="H83" s="135" t="s">
        <v>597</v>
      </c>
      <c r="I83" s="135" t="s">
        <v>598</v>
      </c>
      <c r="J83" s="135" t="s">
        <v>87</v>
      </c>
      <c r="K83" s="135" t="s">
        <v>168</v>
      </c>
      <c r="L83" s="135" t="s">
        <v>1</v>
      </c>
      <c r="M83" s="135" t="s">
        <v>1</v>
      </c>
      <c r="N83" s="135" t="s">
        <v>186</v>
      </c>
      <c r="O83" s="135" t="s">
        <v>91</v>
      </c>
      <c r="P83" s="135" t="s">
        <v>92</v>
      </c>
      <c r="Q83" s="135" t="s">
        <v>89</v>
      </c>
      <c r="R83" s="135" t="s">
        <v>599</v>
      </c>
      <c r="S83" s="135" t="s">
        <v>94</v>
      </c>
      <c r="T83" s="135" t="s">
        <v>1</v>
      </c>
      <c r="U83" s="146" t="str">
        <f>IF(OR(ISNUMBER(SEARCH("FAIL",K83&amp;" "&amp;Q83)),ISNUMBER(SEARCH("CLEAN RETEST REQUIRED",K83&amp;" "&amp;Q83))),"Failed",IF(OR(ISNUMBER(SEARCH("NOT RUN",K83&amp;" "&amp;Q83)),ISNUMBER(SEARCH("NOT IMPLEMENTED",K83&amp;" "&amp;Q83))),"Not started",IF(OR(ISNUMBER(SEARCH("PARTIAL",K83&amp;" "&amp;Q83)),ISNUMBER(SEARCH("PENDING",K83&amp;" "&amp;Q83)),ISNUMBER(SEARCH("IN PROGRESS",K83&amp;" "&amp;Q83)),ISNUMBER(SEARCH("OPEN",K83&amp;" "&amp;Q83)),ISNUMBER(SEARCH("RETEST REQUIRED",K83&amp;" "&amp;Q83)),ISNUMBER(SEARCH("IMPLEMENTATION UPDATED",K83&amp;" "&amp;Q83)),ISNUMBER(SEARCH("REQUIRED EVERY SESSION",K83&amp;" "&amp;Q83))),"Pending",IF(OR(Q83="PASS",ISNUMBER(SEARCH("PASS",K83&amp;" "&amp;Q83))),"Done","Pending"))))</f>
        <v>Done</v>
      </c>
      <c r="V83" s="146">
        <f>IF(T83="","",VALUE(LEFT(T83,SEARCH("/",T83)-1)))</f>
        <v/>
      </c>
      <c r="W83" s="146">
        <f>IF(T83="","",VALUE(MID(T83,SEARCH("/",T83)+1,LEN(T83))))</f>
        <v/>
      </c>
    </row>
    <row r="84" customFormat="false" ht="15" hidden="false" customHeight="false" outlineLevel="0" collapsed="false">
      <c r="A84" s="135" t="s">
        <v>600</v>
      </c>
      <c r="B84" s="135" t="s">
        <v>299</v>
      </c>
      <c r="C84" s="256" t="s">
        <v>41</v>
      </c>
      <c r="D84" s="135" t="s">
        <v>601</v>
      </c>
      <c r="E84" s="135" t="s">
        <v>602</v>
      </c>
      <c r="F84" s="135" t="s">
        <v>4</v>
      </c>
      <c r="G84" s="135" t="s">
        <v>603</v>
      </c>
      <c r="H84" s="135" t="s">
        <v>4</v>
      </c>
      <c r="I84" s="135" t="s">
        <v>604</v>
      </c>
      <c r="J84" s="135" t="s">
        <v>87</v>
      </c>
      <c r="K84" s="135" t="s">
        <v>168</v>
      </c>
      <c r="L84" s="135" t="s">
        <v>1</v>
      </c>
      <c r="M84" s="135" t="s">
        <v>1</v>
      </c>
      <c r="N84" s="135" t="s">
        <v>526</v>
      </c>
      <c r="O84" s="135" t="s">
        <v>91</v>
      </c>
      <c r="P84" s="135" t="s">
        <v>92</v>
      </c>
      <c r="Q84" s="135" t="s">
        <v>89</v>
      </c>
      <c r="R84" s="135" t="s">
        <v>605</v>
      </c>
      <c r="S84" s="135" t="s">
        <v>94</v>
      </c>
      <c r="T84" s="135" t="s">
        <v>1</v>
      </c>
      <c r="U84" s="146" t="str">
        <f>IF(OR(ISNUMBER(SEARCH("FAIL",K84&amp;" "&amp;Q84)),ISNUMBER(SEARCH("CLEAN RETEST REQUIRED",K84&amp;" "&amp;Q84))),"Failed",IF(OR(ISNUMBER(SEARCH("NOT RUN",K84&amp;" "&amp;Q84)),ISNUMBER(SEARCH("NOT IMPLEMENTED",K84&amp;" "&amp;Q84))),"Not started",IF(OR(ISNUMBER(SEARCH("PARTIAL",K84&amp;" "&amp;Q84)),ISNUMBER(SEARCH("PENDING",K84&amp;" "&amp;Q84)),ISNUMBER(SEARCH("IN PROGRESS",K84&amp;" "&amp;Q84)),ISNUMBER(SEARCH("OPEN",K84&amp;" "&amp;Q84)),ISNUMBER(SEARCH("RETEST REQUIRED",K84&amp;" "&amp;Q84)),ISNUMBER(SEARCH("IMPLEMENTATION UPDATED",K84&amp;" "&amp;Q84)),ISNUMBER(SEARCH("REQUIRED EVERY SESSION",K84&amp;" "&amp;Q84))),"Pending",IF(OR(Q84="PASS",ISNUMBER(SEARCH("PASS",K84&amp;" "&amp;Q84))),"Done","Pending"))))</f>
        <v>Done</v>
      </c>
      <c r="V84" s="146">
        <f>IF(T84="","",VALUE(LEFT(T84,SEARCH("/",T84)-1)))</f>
        <v/>
      </c>
      <c r="W84" s="146">
        <f>IF(T84="","",VALUE(MID(T84,SEARCH("/",T84)+1,LEN(T84))))</f>
        <v/>
      </c>
    </row>
    <row r="85" customFormat="false" ht="15" hidden="false" customHeight="false" outlineLevel="0" collapsed="false">
      <c r="A85" s="135" t="s">
        <v>606</v>
      </c>
      <c r="B85" s="135" t="s">
        <v>593</v>
      </c>
      <c r="C85" s="256" t="s">
        <v>41</v>
      </c>
      <c r="D85" s="135" t="s">
        <v>607</v>
      </c>
      <c r="E85" s="135" t="s">
        <v>608</v>
      </c>
      <c r="F85" s="135" t="s">
        <v>4</v>
      </c>
      <c r="G85" s="135" t="s">
        <v>107</v>
      </c>
      <c r="H85" s="135" t="s">
        <v>4</v>
      </c>
      <c r="I85" s="135" t="s">
        <v>609</v>
      </c>
      <c r="J85" s="135" t="s">
        <v>87</v>
      </c>
      <c r="K85" s="135" t="s">
        <v>168</v>
      </c>
      <c r="L85" s="135" t="s">
        <v>1</v>
      </c>
      <c r="M85" s="135" t="s">
        <v>1</v>
      </c>
      <c r="N85" s="135" t="s">
        <v>526</v>
      </c>
      <c r="O85" s="135" t="s">
        <v>91</v>
      </c>
      <c r="P85" s="135" t="s">
        <v>92</v>
      </c>
      <c r="Q85" s="135" t="s">
        <v>89</v>
      </c>
      <c r="R85" s="135" t="s">
        <v>610</v>
      </c>
      <c r="S85" s="135" t="s">
        <v>94</v>
      </c>
      <c r="T85" s="135" t="s">
        <v>1</v>
      </c>
      <c r="U85" s="146" t="str">
        <f>IF(OR(ISNUMBER(SEARCH("FAIL",K85&amp;" "&amp;Q85)),ISNUMBER(SEARCH("CLEAN RETEST REQUIRED",K85&amp;" "&amp;Q85))),"Failed",IF(OR(ISNUMBER(SEARCH("NOT RUN",K85&amp;" "&amp;Q85)),ISNUMBER(SEARCH("NOT IMPLEMENTED",K85&amp;" "&amp;Q85))),"Not started",IF(OR(ISNUMBER(SEARCH("PARTIAL",K85&amp;" "&amp;Q85)),ISNUMBER(SEARCH("PENDING",K85&amp;" "&amp;Q85)),ISNUMBER(SEARCH("IN PROGRESS",K85&amp;" "&amp;Q85)),ISNUMBER(SEARCH("OPEN",K85&amp;" "&amp;Q85)),ISNUMBER(SEARCH("RETEST REQUIRED",K85&amp;" "&amp;Q85)),ISNUMBER(SEARCH("IMPLEMENTATION UPDATED",K85&amp;" "&amp;Q85)),ISNUMBER(SEARCH("REQUIRED EVERY SESSION",K85&amp;" "&amp;Q85))),"Pending",IF(OR(Q85="PASS",ISNUMBER(SEARCH("PASS",K85&amp;" "&amp;Q85))),"Done","Pending"))))</f>
        <v>Done</v>
      </c>
      <c r="V85" s="146">
        <f>IF(T85="","",VALUE(LEFT(T85,SEARCH("/",T85)-1)))</f>
        <v/>
      </c>
      <c r="W85" s="146">
        <f>IF(T85="","",VALUE(MID(T85,SEARCH("/",T85)+1,LEN(T85))))</f>
        <v/>
      </c>
    </row>
    <row r="86" customFormat="false" ht="15" hidden="false" customHeight="false" outlineLevel="0" collapsed="false">
      <c r="A86" s="135" t="s">
        <v>611</v>
      </c>
      <c r="B86" s="135" t="s">
        <v>593</v>
      </c>
      <c r="C86" s="256" t="s">
        <v>41</v>
      </c>
      <c r="D86" s="135" t="s">
        <v>612</v>
      </c>
      <c r="E86" s="135" t="s">
        <v>613</v>
      </c>
      <c r="F86" s="135" t="s">
        <v>4</v>
      </c>
      <c r="G86" s="135" t="s">
        <v>107</v>
      </c>
      <c r="H86" s="135" t="s">
        <v>4</v>
      </c>
      <c r="I86" s="135" t="s">
        <v>614</v>
      </c>
      <c r="J86" s="135" t="s">
        <v>87</v>
      </c>
      <c r="K86" s="135" t="s">
        <v>89</v>
      </c>
      <c r="L86" s="135" t="s">
        <v>1</v>
      </c>
      <c r="M86" s="135" t="s">
        <v>1</v>
      </c>
      <c r="N86" s="135" t="s">
        <v>526</v>
      </c>
      <c r="O86" s="135" t="s">
        <v>91</v>
      </c>
      <c r="P86" s="135" t="s">
        <v>92</v>
      </c>
      <c r="Q86" s="135" t="s">
        <v>168</v>
      </c>
      <c r="R86" s="135" t="s">
        <v>615</v>
      </c>
      <c r="S86" s="135" t="s">
        <v>94</v>
      </c>
      <c r="T86" s="135" t="s">
        <v>1</v>
      </c>
      <c r="U86" s="146" t="str">
        <f>IF(OR(ISNUMBER(SEARCH("FAIL",K86&amp;" "&amp;Q86)),ISNUMBER(SEARCH("CLEAN RETEST REQUIRED",K86&amp;" "&amp;Q86))),"Failed",IF(OR(ISNUMBER(SEARCH("NOT RUN",K86&amp;" "&amp;Q86)),ISNUMBER(SEARCH("NOT IMPLEMENTED",K86&amp;" "&amp;Q86))),"Not started",IF(OR(ISNUMBER(SEARCH("PARTIAL",K86&amp;" "&amp;Q86)),ISNUMBER(SEARCH("PENDING",K86&amp;" "&amp;Q86)),ISNUMBER(SEARCH("IN PROGRESS",K86&amp;" "&amp;Q86)),ISNUMBER(SEARCH("OPEN",K86&amp;" "&amp;Q86)),ISNUMBER(SEARCH("RETEST REQUIRED",K86&amp;" "&amp;Q86)),ISNUMBER(SEARCH("IMPLEMENTATION UPDATED",K86&amp;" "&amp;Q86)),ISNUMBER(SEARCH("REQUIRED EVERY SESSION",K86&amp;" "&amp;Q86))),"Pending",IF(OR(Q86="PASS",ISNUMBER(SEARCH("PASS",K86&amp;" "&amp;Q86))),"Done","Pending"))))</f>
        <v>Done</v>
      </c>
      <c r="V86" s="146">
        <f>IF(T86="","",VALUE(LEFT(T86,SEARCH("/",T86)-1)))</f>
        <v/>
      </c>
      <c r="W86" s="146">
        <f>IF(T86="","",VALUE(MID(T86,SEARCH("/",T86)+1,LEN(T86))))</f>
        <v/>
      </c>
    </row>
    <row r="87" customFormat="false" ht="15" hidden="false" customHeight="false" outlineLevel="0" collapsed="false">
      <c r="A87" s="135" t="s">
        <v>616</v>
      </c>
      <c r="B87" s="135" t="s">
        <v>617</v>
      </c>
      <c r="C87" s="256" t="s">
        <v>41</v>
      </c>
      <c r="D87" s="135" t="s">
        <v>300</v>
      </c>
      <c r="E87" s="135" t="s">
        <v>618</v>
      </c>
      <c r="F87" s="135" t="s">
        <v>4</v>
      </c>
      <c r="G87" s="135" t="s">
        <v>4</v>
      </c>
      <c r="H87" s="135" t="s">
        <v>4</v>
      </c>
      <c r="I87" s="135" t="s">
        <v>4</v>
      </c>
      <c r="J87" s="135" t="s">
        <v>87</v>
      </c>
      <c r="K87" s="135" t="s">
        <v>619</v>
      </c>
      <c r="L87" s="135" t="s">
        <v>1</v>
      </c>
      <c r="M87" s="135" t="s">
        <v>1</v>
      </c>
      <c r="N87" s="135" t="s">
        <v>481</v>
      </c>
      <c r="O87" s="135" t="s">
        <v>91</v>
      </c>
      <c r="P87" s="135" t="s">
        <v>92</v>
      </c>
      <c r="Q87" s="135" t="s">
        <v>89</v>
      </c>
      <c r="R87" s="135" t="s">
        <v>620</v>
      </c>
      <c r="S87" s="135" t="s">
        <v>407</v>
      </c>
      <c r="T87" s="135" t="s">
        <v>1</v>
      </c>
      <c r="U87" s="146" t="str">
        <f>IF(OR(ISNUMBER(SEARCH("FAIL",K87&amp;" "&amp;Q87)),ISNUMBER(SEARCH("CLEAN RETEST REQUIRED",K87&amp;" "&amp;Q87))),"Failed",IF(OR(ISNUMBER(SEARCH("NOT RUN",K87&amp;" "&amp;Q87)),ISNUMBER(SEARCH("NOT IMPLEMENTED",K87&amp;" "&amp;Q87))),"Not started",IF(OR(ISNUMBER(SEARCH("PARTIAL",K87&amp;" "&amp;Q87)),ISNUMBER(SEARCH("PENDING",K87&amp;" "&amp;Q87)),ISNUMBER(SEARCH("IN PROGRESS",K87&amp;" "&amp;Q87)),ISNUMBER(SEARCH("OPEN",K87&amp;" "&amp;Q87)),ISNUMBER(SEARCH("RETEST REQUIRED",K87&amp;" "&amp;Q87)),ISNUMBER(SEARCH("IMPLEMENTATION UPDATED",K87&amp;" "&amp;Q87)),ISNUMBER(SEARCH("REQUIRED EVERY SESSION",K87&amp;" "&amp;Q87))),"Pending",IF(OR(Q87="PASS",ISNUMBER(SEARCH("PASS",K87&amp;" "&amp;Q87))),"Done","Pending"))))</f>
        <v>Done</v>
      </c>
      <c r="V87" s="146">
        <f>IF(T87="","",VALUE(LEFT(T87,SEARCH("/",T87)-1)))</f>
        <v/>
      </c>
      <c r="W87" s="146">
        <f>IF(T87="","",VALUE(MID(T87,SEARCH("/",T87)+1,LEN(T87))))</f>
        <v/>
      </c>
    </row>
    <row r="88" customFormat="false" ht="15" hidden="false" customHeight="false" outlineLevel="0" collapsed="false">
      <c r="A88" s="135" t="s">
        <v>621</v>
      </c>
      <c r="B88" s="135" t="s">
        <v>219</v>
      </c>
      <c r="C88" s="256" t="s">
        <v>41</v>
      </c>
      <c r="D88" s="135" t="s">
        <v>622</v>
      </c>
      <c r="E88" s="135" t="s">
        <v>623</v>
      </c>
      <c r="F88" s="135" t="s">
        <v>4</v>
      </c>
      <c r="G88" s="135" t="s">
        <v>107</v>
      </c>
      <c r="H88" s="135" t="s">
        <v>4</v>
      </c>
      <c r="I88" s="135" t="s">
        <v>624</v>
      </c>
      <c r="J88" s="135" t="s">
        <v>107</v>
      </c>
      <c r="K88" s="135" t="s">
        <v>224</v>
      </c>
      <c r="L88" s="135" t="s">
        <v>1</v>
      </c>
      <c r="M88" s="135" t="s">
        <v>1</v>
      </c>
      <c r="N88" s="135" t="s">
        <v>390</v>
      </c>
      <c r="O88" s="135" t="s">
        <v>91</v>
      </c>
      <c r="P88" s="135" t="s">
        <v>92</v>
      </c>
      <c r="Q88" s="135" t="s">
        <v>89</v>
      </c>
      <c r="R88" s="135" t="s">
        <v>625</v>
      </c>
      <c r="S88" s="135" t="s">
        <v>626</v>
      </c>
      <c r="T88" s="135" t="s">
        <v>1</v>
      </c>
      <c r="U88" s="146" t="str">
        <f>IF(OR(ISNUMBER(SEARCH("FAIL",K88&amp;" "&amp;Q88)),ISNUMBER(SEARCH("CLEAN RETEST REQUIRED",K88&amp;" "&amp;Q88))),"Failed",IF(OR(ISNUMBER(SEARCH("NOT RUN",K88&amp;" "&amp;Q88)),ISNUMBER(SEARCH("NOT IMPLEMENTED",K88&amp;" "&amp;Q88))),"Not started",IF(OR(ISNUMBER(SEARCH("PARTIAL",K88&amp;" "&amp;Q88)),ISNUMBER(SEARCH("PENDING",K88&amp;" "&amp;Q88)),ISNUMBER(SEARCH("IN PROGRESS",K88&amp;" "&amp;Q88)),ISNUMBER(SEARCH("OPEN",K88&amp;" "&amp;Q88)),ISNUMBER(SEARCH("RETEST REQUIRED",K88&amp;" "&amp;Q88)),ISNUMBER(SEARCH("IMPLEMENTATION UPDATED",K88&amp;" "&amp;Q88)),ISNUMBER(SEARCH("REQUIRED EVERY SESSION",K88&amp;" "&amp;Q88))),"Pending",IF(OR(Q88="PASS",ISNUMBER(SEARCH("PASS",K88&amp;" "&amp;Q88))),"Done","Pending"))))</f>
        <v>Done</v>
      </c>
      <c r="V88" s="146">
        <f>IF(T88="","",VALUE(LEFT(T88,SEARCH("/",T88)-1)))</f>
        <v/>
      </c>
      <c r="W88" s="146">
        <f>IF(T88="","",VALUE(MID(T88,SEARCH("/",T88)+1,LEN(T88))))</f>
        <v/>
      </c>
    </row>
    <row r="89" customFormat="false" ht="15" hidden="false" customHeight="false" outlineLevel="0" collapsed="false">
      <c r="A89" s="135" t="s">
        <v>627</v>
      </c>
      <c r="B89" s="135" t="s">
        <v>229</v>
      </c>
      <c r="C89" s="256" t="s">
        <v>41</v>
      </c>
      <c r="D89" s="135" t="s">
        <v>628</v>
      </c>
      <c r="E89" s="135" t="s">
        <v>629</v>
      </c>
      <c r="F89" s="135" t="s">
        <v>630</v>
      </c>
      <c r="G89" s="135" t="s">
        <v>631</v>
      </c>
      <c r="H89" s="135" t="s">
        <v>632</v>
      </c>
      <c r="I89" s="135" t="s">
        <v>8</v>
      </c>
      <c r="J89" s="135" t="s">
        <v>633</v>
      </c>
      <c r="K89" s="135" t="s">
        <v>307</v>
      </c>
      <c r="L89" s="135" t="s">
        <v>1</v>
      </c>
      <c r="M89" s="135" t="s">
        <v>1</v>
      </c>
      <c r="N89" s="135" t="s">
        <v>308</v>
      </c>
      <c r="O89" s="135" t="s">
        <v>91</v>
      </c>
      <c r="P89" s="135" t="s">
        <v>92</v>
      </c>
      <c r="Q89" s="135" t="s">
        <v>89</v>
      </c>
      <c r="R89" s="135" t="s">
        <v>634</v>
      </c>
      <c r="S89" s="135" t="s">
        <v>635</v>
      </c>
      <c r="T89" s="135" t="s">
        <v>1</v>
      </c>
      <c r="U89" s="146" t="str">
        <f>IF(OR(ISNUMBER(SEARCH("FAIL",K89&amp;" "&amp;Q89)),ISNUMBER(SEARCH("CLEAN RETEST REQUIRED",K89&amp;" "&amp;Q89))),"Failed",IF(OR(ISNUMBER(SEARCH("NOT RUN",K89&amp;" "&amp;Q89)),ISNUMBER(SEARCH("NOT IMPLEMENTED",K89&amp;" "&amp;Q89))),"Not started",IF(OR(ISNUMBER(SEARCH("PARTIAL",K89&amp;" "&amp;Q89)),ISNUMBER(SEARCH("PENDING",K89&amp;" "&amp;Q89)),ISNUMBER(SEARCH("IN PROGRESS",K89&amp;" "&amp;Q89)),ISNUMBER(SEARCH("OPEN",K89&amp;" "&amp;Q89)),ISNUMBER(SEARCH("RETEST REQUIRED",K89&amp;" "&amp;Q89)),ISNUMBER(SEARCH("IMPLEMENTATION UPDATED",K89&amp;" "&amp;Q89)),ISNUMBER(SEARCH("REQUIRED EVERY SESSION",K89&amp;" "&amp;Q89))),"Pending",IF(OR(Q89="PASS",ISNUMBER(SEARCH("PASS",K89&amp;" "&amp;Q89))),"Done","Pending"))))</f>
        <v>Done</v>
      </c>
      <c r="V89" s="146">
        <f>IF(T89="","",VALUE(LEFT(T89,SEARCH("/",T89)-1)))</f>
        <v/>
      </c>
      <c r="W89" s="146">
        <f>IF(T89="","",VALUE(MID(T89,SEARCH("/",T89)+1,LEN(T89))))</f>
        <v/>
      </c>
    </row>
    <row r="90" customFormat="false" ht="15" hidden="false" customHeight="false" outlineLevel="0" collapsed="false">
      <c r="A90" s="135" t="s">
        <v>636</v>
      </c>
      <c r="B90" s="135" t="s">
        <v>637</v>
      </c>
      <c r="C90" s="256" t="s">
        <v>41</v>
      </c>
      <c r="D90" s="135" t="s">
        <v>67</v>
      </c>
      <c r="E90" s="135" t="s">
        <v>638</v>
      </c>
      <c r="F90" s="135" t="s">
        <v>639</v>
      </c>
      <c r="G90" s="135" t="s">
        <v>640</v>
      </c>
      <c r="H90" s="135" t="s">
        <v>632</v>
      </c>
      <c r="I90" s="135" t="s">
        <v>641</v>
      </c>
      <c r="J90" s="135" t="s">
        <v>642</v>
      </c>
      <c r="K90" s="135" t="s">
        <v>307</v>
      </c>
      <c r="L90" s="135" t="s">
        <v>1</v>
      </c>
      <c r="M90" s="135" t="s">
        <v>1</v>
      </c>
      <c r="N90" s="135" t="s">
        <v>308</v>
      </c>
      <c r="O90" s="135" t="s">
        <v>91</v>
      </c>
      <c r="P90" s="135" t="s">
        <v>92</v>
      </c>
      <c r="Q90" s="135" t="s">
        <v>89</v>
      </c>
      <c r="R90" s="135" t="s">
        <v>643</v>
      </c>
      <c r="S90" s="135" t="s">
        <v>429</v>
      </c>
      <c r="T90" s="135" t="s">
        <v>1</v>
      </c>
      <c r="U90" s="146" t="str">
        <f>IF(OR(ISNUMBER(SEARCH("FAIL",K90&amp;" "&amp;Q90)),ISNUMBER(SEARCH("CLEAN RETEST REQUIRED",K90&amp;" "&amp;Q90))),"Failed",IF(OR(ISNUMBER(SEARCH("NOT RUN",K90&amp;" "&amp;Q90)),ISNUMBER(SEARCH("NOT IMPLEMENTED",K90&amp;" "&amp;Q90))),"Not started",IF(OR(ISNUMBER(SEARCH("PARTIAL",K90&amp;" "&amp;Q90)),ISNUMBER(SEARCH("PENDING",K90&amp;" "&amp;Q90)),ISNUMBER(SEARCH("IN PROGRESS",K90&amp;" "&amp;Q90)),ISNUMBER(SEARCH("OPEN",K90&amp;" "&amp;Q90)),ISNUMBER(SEARCH("RETEST REQUIRED",K90&amp;" "&amp;Q90)),ISNUMBER(SEARCH("IMPLEMENTATION UPDATED",K90&amp;" "&amp;Q90)),ISNUMBER(SEARCH("REQUIRED EVERY SESSION",K90&amp;" "&amp;Q90))),"Pending",IF(OR(Q90="PASS",ISNUMBER(SEARCH("PASS",K90&amp;" "&amp;Q90))),"Done","Pending"))))</f>
        <v>Done</v>
      </c>
      <c r="V90" s="146">
        <f>IF(T90="","",VALUE(LEFT(T90,SEARCH("/",T90)-1)))</f>
        <v/>
      </c>
      <c r="W90" s="146">
        <f>IF(T90="","",VALUE(MID(T90,SEARCH("/",T90)+1,LEN(T90))))</f>
        <v/>
      </c>
    </row>
    <row r="91" customFormat="false" ht="15" hidden="false" customHeight="false" outlineLevel="0" collapsed="false">
      <c r="A91" s="135" t="s">
        <v>644</v>
      </c>
      <c r="B91" s="135" t="s">
        <v>299</v>
      </c>
      <c r="C91" s="256" t="s">
        <v>41</v>
      </c>
      <c r="D91" s="135" t="s">
        <v>645</v>
      </c>
      <c r="E91" s="135" t="s">
        <v>646</v>
      </c>
      <c r="F91" s="135" t="s">
        <v>647</v>
      </c>
      <c r="G91" s="135" t="s">
        <v>648</v>
      </c>
      <c r="H91" s="135" t="s">
        <v>4</v>
      </c>
      <c r="I91" s="135" t="s">
        <v>649</v>
      </c>
      <c r="J91" s="135" t="s">
        <v>87</v>
      </c>
      <c r="K91" s="135" t="s">
        <v>168</v>
      </c>
      <c r="L91" s="135" t="s">
        <v>89</v>
      </c>
      <c r="M91" s="135" t="s">
        <v>650</v>
      </c>
      <c r="N91" s="135" t="s">
        <v>518</v>
      </c>
      <c r="O91" s="135" t="s">
        <v>91</v>
      </c>
      <c r="P91" s="135" t="s">
        <v>92</v>
      </c>
      <c r="Q91" s="135" t="s">
        <v>89</v>
      </c>
      <c r="R91" s="135" t="s">
        <v>651</v>
      </c>
      <c r="S91" s="135" t="s">
        <v>94</v>
      </c>
      <c r="T91" s="135" t="s">
        <v>1</v>
      </c>
      <c r="U91" s="146" t="str">
        <f>IF(OR(ISNUMBER(SEARCH("FAIL",K91&amp;" "&amp;Q91)),ISNUMBER(SEARCH("CLEAN RETEST REQUIRED",K91&amp;" "&amp;Q91))),"Failed",IF(OR(ISNUMBER(SEARCH("NOT RUN",K91&amp;" "&amp;Q91)),ISNUMBER(SEARCH("NOT IMPLEMENTED",K91&amp;" "&amp;Q91))),"Not started",IF(OR(ISNUMBER(SEARCH("PARTIAL",K91&amp;" "&amp;Q91)),ISNUMBER(SEARCH("PENDING",K91&amp;" "&amp;Q91)),ISNUMBER(SEARCH("IN PROGRESS",K91&amp;" "&amp;Q91)),ISNUMBER(SEARCH("OPEN",K91&amp;" "&amp;Q91)),ISNUMBER(SEARCH("RETEST REQUIRED",K91&amp;" "&amp;Q91)),ISNUMBER(SEARCH("IMPLEMENTATION UPDATED",K91&amp;" "&amp;Q91)),ISNUMBER(SEARCH("REQUIRED EVERY SESSION",K91&amp;" "&amp;Q91))),"Pending",IF(OR(Q91="PASS",ISNUMBER(SEARCH("PASS",K91&amp;" "&amp;Q91))),"Done","Pending"))))</f>
        <v>Done</v>
      </c>
      <c r="V91" s="146">
        <f>IF(T91="","",VALUE(LEFT(T91,SEARCH("/",T91)-1)))</f>
        <v/>
      </c>
      <c r="W91" s="146">
        <f>IF(T91="","",VALUE(MID(T91,SEARCH("/",T91)+1,LEN(T91))))</f>
        <v/>
      </c>
    </row>
    <row r="92" customFormat="false" ht="15" hidden="false" customHeight="false" outlineLevel="0" collapsed="false">
      <c r="A92" s="135" t="s">
        <v>652</v>
      </c>
      <c r="B92" s="135" t="s">
        <v>103</v>
      </c>
      <c r="C92" s="256" t="s">
        <v>41</v>
      </c>
      <c r="D92" s="135" t="s">
        <v>653</v>
      </c>
      <c r="E92" s="135" t="s">
        <v>654</v>
      </c>
      <c r="F92" s="135" t="s">
        <v>4</v>
      </c>
      <c r="G92" s="135" t="s">
        <v>655</v>
      </c>
      <c r="H92" s="135" t="s">
        <v>4</v>
      </c>
      <c r="I92" s="135" t="s">
        <v>656</v>
      </c>
      <c r="J92" s="135" t="s">
        <v>657</v>
      </c>
      <c r="K92" s="135" t="s">
        <v>89</v>
      </c>
      <c r="L92" s="135" t="s">
        <v>89</v>
      </c>
      <c r="M92" s="135" t="s">
        <v>100</v>
      </c>
      <c r="N92" s="135" t="s">
        <v>108</v>
      </c>
      <c r="O92" s="135" t="s">
        <v>91</v>
      </c>
      <c r="P92" s="135" t="s">
        <v>92</v>
      </c>
      <c r="Q92" s="135" t="s">
        <v>89</v>
      </c>
      <c r="R92" s="135" t="s">
        <v>658</v>
      </c>
      <c r="S92" s="135" t="s">
        <v>659</v>
      </c>
      <c r="T92" s="135" t="s">
        <v>1</v>
      </c>
      <c r="U92" s="146" t="str">
        <f>IF(OR(ISNUMBER(SEARCH("FAIL",K92&amp;" "&amp;Q92)),ISNUMBER(SEARCH("CLEAN RETEST REQUIRED",K92&amp;" "&amp;Q92))),"Failed",IF(OR(ISNUMBER(SEARCH("NOT RUN",K92&amp;" "&amp;Q92)),ISNUMBER(SEARCH("NOT IMPLEMENTED",K92&amp;" "&amp;Q92))),"Not started",IF(OR(ISNUMBER(SEARCH("PARTIAL",K92&amp;" "&amp;Q92)),ISNUMBER(SEARCH("PENDING",K92&amp;" "&amp;Q92)),ISNUMBER(SEARCH("IN PROGRESS",K92&amp;" "&amp;Q92)),ISNUMBER(SEARCH("OPEN",K92&amp;" "&amp;Q92)),ISNUMBER(SEARCH("RETEST REQUIRED",K92&amp;" "&amp;Q92)),ISNUMBER(SEARCH("IMPLEMENTATION UPDATED",K92&amp;" "&amp;Q92)),ISNUMBER(SEARCH("REQUIRED EVERY SESSION",K92&amp;" "&amp;Q92))),"Pending",IF(OR(Q92="PASS",ISNUMBER(SEARCH("PASS",K92&amp;" "&amp;Q92))),"Done","Pending"))))</f>
        <v>Done</v>
      </c>
      <c r="V92" s="146">
        <f>IF(T92="","",VALUE(LEFT(T92,SEARCH("/",T92)-1)))</f>
        <v/>
      </c>
      <c r="W92" s="146">
        <f>IF(T92="","",VALUE(MID(T92,SEARCH("/",T92)+1,LEN(T92))))</f>
        <v/>
      </c>
    </row>
    <row r="93" customFormat="false" ht="15" hidden="false" customHeight="false" outlineLevel="0" collapsed="false">
      <c r="A93" s="135" t="s">
        <v>660</v>
      </c>
      <c r="B93" s="135" t="s">
        <v>103</v>
      </c>
      <c r="C93" s="256" t="s">
        <v>41</v>
      </c>
      <c r="D93" s="135" t="s">
        <v>661</v>
      </c>
      <c r="E93" s="135" t="s">
        <v>662</v>
      </c>
      <c r="F93" s="135" t="s">
        <v>4</v>
      </c>
      <c r="G93" s="135" t="s">
        <v>4</v>
      </c>
      <c r="H93" s="135" t="s">
        <v>4</v>
      </c>
      <c r="I93" s="135" t="s">
        <v>4</v>
      </c>
      <c r="J93" s="135" t="s">
        <v>107</v>
      </c>
      <c r="K93" s="135" t="s">
        <v>89</v>
      </c>
      <c r="L93" s="135" t="s">
        <v>89</v>
      </c>
      <c r="M93" s="135" t="s">
        <v>89</v>
      </c>
      <c r="N93" s="135" t="s">
        <v>115</v>
      </c>
      <c r="O93" s="135" t="s">
        <v>91</v>
      </c>
      <c r="P93" s="135" t="s">
        <v>92</v>
      </c>
      <c r="Q93" s="135" t="s">
        <v>89</v>
      </c>
      <c r="R93" s="135" t="s">
        <v>663</v>
      </c>
      <c r="S93" s="135" t="s">
        <v>664</v>
      </c>
      <c r="T93" s="135" t="s">
        <v>1</v>
      </c>
      <c r="U93" s="146" t="str">
        <f>IF(OR(ISNUMBER(SEARCH("FAIL",K93&amp;" "&amp;Q93)),ISNUMBER(SEARCH("CLEAN RETEST REQUIRED",K93&amp;" "&amp;Q93))),"Failed",IF(OR(ISNUMBER(SEARCH("NOT RUN",K93&amp;" "&amp;Q93)),ISNUMBER(SEARCH("NOT IMPLEMENTED",K93&amp;" "&amp;Q93))),"Not started",IF(OR(ISNUMBER(SEARCH("PARTIAL",K93&amp;" "&amp;Q93)),ISNUMBER(SEARCH("PENDING",K93&amp;" "&amp;Q93)),ISNUMBER(SEARCH("IN PROGRESS",K93&amp;" "&amp;Q93)),ISNUMBER(SEARCH("OPEN",K93&amp;" "&amp;Q93)),ISNUMBER(SEARCH("RETEST REQUIRED",K93&amp;" "&amp;Q93)),ISNUMBER(SEARCH("IMPLEMENTATION UPDATED",K93&amp;" "&amp;Q93)),ISNUMBER(SEARCH("REQUIRED EVERY SESSION",K93&amp;" "&amp;Q93))),"Pending",IF(OR(Q93="PASS",ISNUMBER(SEARCH("PASS",K93&amp;" "&amp;Q93))),"Done","Pending"))))</f>
        <v>Done</v>
      </c>
      <c r="V93" s="146">
        <f>IF(T93="","",VALUE(LEFT(T93,SEARCH("/",T93)-1)))</f>
        <v/>
      </c>
      <c r="W93" s="146">
        <f>IF(T93="","",VALUE(MID(T93,SEARCH("/",T93)+1,LEN(T93))))</f>
        <v/>
      </c>
    </row>
    <row r="94" customFormat="false" ht="15" hidden="false" customHeight="false" outlineLevel="0" collapsed="false">
      <c r="A94" s="135" t="s">
        <v>665</v>
      </c>
      <c r="B94" s="135" t="s">
        <v>666</v>
      </c>
      <c r="C94" s="256" t="s">
        <v>41</v>
      </c>
      <c r="D94" s="135" t="s">
        <v>667</v>
      </c>
      <c r="E94" s="135" t="s">
        <v>668</v>
      </c>
      <c r="F94" s="135" t="s">
        <v>1</v>
      </c>
      <c r="G94" s="135" t="s">
        <v>1</v>
      </c>
      <c r="H94" s="135" t="s">
        <v>1</v>
      </c>
      <c r="I94" s="135" t="s">
        <v>669</v>
      </c>
      <c r="J94" s="135" t="s">
        <v>670</v>
      </c>
      <c r="K94" s="135" t="s">
        <v>671</v>
      </c>
      <c r="L94" s="135" t="s">
        <v>89</v>
      </c>
      <c r="M94" s="135" t="s">
        <v>258</v>
      </c>
      <c r="N94" s="135" t="s">
        <v>672</v>
      </c>
      <c r="O94" s="135" t="s">
        <v>91</v>
      </c>
      <c r="P94" s="135" t="s">
        <v>92</v>
      </c>
      <c r="Q94" s="135" t="s">
        <v>89</v>
      </c>
      <c r="R94" s="135" t="s">
        <v>673</v>
      </c>
      <c r="S94" s="135" t="s">
        <v>141</v>
      </c>
      <c r="T94" s="135" t="s">
        <v>1</v>
      </c>
      <c r="U94" s="146" t="str">
        <f>IF(OR(ISNUMBER(SEARCH("FAIL",K94&amp;" "&amp;Q94)),ISNUMBER(SEARCH("CLEAN RETEST REQUIRED",K94&amp;" "&amp;Q94))),"Failed",IF(OR(ISNUMBER(SEARCH("NOT RUN",K94&amp;" "&amp;Q94)),ISNUMBER(SEARCH("NOT IMPLEMENTED",K94&amp;" "&amp;Q94))),"Not started",IF(OR(ISNUMBER(SEARCH("PARTIAL",K94&amp;" "&amp;Q94)),ISNUMBER(SEARCH("PENDING",K94&amp;" "&amp;Q94)),ISNUMBER(SEARCH("IN PROGRESS",K94&amp;" "&amp;Q94)),ISNUMBER(SEARCH("OPEN",K94&amp;" "&amp;Q94)),ISNUMBER(SEARCH("RETEST REQUIRED",K94&amp;" "&amp;Q94)),ISNUMBER(SEARCH("IMPLEMENTATION UPDATED",K94&amp;" "&amp;Q94)),ISNUMBER(SEARCH("REQUIRED EVERY SESSION",K94&amp;" "&amp;Q94))),"Pending",IF(OR(Q94="PASS",ISNUMBER(SEARCH("PASS",K94&amp;" "&amp;Q94))),"Done","Pending"))))</f>
        <v>Done</v>
      </c>
      <c r="V94" s="146">
        <f>IF(T94="","",VALUE(LEFT(T94,SEARCH("/",T94)-1)))</f>
        <v/>
      </c>
      <c r="W94" s="146">
        <f>IF(T94="","",VALUE(MID(T94,SEARCH("/",T94)+1,LEN(T94))))</f>
        <v/>
      </c>
    </row>
    <row r="95" customFormat="false" ht="15" hidden="false" customHeight="false" outlineLevel="0" collapsed="false">
      <c r="A95" s="135" t="s">
        <v>674</v>
      </c>
      <c r="B95" s="135" t="s">
        <v>133</v>
      </c>
      <c r="C95" s="256" t="s">
        <v>41</v>
      </c>
      <c r="D95" s="135" t="s">
        <v>675</v>
      </c>
      <c r="E95" s="135" t="s">
        <v>676</v>
      </c>
      <c r="F95" s="135" t="s">
        <v>1</v>
      </c>
      <c r="G95" s="135" t="s">
        <v>1</v>
      </c>
      <c r="H95" s="135" t="s">
        <v>1</v>
      </c>
      <c r="I95" s="135" t="s">
        <v>1</v>
      </c>
      <c r="J95" s="135" t="s">
        <v>1</v>
      </c>
      <c r="K95" s="135" t="s">
        <v>136</v>
      </c>
      <c r="L95" s="135" t="s">
        <v>137</v>
      </c>
      <c r="M95" s="135" t="s">
        <v>677</v>
      </c>
      <c r="N95" s="135" t="s">
        <v>138</v>
      </c>
      <c r="O95" s="135" t="s">
        <v>91</v>
      </c>
      <c r="P95" s="135" t="s">
        <v>139</v>
      </c>
      <c r="Q95" s="135" t="s">
        <v>89</v>
      </c>
      <c r="R95" s="135" t="s">
        <v>678</v>
      </c>
      <c r="S95" s="135" t="s">
        <v>141</v>
      </c>
      <c r="T95" s="135" t="s">
        <v>1</v>
      </c>
      <c r="U95" s="146" t="str">
        <f>IF(OR(ISNUMBER(SEARCH("FAIL",K95&amp;" "&amp;Q95)),ISNUMBER(SEARCH("CLEAN RETEST REQUIRED",K95&amp;" "&amp;Q95))),"Failed",IF(OR(ISNUMBER(SEARCH("NOT RUN",K95&amp;" "&amp;Q95)),ISNUMBER(SEARCH("NOT IMPLEMENTED",K95&amp;" "&amp;Q95))),"Not started",IF(OR(ISNUMBER(SEARCH("PARTIAL",K95&amp;" "&amp;Q95)),ISNUMBER(SEARCH("PENDING",K95&amp;" "&amp;Q95)),ISNUMBER(SEARCH("IN PROGRESS",K95&amp;" "&amp;Q95)),ISNUMBER(SEARCH("OPEN",K95&amp;" "&amp;Q95)),ISNUMBER(SEARCH("RETEST REQUIRED",K95&amp;" "&amp;Q95)),ISNUMBER(SEARCH("IMPLEMENTATION UPDATED",K95&amp;" "&amp;Q95)),ISNUMBER(SEARCH("REQUIRED EVERY SESSION",K95&amp;" "&amp;Q95))),"Pending",IF(OR(Q95="PASS",ISNUMBER(SEARCH("PASS",K95&amp;" "&amp;Q95))),"Done","Pending"))))</f>
        <v>Done</v>
      </c>
      <c r="V95" s="146">
        <f>IF(T95="","",VALUE(LEFT(T95,SEARCH("/",T95)-1)))</f>
        <v/>
      </c>
      <c r="W95" s="146">
        <f>IF(T95="","",VALUE(MID(T95,SEARCH("/",T95)+1,LEN(T95))))</f>
        <v/>
      </c>
    </row>
    <row r="96" customFormat="false" ht="15" hidden="false" customHeight="false" outlineLevel="0" collapsed="false">
      <c r="A96" s="135" t="s">
        <v>679</v>
      </c>
      <c r="B96" s="135" t="s">
        <v>133</v>
      </c>
      <c r="C96" s="256" t="s">
        <v>41</v>
      </c>
      <c r="D96" s="135" t="s">
        <v>680</v>
      </c>
      <c r="E96" s="135" t="s">
        <v>681</v>
      </c>
      <c r="F96" s="135" t="s">
        <v>1</v>
      </c>
      <c r="G96" s="135" t="s">
        <v>1</v>
      </c>
      <c r="H96" s="135" t="s">
        <v>1</v>
      </c>
      <c r="I96" s="135" t="s">
        <v>1</v>
      </c>
      <c r="J96" s="135" t="s">
        <v>1</v>
      </c>
      <c r="K96" s="135" t="s">
        <v>136</v>
      </c>
      <c r="L96" s="135" t="s">
        <v>137</v>
      </c>
      <c r="M96" s="135" t="s">
        <v>100</v>
      </c>
      <c r="N96" s="135" t="s">
        <v>138</v>
      </c>
      <c r="O96" s="135" t="s">
        <v>91</v>
      </c>
      <c r="P96" s="135" t="s">
        <v>139</v>
      </c>
      <c r="Q96" s="135" t="s">
        <v>89</v>
      </c>
      <c r="R96" s="135" t="s">
        <v>682</v>
      </c>
      <c r="S96" s="135" t="s">
        <v>141</v>
      </c>
      <c r="T96" s="135" t="s">
        <v>1</v>
      </c>
      <c r="U96" s="146" t="str">
        <f>IF(OR(ISNUMBER(SEARCH("FAIL",K96&amp;" "&amp;Q96)),ISNUMBER(SEARCH("CLEAN RETEST REQUIRED",K96&amp;" "&amp;Q96))),"Failed",IF(OR(ISNUMBER(SEARCH("NOT RUN",K96&amp;" "&amp;Q96)),ISNUMBER(SEARCH("NOT IMPLEMENTED",K96&amp;" "&amp;Q96))),"Not started",IF(OR(ISNUMBER(SEARCH("PARTIAL",K96&amp;" "&amp;Q96)),ISNUMBER(SEARCH("PENDING",K96&amp;" "&amp;Q96)),ISNUMBER(SEARCH("IN PROGRESS",K96&amp;" "&amp;Q96)),ISNUMBER(SEARCH("OPEN",K96&amp;" "&amp;Q96)),ISNUMBER(SEARCH("RETEST REQUIRED",K96&amp;" "&amp;Q96)),ISNUMBER(SEARCH("IMPLEMENTATION UPDATED",K96&amp;" "&amp;Q96)),ISNUMBER(SEARCH("REQUIRED EVERY SESSION",K96&amp;" "&amp;Q96))),"Pending",IF(OR(Q96="PASS",ISNUMBER(SEARCH("PASS",K96&amp;" "&amp;Q96))),"Done","Pending"))))</f>
        <v>Done</v>
      </c>
      <c r="V96" s="146">
        <f>IF(T96="","",VALUE(LEFT(T96,SEARCH("/",T96)-1)))</f>
        <v/>
      </c>
      <c r="W96" s="146">
        <f>IF(T96="","",VALUE(MID(T96,SEARCH("/",T96)+1,LEN(T96))))</f>
        <v/>
      </c>
    </row>
    <row r="97" customFormat="false" ht="15" hidden="false" customHeight="false" outlineLevel="0" collapsed="false">
      <c r="A97" s="135" t="s">
        <v>683</v>
      </c>
      <c r="B97" s="135" t="s">
        <v>299</v>
      </c>
      <c r="C97" s="257" t="s">
        <v>46</v>
      </c>
      <c r="D97" s="135" t="s">
        <v>46</v>
      </c>
      <c r="E97" s="135" t="s">
        <v>684</v>
      </c>
      <c r="F97" s="135" t="s">
        <v>685</v>
      </c>
      <c r="G97" s="135" t="s">
        <v>686</v>
      </c>
      <c r="H97" s="135" t="s">
        <v>549</v>
      </c>
      <c r="I97" s="135" t="s">
        <v>687</v>
      </c>
      <c r="J97" s="135" t="s">
        <v>688</v>
      </c>
      <c r="K97" s="135" t="s">
        <v>689</v>
      </c>
      <c r="L97" s="135" t="s">
        <v>1</v>
      </c>
      <c r="M97" s="135" t="s">
        <v>1</v>
      </c>
      <c r="N97" s="135" t="s">
        <v>216</v>
      </c>
      <c r="O97" s="135" t="s">
        <v>91</v>
      </c>
      <c r="P97" s="135" t="s">
        <v>92</v>
      </c>
      <c r="Q97" s="135" t="s">
        <v>89</v>
      </c>
      <c r="R97" s="135" t="s">
        <v>690</v>
      </c>
      <c r="S97" s="135" t="s">
        <v>327</v>
      </c>
      <c r="T97" s="135" t="s">
        <v>1</v>
      </c>
      <c r="U97" s="146" t="str">
        <f>IF(OR(ISNUMBER(SEARCH("FAIL",K97&amp;" "&amp;Q97)),ISNUMBER(SEARCH("CLEAN RETEST REQUIRED",K97&amp;" "&amp;Q97))),"Failed",IF(OR(ISNUMBER(SEARCH("NOT RUN",K97&amp;" "&amp;Q97)),ISNUMBER(SEARCH("NOT IMPLEMENTED",K97&amp;" "&amp;Q97))),"Not started",IF(OR(ISNUMBER(SEARCH("PARTIAL",K97&amp;" "&amp;Q97)),ISNUMBER(SEARCH("PENDING",K97&amp;" "&amp;Q97)),ISNUMBER(SEARCH("IN PROGRESS",K97&amp;" "&amp;Q97)),ISNUMBER(SEARCH("OPEN",K97&amp;" "&amp;Q97)),ISNUMBER(SEARCH("RETEST REQUIRED",K97&amp;" "&amp;Q97)),ISNUMBER(SEARCH("IMPLEMENTATION UPDATED",K97&amp;" "&amp;Q97)),ISNUMBER(SEARCH("REQUIRED EVERY SESSION",K97&amp;" "&amp;Q97))),"Pending",IF(OR(Q97="PASS",ISNUMBER(SEARCH("PASS",K97&amp;" "&amp;Q97))),"Done","Pending"))))</f>
        <v>Done</v>
      </c>
      <c r="V97" s="146">
        <f>IF(T97="","",VALUE(LEFT(T97,SEARCH("/",T97)-1)))</f>
        <v/>
      </c>
      <c r="W97" s="146">
        <f>IF(T97="","",VALUE(MID(T97,SEARCH("/",T97)+1,LEN(T97))))</f>
        <v/>
      </c>
    </row>
    <row r="98" customFormat="false" ht="15" hidden="false" customHeight="false" outlineLevel="0" collapsed="false">
      <c r="A98" s="135" t="s">
        <v>691</v>
      </c>
      <c r="B98" s="135" t="s">
        <v>299</v>
      </c>
      <c r="C98" s="257" t="s">
        <v>46</v>
      </c>
      <c r="D98" s="135" t="s">
        <v>46</v>
      </c>
      <c r="E98" s="135" t="s">
        <v>692</v>
      </c>
      <c r="F98" s="135" t="s">
        <v>346</v>
      </c>
      <c r="G98" s="135" t="s">
        <v>693</v>
      </c>
      <c r="H98" s="135" t="s">
        <v>694</v>
      </c>
      <c r="I98" s="135" t="s">
        <v>695</v>
      </c>
      <c r="J98" s="135" t="s">
        <v>696</v>
      </c>
      <c r="K98" s="135" t="s">
        <v>168</v>
      </c>
      <c r="L98" s="135" t="s">
        <v>1</v>
      </c>
      <c r="M98" s="135" t="s">
        <v>1</v>
      </c>
      <c r="N98" s="135" t="s">
        <v>216</v>
      </c>
      <c r="O98" s="135" t="s">
        <v>91</v>
      </c>
      <c r="P98" s="135" t="s">
        <v>92</v>
      </c>
      <c r="Q98" s="135" t="s">
        <v>89</v>
      </c>
      <c r="R98" s="135" t="s">
        <v>697</v>
      </c>
      <c r="S98" s="135" t="s">
        <v>407</v>
      </c>
      <c r="T98" s="135" t="s">
        <v>1</v>
      </c>
      <c r="U98" s="146" t="str">
        <f>IF(OR(ISNUMBER(SEARCH("FAIL",K98&amp;" "&amp;Q98)),ISNUMBER(SEARCH("CLEAN RETEST REQUIRED",K98&amp;" "&amp;Q98))),"Failed",IF(OR(ISNUMBER(SEARCH("NOT RUN",K98&amp;" "&amp;Q98)),ISNUMBER(SEARCH("NOT IMPLEMENTED",K98&amp;" "&amp;Q98))),"Not started",IF(OR(ISNUMBER(SEARCH("PARTIAL",K98&amp;" "&amp;Q98)),ISNUMBER(SEARCH("PENDING",K98&amp;" "&amp;Q98)),ISNUMBER(SEARCH("IN PROGRESS",K98&amp;" "&amp;Q98)),ISNUMBER(SEARCH("OPEN",K98&amp;" "&amp;Q98)),ISNUMBER(SEARCH("RETEST REQUIRED",K98&amp;" "&amp;Q98)),ISNUMBER(SEARCH("IMPLEMENTATION UPDATED",K98&amp;" "&amp;Q98)),ISNUMBER(SEARCH("REQUIRED EVERY SESSION",K98&amp;" "&amp;Q98))),"Pending",IF(OR(Q98="PASS",ISNUMBER(SEARCH("PASS",K98&amp;" "&amp;Q98))),"Done","Pending"))))</f>
        <v>Done</v>
      </c>
      <c r="V98" s="146">
        <f>IF(T98="","",VALUE(LEFT(T98,SEARCH("/",T98)-1)))</f>
        <v/>
      </c>
      <c r="W98" s="146">
        <f>IF(T98="","",VALUE(MID(T98,SEARCH("/",T98)+1,LEN(T98))))</f>
        <v/>
      </c>
    </row>
    <row r="99" customFormat="false" ht="15" hidden="false" customHeight="false" outlineLevel="0" collapsed="false">
      <c r="A99" s="135" t="s">
        <v>698</v>
      </c>
      <c r="B99" s="135" t="s">
        <v>299</v>
      </c>
      <c r="C99" s="257" t="s">
        <v>46</v>
      </c>
      <c r="D99" s="135" t="s">
        <v>46</v>
      </c>
      <c r="E99" s="135" t="s">
        <v>699</v>
      </c>
      <c r="F99" s="135" t="s">
        <v>700</v>
      </c>
      <c r="G99" s="135" t="s">
        <v>701</v>
      </c>
      <c r="H99" s="135" t="s">
        <v>702</v>
      </c>
      <c r="I99" s="135" t="s">
        <v>703</v>
      </c>
      <c r="J99" s="135" t="s">
        <v>704</v>
      </c>
      <c r="K99" s="135" t="s">
        <v>168</v>
      </c>
      <c r="L99" s="135" t="s">
        <v>1</v>
      </c>
      <c r="M99" s="135" t="s">
        <v>1</v>
      </c>
      <c r="N99" s="135" t="s">
        <v>216</v>
      </c>
      <c r="O99" s="135" t="s">
        <v>91</v>
      </c>
      <c r="P99" s="135" t="s">
        <v>92</v>
      </c>
      <c r="Q99" s="135" t="s">
        <v>89</v>
      </c>
      <c r="R99" s="135" t="s">
        <v>705</v>
      </c>
      <c r="S99" s="135" t="s">
        <v>188</v>
      </c>
      <c r="T99" s="135" t="s">
        <v>1</v>
      </c>
      <c r="U99" s="146" t="str">
        <f>IF(OR(ISNUMBER(SEARCH("FAIL",K99&amp;" "&amp;Q99)),ISNUMBER(SEARCH("CLEAN RETEST REQUIRED",K99&amp;" "&amp;Q99))),"Failed",IF(OR(ISNUMBER(SEARCH("NOT RUN",K99&amp;" "&amp;Q99)),ISNUMBER(SEARCH("NOT IMPLEMENTED",K99&amp;" "&amp;Q99))),"Not started",IF(OR(ISNUMBER(SEARCH("PARTIAL",K99&amp;" "&amp;Q99)),ISNUMBER(SEARCH("PENDING",K99&amp;" "&amp;Q99)),ISNUMBER(SEARCH("IN PROGRESS",K99&amp;" "&amp;Q99)),ISNUMBER(SEARCH("OPEN",K99&amp;" "&amp;Q99)),ISNUMBER(SEARCH("RETEST REQUIRED",K99&amp;" "&amp;Q99)),ISNUMBER(SEARCH("IMPLEMENTATION UPDATED",K99&amp;" "&amp;Q99)),ISNUMBER(SEARCH("REQUIRED EVERY SESSION",K99&amp;" "&amp;Q99))),"Pending",IF(OR(Q99="PASS",ISNUMBER(SEARCH("PASS",K99&amp;" "&amp;Q99))),"Done","Pending"))))</f>
        <v>Done</v>
      </c>
      <c r="V99" s="146">
        <f>IF(T99="","",VALUE(LEFT(T99,SEARCH("/",T99)-1)))</f>
        <v/>
      </c>
      <c r="W99" s="146">
        <f>IF(T99="","",VALUE(MID(T99,SEARCH("/",T99)+1,LEN(T99))))</f>
        <v/>
      </c>
    </row>
    <row r="100" customFormat="false" ht="15" hidden="false" customHeight="false" outlineLevel="0" collapsed="false">
      <c r="A100" s="135" t="s">
        <v>706</v>
      </c>
      <c r="B100" s="135" t="s">
        <v>707</v>
      </c>
      <c r="C100" s="257" t="s">
        <v>46</v>
      </c>
      <c r="D100" s="135" t="s">
        <v>708</v>
      </c>
      <c r="E100" s="135" t="s">
        <v>709</v>
      </c>
      <c r="F100" s="135" t="s">
        <v>710</v>
      </c>
      <c r="G100" s="135" t="s">
        <v>711</v>
      </c>
      <c r="H100" s="135" t="s">
        <v>4</v>
      </c>
      <c r="I100" s="135" t="s">
        <v>712</v>
      </c>
      <c r="J100" s="135" t="s">
        <v>87</v>
      </c>
      <c r="K100" s="135" t="s">
        <v>168</v>
      </c>
      <c r="L100" s="135" t="s">
        <v>1</v>
      </c>
      <c r="M100" s="135" t="s">
        <v>1</v>
      </c>
      <c r="N100" s="135" t="s">
        <v>713</v>
      </c>
      <c r="O100" s="135" t="s">
        <v>91</v>
      </c>
      <c r="P100" s="135" t="s">
        <v>92</v>
      </c>
      <c r="Q100" s="135" t="s">
        <v>89</v>
      </c>
      <c r="R100" s="135" t="s">
        <v>714</v>
      </c>
      <c r="S100" s="135" t="s">
        <v>297</v>
      </c>
      <c r="T100" s="135" t="s">
        <v>1</v>
      </c>
      <c r="U100" s="146" t="str">
        <f>IF(OR(ISNUMBER(SEARCH("FAIL",K100&amp;" "&amp;Q100)),ISNUMBER(SEARCH("CLEAN RETEST REQUIRED",K100&amp;" "&amp;Q100))),"Failed",IF(OR(ISNUMBER(SEARCH("NOT RUN",K100&amp;" "&amp;Q100)),ISNUMBER(SEARCH("NOT IMPLEMENTED",K100&amp;" "&amp;Q100))),"Not started",IF(OR(ISNUMBER(SEARCH("PARTIAL",K100&amp;" "&amp;Q100)),ISNUMBER(SEARCH("PENDING",K100&amp;" "&amp;Q100)),ISNUMBER(SEARCH("IN PROGRESS",K100&amp;" "&amp;Q100)),ISNUMBER(SEARCH("OPEN",K100&amp;" "&amp;Q100)),ISNUMBER(SEARCH("RETEST REQUIRED",K100&amp;" "&amp;Q100)),ISNUMBER(SEARCH("IMPLEMENTATION UPDATED",K100&amp;" "&amp;Q100)),ISNUMBER(SEARCH("REQUIRED EVERY SESSION",K100&amp;" "&amp;Q100))),"Pending",IF(OR(Q100="PASS",ISNUMBER(SEARCH("PASS",K100&amp;" "&amp;Q100))),"Done","Pending"))))</f>
        <v>Done</v>
      </c>
      <c r="V100" s="146">
        <f>IF(T100="","",VALUE(LEFT(T100,SEARCH("/",T100)-1)))</f>
        <v/>
      </c>
      <c r="W100" s="146">
        <f>IF(T100="","",VALUE(MID(T100,SEARCH("/",T100)+1,LEN(T100))))</f>
        <v/>
      </c>
    </row>
    <row r="101" customFormat="false" ht="15" hidden="false" customHeight="false" outlineLevel="0" collapsed="false">
      <c r="A101" s="135" t="s">
        <v>715</v>
      </c>
      <c r="B101" s="135" t="s">
        <v>707</v>
      </c>
      <c r="C101" s="257" t="s">
        <v>46</v>
      </c>
      <c r="D101" s="135" t="s">
        <v>716</v>
      </c>
      <c r="E101" s="135" t="s">
        <v>717</v>
      </c>
      <c r="F101" s="135" t="s">
        <v>87</v>
      </c>
      <c r="G101" s="135" t="s">
        <v>718</v>
      </c>
      <c r="H101" s="135" t="s">
        <v>4</v>
      </c>
      <c r="I101" s="135" t="s">
        <v>4</v>
      </c>
      <c r="J101" s="135" t="s">
        <v>87</v>
      </c>
      <c r="K101" s="135" t="s">
        <v>168</v>
      </c>
      <c r="L101" s="135" t="s">
        <v>1</v>
      </c>
      <c r="M101" s="135" t="s">
        <v>1</v>
      </c>
      <c r="N101" s="135" t="s">
        <v>713</v>
      </c>
      <c r="O101" s="135" t="s">
        <v>91</v>
      </c>
      <c r="P101" s="135" t="s">
        <v>92</v>
      </c>
      <c r="Q101" s="135" t="s">
        <v>89</v>
      </c>
      <c r="R101" s="135" t="s">
        <v>719</v>
      </c>
      <c r="S101" s="135" t="s">
        <v>188</v>
      </c>
      <c r="T101" s="135" t="s">
        <v>1</v>
      </c>
      <c r="U101" s="146" t="str">
        <f>IF(OR(ISNUMBER(SEARCH("FAIL",K101&amp;" "&amp;Q101)),ISNUMBER(SEARCH("CLEAN RETEST REQUIRED",K101&amp;" "&amp;Q101))),"Failed",IF(OR(ISNUMBER(SEARCH("NOT RUN",K101&amp;" "&amp;Q101)),ISNUMBER(SEARCH("NOT IMPLEMENTED",K101&amp;" "&amp;Q101))),"Not started",IF(OR(ISNUMBER(SEARCH("PARTIAL",K101&amp;" "&amp;Q101)),ISNUMBER(SEARCH("PENDING",K101&amp;" "&amp;Q101)),ISNUMBER(SEARCH("IN PROGRESS",K101&amp;" "&amp;Q101)),ISNUMBER(SEARCH("OPEN",K101&amp;" "&amp;Q101)),ISNUMBER(SEARCH("RETEST REQUIRED",K101&amp;" "&amp;Q101)),ISNUMBER(SEARCH("IMPLEMENTATION UPDATED",K101&amp;" "&amp;Q101)),ISNUMBER(SEARCH("REQUIRED EVERY SESSION",K101&amp;" "&amp;Q101))),"Pending",IF(OR(Q101="PASS",ISNUMBER(SEARCH("PASS",K101&amp;" "&amp;Q101))),"Done","Pending"))))</f>
        <v>Done</v>
      </c>
      <c r="V101" s="146">
        <f>IF(T101="","",VALUE(LEFT(T101,SEARCH("/",T101)-1)))</f>
        <v/>
      </c>
      <c r="W101" s="146">
        <f>IF(T101="","",VALUE(MID(T101,SEARCH("/",T101)+1,LEN(T101))))</f>
        <v/>
      </c>
    </row>
    <row r="102" customFormat="false" ht="15" hidden="false" customHeight="false" outlineLevel="0" collapsed="false">
      <c r="A102" s="135" t="s">
        <v>720</v>
      </c>
      <c r="B102" s="135" t="s">
        <v>707</v>
      </c>
      <c r="C102" s="257" t="s">
        <v>46</v>
      </c>
      <c r="D102" s="135" t="s">
        <v>721</v>
      </c>
      <c r="E102" s="135" t="s">
        <v>722</v>
      </c>
      <c r="F102" s="135" t="s">
        <v>723</v>
      </c>
      <c r="G102" s="135" t="s">
        <v>724</v>
      </c>
      <c r="H102" s="135" t="s">
        <v>4</v>
      </c>
      <c r="I102" s="135" t="s">
        <v>4</v>
      </c>
      <c r="J102" s="135" t="s">
        <v>87</v>
      </c>
      <c r="K102" s="135" t="s">
        <v>168</v>
      </c>
      <c r="L102" s="135" t="s">
        <v>1</v>
      </c>
      <c r="M102" s="135" t="s">
        <v>1</v>
      </c>
      <c r="N102" s="135" t="s">
        <v>713</v>
      </c>
      <c r="O102" s="135" t="s">
        <v>91</v>
      </c>
      <c r="P102" s="135" t="s">
        <v>92</v>
      </c>
      <c r="Q102" s="135" t="s">
        <v>89</v>
      </c>
      <c r="R102" s="135" t="s">
        <v>725</v>
      </c>
      <c r="S102" s="135" t="s">
        <v>726</v>
      </c>
      <c r="T102" s="135" t="s">
        <v>1</v>
      </c>
      <c r="U102" s="146" t="str">
        <f>IF(OR(ISNUMBER(SEARCH("FAIL",K102&amp;" "&amp;Q102)),ISNUMBER(SEARCH("CLEAN RETEST REQUIRED",K102&amp;" "&amp;Q102))),"Failed",IF(OR(ISNUMBER(SEARCH("NOT RUN",K102&amp;" "&amp;Q102)),ISNUMBER(SEARCH("NOT IMPLEMENTED",K102&amp;" "&amp;Q102))),"Not started",IF(OR(ISNUMBER(SEARCH("PARTIAL",K102&amp;" "&amp;Q102)),ISNUMBER(SEARCH("PENDING",K102&amp;" "&amp;Q102)),ISNUMBER(SEARCH("IN PROGRESS",K102&amp;" "&amp;Q102)),ISNUMBER(SEARCH("OPEN",K102&amp;" "&amp;Q102)),ISNUMBER(SEARCH("RETEST REQUIRED",K102&amp;" "&amp;Q102)),ISNUMBER(SEARCH("IMPLEMENTATION UPDATED",K102&amp;" "&amp;Q102)),ISNUMBER(SEARCH("REQUIRED EVERY SESSION",K102&amp;" "&amp;Q102))),"Pending",IF(OR(Q102="PASS",ISNUMBER(SEARCH("PASS",K102&amp;" "&amp;Q102))),"Done","Pending"))))</f>
        <v>Done</v>
      </c>
      <c r="V102" s="146">
        <f>IF(T102="","",VALUE(LEFT(T102,SEARCH("/",T102)-1)))</f>
        <v/>
      </c>
      <c r="W102" s="146">
        <f>IF(T102="","",VALUE(MID(T102,SEARCH("/",T102)+1,LEN(T102))))</f>
        <v/>
      </c>
    </row>
    <row r="103" customFormat="false" ht="15" hidden="false" customHeight="false" outlineLevel="0" collapsed="false">
      <c r="A103" s="135" t="s">
        <v>727</v>
      </c>
      <c r="B103" s="135" t="s">
        <v>707</v>
      </c>
      <c r="C103" s="257" t="s">
        <v>46</v>
      </c>
      <c r="D103" s="135" t="s">
        <v>728</v>
      </c>
      <c r="E103" s="135" t="s">
        <v>729</v>
      </c>
      <c r="F103" s="135" t="s">
        <v>730</v>
      </c>
      <c r="G103" s="135" t="s">
        <v>107</v>
      </c>
      <c r="H103" s="135" t="s">
        <v>4</v>
      </c>
      <c r="I103" s="135" t="s">
        <v>4</v>
      </c>
      <c r="J103" s="135" t="s">
        <v>87</v>
      </c>
      <c r="K103" s="135" t="s">
        <v>168</v>
      </c>
      <c r="L103" s="135" t="s">
        <v>4</v>
      </c>
      <c r="M103" s="135" t="s">
        <v>650</v>
      </c>
      <c r="N103" s="135" t="s">
        <v>731</v>
      </c>
      <c r="O103" s="135" t="s">
        <v>91</v>
      </c>
      <c r="P103" s="135" t="s">
        <v>92</v>
      </c>
      <c r="Q103" s="135" t="s">
        <v>89</v>
      </c>
      <c r="R103" s="135" t="s">
        <v>732</v>
      </c>
      <c r="S103" s="135" t="s">
        <v>94</v>
      </c>
      <c r="T103" s="135" t="s">
        <v>1</v>
      </c>
      <c r="U103" s="146" t="str">
        <f>IF(OR(ISNUMBER(SEARCH("FAIL",K103&amp;" "&amp;Q103)),ISNUMBER(SEARCH("CLEAN RETEST REQUIRED",K103&amp;" "&amp;Q103))),"Failed",IF(OR(ISNUMBER(SEARCH("NOT RUN",K103&amp;" "&amp;Q103)),ISNUMBER(SEARCH("NOT IMPLEMENTED",K103&amp;" "&amp;Q103))),"Not started",IF(OR(ISNUMBER(SEARCH("PARTIAL",K103&amp;" "&amp;Q103)),ISNUMBER(SEARCH("PENDING",K103&amp;" "&amp;Q103)),ISNUMBER(SEARCH("IN PROGRESS",K103&amp;" "&amp;Q103)),ISNUMBER(SEARCH("OPEN",K103&amp;" "&amp;Q103)),ISNUMBER(SEARCH("RETEST REQUIRED",K103&amp;" "&amp;Q103)),ISNUMBER(SEARCH("IMPLEMENTATION UPDATED",K103&amp;" "&amp;Q103)),ISNUMBER(SEARCH("REQUIRED EVERY SESSION",K103&amp;" "&amp;Q103))),"Pending",IF(OR(Q103="PASS",ISNUMBER(SEARCH("PASS",K103&amp;" "&amp;Q103))),"Done","Pending"))))</f>
        <v>Done</v>
      </c>
      <c r="V103" s="146">
        <f>IF(T103="","",VALUE(LEFT(T103,SEARCH("/",T103)-1)))</f>
        <v/>
      </c>
      <c r="W103" s="146">
        <f>IF(T103="","",VALUE(MID(T103,SEARCH("/",T103)+1,LEN(T103))))</f>
        <v/>
      </c>
    </row>
    <row r="104" customFormat="false" ht="15" hidden="false" customHeight="false" outlineLevel="0" collapsed="false">
      <c r="A104" s="135" t="s">
        <v>733</v>
      </c>
      <c r="B104" s="135" t="s">
        <v>707</v>
      </c>
      <c r="C104" s="257" t="s">
        <v>46</v>
      </c>
      <c r="D104" s="135" t="s">
        <v>734</v>
      </c>
      <c r="E104" s="135" t="s">
        <v>735</v>
      </c>
      <c r="F104" s="135" t="s">
        <v>736</v>
      </c>
      <c r="G104" s="135" t="s">
        <v>107</v>
      </c>
      <c r="H104" s="135" t="s">
        <v>4</v>
      </c>
      <c r="I104" s="135" t="s">
        <v>737</v>
      </c>
      <c r="J104" s="135" t="s">
        <v>87</v>
      </c>
      <c r="K104" s="135" t="s">
        <v>168</v>
      </c>
      <c r="L104" s="135" t="s">
        <v>4</v>
      </c>
      <c r="M104" s="135" t="s">
        <v>650</v>
      </c>
      <c r="N104" s="135" t="s">
        <v>731</v>
      </c>
      <c r="O104" s="135" t="s">
        <v>91</v>
      </c>
      <c r="P104" s="135" t="s">
        <v>92</v>
      </c>
      <c r="Q104" s="135" t="s">
        <v>89</v>
      </c>
      <c r="R104" s="135" t="s">
        <v>738</v>
      </c>
      <c r="S104" s="135" t="s">
        <v>94</v>
      </c>
      <c r="T104" s="135" t="s">
        <v>1</v>
      </c>
      <c r="U104" s="146" t="str">
        <f>IF(OR(ISNUMBER(SEARCH("FAIL",K104&amp;" "&amp;Q104)),ISNUMBER(SEARCH("CLEAN RETEST REQUIRED",K104&amp;" "&amp;Q104))),"Failed",IF(OR(ISNUMBER(SEARCH("NOT RUN",K104&amp;" "&amp;Q104)),ISNUMBER(SEARCH("NOT IMPLEMENTED",K104&amp;" "&amp;Q104))),"Not started",IF(OR(ISNUMBER(SEARCH("PARTIAL",K104&amp;" "&amp;Q104)),ISNUMBER(SEARCH("PENDING",K104&amp;" "&amp;Q104)),ISNUMBER(SEARCH("IN PROGRESS",K104&amp;" "&amp;Q104)),ISNUMBER(SEARCH("OPEN",K104&amp;" "&amp;Q104)),ISNUMBER(SEARCH("RETEST REQUIRED",K104&amp;" "&amp;Q104)),ISNUMBER(SEARCH("IMPLEMENTATION UPDATED",K104&amp;" "&amp;Q104)),ISNUMBER(SEARCH("REQUIRED EVERY SESSION",K104&amp;" "&amp;Q104))),"Pending",IF(OR(Q104="PASS",ISNUMBER(SEARCH("PASS",K104&amp;" "&amp;Q104))),"Done","Pending"))))</f>
        <v>Done</v>
      </c>
      <c r="V104" s="146">
        <f>IF(T104="","",VALUE(LEFT(T104,SEARCH("/",T104)-1)))</f>
        <v/>
      </c>
      <c r="W104" s="146">
        <f>IF(T104="","",VALUE(MID(T104,SEARCH("/",T104)+1,LEN(T104))))</f>
        <v/>
      </c>
    </row>
    <row r="105" customFormat="false" ht="15" hidden="false" customHeight="false" outlineLevel="0" collapsed="false">
      <c r="A105" s="135" t="s">
        <v>739</v>
      </c>
      <c r="B105" s="135" t="s">
        <v>707</v>
      </c>
      <c r="C105" s="257" t="s">
        <v>46</v>
      </c>
      <c r="D105" s="135" t="s">
        <v>740</v>
      </c>
      <c r="E105" s="135" t="s">
        <v>741</v>
      </c>
      <c r="F105" s="135" t="s">
        <v>4</v>
      </c>
      <c r="G105" s="135" t="s">
        <v>742</v>
      </c>
      <c r="H105" s="135" t="s">
        <v>4</v>
      </c>
      <c r="I105" s="135" t="s">
        <v>4</v>
      </c>
      <c r="J105" s="135" t="s">
        <v>743</v>
      </c>
      <c r="K105" s="135" t="s">
        <v>168</v>
      </c>
      <c r="L105" s="135" t="s">
        <v>4</v>
      </c>
      <c r="M105" s="135" t="s">
        <v>650</v>
      </c>
      <c r="N105" s="135" t="s">
        <v>731</v>
      </c>
      <c r="O105" s="135" t="s">
        <v>91</v>
      </c>
      <c r="P105" s="135" t="s">
        <v>92</v>
      </c>
      <c r="Q105" s="135" t="s">
        <v>89</v>
      </c>
      <c r="R105" s="135" t="s">
        <v>744</v>
      </c>
      <c r="S105" s="135" t="s">
        <v>94</v>
      </c>
      <c r="T105" s="135" t="s">
        <v>1</v>
      </c>
      <c r="U105" s="146" t="str">
        <f>IF(OR(ISNUMBER(SEARCH("FAIL",K105&amp;" "&amp;Q105)),ISNUMBER(SEARCH("CLEAN RETEST REQUIRED",K105&amp;" "&amp;Q105))),"Failed",IF(OR(ISNUMBER(SEARCH("NOT RUN",K105&amp;" "&amp;Q105)),ISNUMBER(SEARCH("NOT IMPLEMENTED",K105&amp;" "&amp;Q105))),"Not started",IF(OR(ISNUMBER(SEARCH("PARTIAL",K105&amp;" "&amp;Q105)),ISNUMBER(SEARCH("PENDING",K105&amp;" "&amp;Q105)),ISNUMBER(SEARCH("IN PROGRESS",K105&amp;" "&amp;Q105)),ISNUMBER(SEARCH("OPEN",K105&amp;" "&amp;Q105)),ISNUMBER(SEARCH("RETEST REQUIRED",K105&amp;" "&amp;Q105)),ISNUMBER(SEARCH("IMPLEMENTATION UPDATED",K105&amp;" "&amp;Q105)),ISNUMBER(SEARCH("REQUIRED EVERY SESSION",K105&amp;" "&amp;Q105))),"Pending",IF(OR(Q105="PASS",ISNUMBER(SEARCH("PASS",K105&amp;" "&amp;Q105))),"Done","Pending"))))</f>
        <v>Done</v>
      </c>
      <c r="V105" s="146">
        <f>IF(T105="","",VALUE(LEFT(T105,SEARCH("/",T105)-1)))</f>
        <v/>
      </c>
      <c r="W105" s="146">
        <f>IF(T105="","",VALUE(MID(T105,SEARCH("/",T105)+1,LEN(T105))))</f>
        <v/>
      </c>
    </row>
    <row r="106" customFormat="false" ht="15" hidden="false" customHeight="false" outlineLevel="0" collapsed="false">
      <c r="A106" s="135" t="s">
        <v>745</v>
      </c>
      <c r="B106" s="135" t="s">
        <v>746</v>
      </c>
      <c r="C106" s="257" t="s">
        <v>46</v>
      </c>
      <c r="D106" s="135" t="s">
        <v>747</v>
      </c>
      <c r="E106" s="135" t="s">
        <v>748</v>
      </c>
      <c r="F106" s="135" t="s">
        <v>749</v>
      </c>
      <c r="G106" s="135" t="s">
        <v>750</v>
      </c>
      <c r="H106" s="135" t="s">
        <v>751</v>
      </c>
      <c r="I106" s="135" t="s">
        <v>752</v>
      </c>
      <c r="J106" s="135" t="s">
        <v>87</v>
      </c>
      <c r="K106" s="135" t="s">
        <v>753</v>
      </c>
      <c r="L106" s="135" t="s">
        <v>1</v>
      </c>
      <c r="M106" s="135" t="s">
        <v>1</v>
      </c>
      <c r="N106" s="135" t="s">
        <v>754</v>
      </c>
      <c r="O106" s="135" t="s">
        <v>91</v>
      </c>
      <c r="P106" s="135" t="s">
        <v>92</v>
      </c>
      <c r="Q106" s="135" t="s">
        <v>89</v>
      </c>
      <c r="R106" s="135" t="s">
        <v>755</v>
      </c>
      <c r="S106" s="135" t="s">
        <v>94</v>
      </c>
      <c r="T106" s="135" t="s">
        <v>1</v>
      </c>
      <c r="U106" s="146" t="str">
        <f>IF(OR(ISNUMBER(SEARCH("FAIL",K106&amp;" "&amp;Q106)),ISNUMBER(SEARCH("CLEAN RETEST REQUIRED",K106&amp;" "&amp;Q106))),"Failed",IF(OR(ISNUMBER(SEARCH("NOT RUN",K106&amp;" "&amp;Q106)),ISNUMBER(SEARCH("NOT IMPLEMENTED",K106&amp;" "&amp;Q106))),"Not started",IF(OR(ISNUMBER(SEARCH("PARTIAL",K106&amp;" "&amp;Q106)),ISNUMBER(SEARCH("PENDING",K106&amp;" "&amp;Q106)),ISNUMBER(SEARCH("IN PROGRESS",K106&amp;" "&amp;Q106)),ISNUMBER(SEARCH("OPEN",K106&amp;" "&amp;Q106)),ISNUMBER(SEARCH("RETEST REQUIRED",K106&amp;" "&amp;Q106)),ISNUMBER(SEARCH("IMPLEMENTATION UPDATED",K106&amp;" "&amp;Q106)),ISNUMBER(SEARCH("REQUIRED EVERY SESSION",K106&amp;" "&amp;Q106))),"Pending",IF(OR(Q106="PASS",ISNUMBER(SEARCH("PASS",K106&amp;" "&amp;Q106))),"Done","Pending"))))</f>
        <v>Done</v>
      </c>
      <c r="V106" s="146">
        <f>IF(T106="","",VALUE(LEFT(T106,SEARCH("/",T106)-1)))</f>
        <v/>
      </c>
      <c r="W106" s="146">
        <f>IF(T106="","",VALUE(MID(T106,SEARCH("/",T106)+1,LEN(T106))))</f>
        <v/>
      </c>
    </row>
    <row r="107" customFormat="false" ht="15" hidden="false" customHeight="false" outlineLevel="0" collapsed="false">
      <c r="A107" s="135" t="s">
        <v>756</v>
      </c>
      <c r="B107" s="135" t="s">
        <v>746</v>
      </c>
      <c r="C107" s="257" t="s">
        <v>46</v>
      </c>
      <c r="D107" s="135" t="s">
        <v>757</v>
      </c>
      <c r="E107" s="135" t="s">
        <v>758</v>
      </c>
      <c r="F107" s="135" t="s">
        <v>759</v>
      </c>
      <c r="G107" s="135" t="s">
        <v>107</v>
      </c>
      <c r="H107" s="135" t="s">
        <v>4</v>
      </c>
      <c r="I107" s="135" t="s">
        <v>4</v>
      </c>
      <c r="J107" s="135" t="s">
        <v>87</v>
      </c>
      <c r="K107" s="135" t="s">
        <v>168</v>
      </c>
      <c r="L107" s="135" t="s">
        <v>89</v>
      </c>
      <c r="M107" s="135" t="s">
        <v>760</v>
      </c>
      <c r="N107" s="135" t="s">
        <v>169</v>
      </c>
      <c r="O107" s="135" t="s">
        <v>91</v>
      </c>
      <c r="P107" s="135" t="s">
        <v>92</v>
      </c>
      <c r="Q107" s="135" t="s">
        <v>89</v>
      </c>
      <c r="R107" s="135" t="s">
        <v>761</v>
      </c>
      <c r="S107" s="135" t="s">
        <v>94</v>
      </c>
      <c r="T107" s="135" t="s">
        <v>1</v>
      </c>
      <c r="U107" s="146" t="str">
        <f>IF(OR(ISNUMBER(SEARCH("FAIL",K107&amp;" "&amp;Q107)),ISNUMBER(SEARCH("CLEAN RETEST REQUIRED",K107&amp;" "&amp;Q107))),"Failed",IF(OR(ISNUMBER(SEARCH("NOT RUN",K107&amp;" "&amp;Q107)),ISNUMBER(SEARCH("NOT IMPLEMENTED",K107&amp;" "&amp;Q107))),"Not started",IF(OR(ISNUMBER(SEARCH("PARTIAL",K107&amp;" "&amp;Q107)),ISNUMBER(SEARCH("PENDING",K107&amp;" "&amp;Q107)),ISNUMBER(SEARCH("IN PROGRESS",K107&amp;" "&amp;Q107)),ISNUMBER(SEARCH("OPEN",K107&amp;" "&amp;Q107)),ISNUMBER(SEARCH("RETEST REQUIRED",K107&amp;" "&amp;Q107)),ISNUMBER(SEARCH("IMPLEMENTATION UPDATED",K107&amp;" "&amp;Q107)),ISNUMBER(SEARCH("REQUIRED EVERY SESSION",K107&amp;" "&amp;Q107))),"Pending",IF(OR(Q107="PASS",ISNUMBER(SEARCH("PASS",K107&amp;" "&amp;Q107))),"Done","Pending"))))</f>
        <v>Done</v>
      </c>
      <c r="V107" s="146">
        <f>IF(T107="","",VALUE(LEFT(T107,SEARCH("/",T107)-1)))</f>
        <v/>
      </c>
      <c r="W107" s="146">
        <f>IF(T107="","",VALUE(MID(T107,SEARCH("/",T107)+1,LEN(T107))))</f>
        <v/>
      </c>
    </row>
    <row r="108" customFormat="false" ht="15" hidden="false" customHeight="false" outlineLevel="0" collapsed="false">
      <c r="A108" s="135" t="s">
        <v>762</v>
      </c>
      <c r="B108" s="135" t="s">
        <v>746</v>
      </c>
      <c r="C108" s="257" t="s">
        <v>46</v>
      </c>
      <c r="D108" s="135" t="s">
        <v>763</v>
      </c>
      <c r="E108" s="135" t="s">
        <v>764</v>
      </c>
      <c r="F108" s="135" t="s">
        <v>759</v>
      </c>
      <c r="G108" s="135" t="s">
        <v>107</v>
      </c>
      <c r="H108" s="135" t="s">
        <v>4</v>
      </c>
      <c r="I108" s="135" t="s">
        <v>4</v>
      </c>
      <c r="J108" s="135" t="s">
        <v>87</v>
      </c>
      <c r="K108" s="135" t="s">
        <v>168</v>
      </c>
      <c r="L108" s="135" t="s">
        <v>89</v>
      </c>
      <c r="M108" s="135" t="s">
        <v>760</v>
      </c>
      <c r="N108" s="135" t="s">
        <v>169</v>
      </c>
      <c r="O108" s="135" t="s">
        <v>91</v>
      </c>
      <c r="P108" s="135" t="s">
        <v>92</v>
      </c>
      <c r="Q108" s="135" t="s">
        <v>89</v>
      </c>
      <c r="R108" s="135" t="s">
        <v>765</v>
      </c>
      <c r="S108" s="135" t="s">
        <v>94</v>
      </c>
      <c r="T108" s="135" t="s">
        <v>1</v>
      </c>
      <c r="U108" s="146" t="str">
        <f>IF(OR(ISNUMBER(SEARCH("FAIL",K108&amp;" "&amp;Q108)),ISNUMBER(SEARCH("CLEAN RETEST REQUIRED",K108&amp;" "&amp;Q108))),"Failed",IF(OR(ISNUMBER(SEARCH("NOT RUN",K108&amp;" "&amp;Q108)),ISNUMBER(SEARCH("NOT IMPLEMENTED",K108&amp;" "&amp;Q108))),"Not started",IF(OR(ISNUMBER(SEARCH("PARTIAL",K108&amp;" "&amp;Q108)),ISNUMBER(SEARCH("PENDING",K108&amp;" "&amp;Q108)),ISNUMBER(SEARCH("IN PROGRESS",K108&amp;" "&amp;Q108)),ISNUMBER(SEARCH("OPEN",K108&amp;" "&amp;Q108)),ISNUMBER(SEARCH("RETEST REQUIRED",K108&amp;" "&amp;Q108)),ISNUMBER(SEARCH("IMPLEMENTATION UPDATED",K108&amp;" "&amp;Q108)),ISNUMBER(SEARCH("REQUIRED EVERY SESSION",K108&amp;" "&amp;Q108))),"Pending",IF(OR(Q108="PASS",ISNUMBER(SEARCH("PASS",K108&amp;" "&amp;Q108))),"Done","Pending"))))</f>
        <v>Done</v>
      </c>
      <c r="V108" s="146">
        <f>IF(T108="","",VALUE(LEFT(T108,SEARCH("/",T108)-1)))</f>
        <v/>
      </c>
      <c r="W108" s="146">
        <f>IF(T108="","",VALUE(MID(T108,SEARCH("/",T108)+1,LEN(T108))))</f>
        <v/>
      </c>
    </row>
    <row r="109" customFormat="false" ht="15" hidden="false" customHeight="false" outlineLevel="0" collapsed="false">
      <c r="A109" s="135" t="s">
        <v>766</v>
      </c>
      <c r="B109" s="135" t="s">
        <v>746</v>
      </c>
      <c r="C109" s="257" t="s">
        <v>46</v>
      </c>
      <c r="D109" s="135" t="s">
        <v>767</v>
      </c>
      <c r="E109" s="135" t="s">
        <v>768</v>
      </c>
      <c r="F109" s="135" t="s">
        <v>769</v>
      </c>
      <c r="G109" s="135" t="s">
        <v>107</v>
      </c>
      <c r="H109" s="135" t="s">
        <v>4</v>
      </c>
      <c r="I109" s="135" t="s">
        <v>770</v>
      </c>
      <c r="J109" s="135" t="s">
        <v>87</v>
      </c>
      <c r="K109" s="135" t="s">
        <v>168</v>
      </c>
      <c r="L109" s="135" t="s">
        <v>1</v>
      </c>
      <c r="M109" s="135" t="s">
        <v>1</v>
      </c>
      <c r="N109" s="135" t="s">
        <v>169</v>
      </c>
      <c r="O109" s="135" t="s">
        <v>91</v>
      </c>
      <c r="P109" s="135" t="s">
        <v>92</v>
      </c>
      <c r="Q109" s="135" t="s">
        <v>89</v>
      </c>
      <c r="R109" s="135" t="s">
        <v>771</v>
      </c>
      <c r="S109" s="135" t="s">
        <v>94</v>
      </c>
      <c r="T109" s="135" t="s">
        <v>1</v>
      </c>
      <c r="U109" s="146" t="str">
        <f>IF(OR(ISNUMBER(SEARCH("FAIL",K109&amp;" "&amp;Q109)),ISNUMBER(SEARCH("CLEAN RETEST REQUIRED",K109&amp;" "&amp;Q109))),"Failed",IF(OR(ISNUMBER(SEARCH("NOT RUN",K109&amp;" "&amp;Q109)),ISNUMBER(SEARCH("NOT IMPLEMENTED",K109&amp;" "&amp;Q109))),"Not started",IF(OR(ISNUMBER(SEARCH("PARTIAL",K109&amp;" "&amp;Q109)),ISNUMBER(SEARCH("PENDING",K109&amp;" "&amp;Q109)),ISNUMBER(SEARCH("IN PROGRESS",K109&amp;" "&amp;Q109)),ISNUMBER(SEARCH("OPEN",K109&amp;" "&amp;Q109)),ISNUMBER(SEARCH("RETEST REQUIRED",K109&amp;" "&amp;Q109)),ISNUMBER(SEARCH("IMPLEMENTATION UPDATED",K109&amp;" "&amp;Q109)),ISNUMBER(SEARCH("REQUIRED EVERY SESSION",K109&amp;" "&amp;Q109))),"Pending",IF(OR(Q109="PASS",ISNUMBER(SEARCH("PASS",K109&amp;" "&amp;Q109))),"Done","Pending"))))</f>
        <v>Done</v>
      </c>
      <c r="V109" s="146">
        <f>IF(T109="","",VALUE(LEFT(T109,SEARCH("/",T109)-1)))</f>
        <v/>
      </c>
      <c r="W109" s="146">
        <f>IF(T109="","",VALUE(MID(T109,SEARCH("/",T109)+1,LEN(T109))))</f>
        <v/>
      </c>
    </row>
    <row r="110" customFormat="false" ht="15" hidden="false" customHeight="false" outlineLevel="0" collapsed="false">
      <c r="A110" s="135" t="s">
        <v>772</v>
      </c>
      <c r="B110" s="135" t="s">
        <v>746</v>
      </c>
      <c r="C110" s="257" t="s">
        <v>46</v>
      </c>
      <c r="D110" s="135" t="s">
        <v>773</v>
      </c>
      <c r="E110" s="135" t="s">
        <v>774</v>
      </c>
      <c r="F110" s="135" t="s">
        <v>775</v>
      </c>
      <c r="G110" s="135" t="s">
        <v>107</v>
      </c>
      <c r="H110" s="135" t="s">
        <v>4</v>
      </c>
      <c r="I110" s="135" t="s">
        <v>776</v>
      </c>
      <c r="J110" s="135" t="s">
        <v>87</v>
      </c>
      <c r="K110" s="135" t="s">
        <v>168</v>
      </c>
      <c r="L110" s="135" t="s">
        <v>89</v>
      </c>
      <c r="M110" s="135" t="s">
        <v>760</v>
      </c>
      <c r="N110" s="135" t="s">
        <v>169</v>
      </c>
      <c r="O110" s="135" t="s">
        <v>91</v>
      </c>
      <c r="P110" s="135" t="s">
        <v>92</v>
      </c>
      <c r="Q110" s="135" t="s">
        <v>89</v>
      </c>
      <c r="R110" s="135" t="s">
        <v>777</v>
      </c>
      <c r="S110" s="135" t="s">
        <v>188</v>
      </c>
      <c r="T110" s="135" t="s">
        <v>1</v>
      </c>
      <c r="U110" s="146" t="str">
        <f>IF(OR(ISNUMBER(SEARCH("FAIL",K110&amp;" "&amp;Q110)),ISNUMBER(SEARCH("CLEAN RETEST REQUIRED",K110&amp;" "&amp;Q110))),"Failed",IF(OR(ISNUMBER(SEARCH("NOT RUN",K110&amp;" "&amp;Q110)),ISNUMBER(SEARCH("NOT IMPLEMENTED",K110&amp;" "&amp;Q110))),"Not started",IF(OR(ISNUMBER(SEARCH("PARTIAL",K110&amp;" "&amp;Q110)),ISNUMBER(SEARCH("PENDING",K110&amp;" "&amp;Q110)),ISNUMBER(SEARCH("IN PROGRESS",K110&amp;" "&amp;Q110)),ISNUMBER(SEARCH("OPEN",K110&amp;" "&amp;Q110)),ISNUMBER(SEARCH("RETEST REQUIRED",K110&amp;" "&amp;Q110)),ISNUMBER(SEARCH("IMPLEMENTATION UPDATED",K110&amp;" "&amp;Q110)),ISNUMBER(SEARCH("REQUIRED EVERY SESSION",K110&amp;" "&amp;Q110))),"Pending",IF(OR(Q110="PASS",ISNUMBER(SEARCH("PASS",K110&amp;" "&amp;Q110))),"Done","Pending"))))</f>
        <v>Done</v>
      </c>
      <c r="V110" s="146">
        <f>IF(T110="","",VALUE(LEFT(T110,SEARCH("/",T110)-1)))</f>
        <v/>
      </c>
      <c r="W110" s="146">
        <f>IF(T110="","",VALUE(MID(T110,SEARCH("/",T110)+1,LEN(T110))))</f>
        <v/>
      </c>
    </row>
    <row r="111" customFormat="false" ht="15" hidden="false" customHeight="false" outlineLevel="0" collapsed="false">
      <c r="A111" s="135" t="s">
        <v>778</v>
      </c>
      <c r="B111" s="135" t="s">
        <v>229</v>
      </c>
      <c r="C111" s="257" t="s">
        <v>46</v>
      </c>
      <c r="D111" s="135" t="s">
        <v>779</v>
      </c>
      <c r="E111" s="135" t="s">
        <v>780</v>
      </c>
      <c r="F111" s="135" t="s">
        <v>4</v>
      </c>
      <c r="G111" s="135" t="s">
        <v>781</v>
      </c>
      <c r="H111" s="135" t="s">
        <v>4</v>
      </c>
      <c r="I111" s="135" t="s">
        <v>8</v>
      </c>
      <c r="J111" s="135" t="s">
        <v>782</v>
      </c>
      <c r="K111" s="135" t="s">
        <v>168</v>
      </c>
      <c r="L111" s="135" t="s">
        <v>89</v>
      </c>
      <c r="M111" s="135" t="s">
        <v>760</v>
      </c>
      <c r="N111" s="135" t="s">
        <v>169</v>
      </c>
      <c r="O111" s="135" t="s">
        <v>91</v>
      </c>
      <c r="P111" s="135" t="s">
        <v>92</v>
      </c>
      <c r="Q111" s="135" t="s">
        <v>89</v>
      </c>
      <c r="R111" s="135" t="s">
        <v>783</v>
      </c>
      <c r="S111" s="135" t="s">
        <v>117</v>
      </c>
      <c r="T111" s="135" t="s">
        <v>1</v>
      </c>
      <c r="U111" s="146" t="str">
        <f>IF(OR(ISNUMBER(SEARCH("FAIL",K111&amp;" "&amp;Q111)),ISNUMBER(SEARCH("CLEAN RETEST REQUIRED",K111&amp;" "&amp;Q111))),"Failed",IF(OR(ISNUMBER(SEARCH("NOT RUN",K111&amp;" "&amp;Q111)),ISNUMBER(SEARCH("NOT IMPLEMENTED",K111&amp;" "&amp;Q111))),"Not started",IF(OR(ISNUMBER(SEARCH("PARTIAL",K111&amp;" "&amp;Q111)),ISNUMBER(SEARCH("PENDING",K111&amp;" "&amp;Q111)),ISNUMBER(SEARCH("IN PROGRESS",K111&amp;" "&amp;Q111)),ISNUMBER(SEARCH("OPEN",K111&amp;" "&amp;Q111)),ISNUMBER(SEARCH("RETEST REQUIRED",K111&amp;" "&amp;Q111)),ISNUMBER(SEARCH("IMPLEMENTATION UPDATED",K111&amp;" "&amp;Q111)),ISNUMBER(SEARCH("REQUIRED EVERY SESSION",K111&amp;" "&amp;Q111))),"Pending",IF(OR(Q111="PASS",ISNUMBER(SEARCH("PASS",K111&amp;" "&amp;Q111))),"Done","Pending"))))</f>
        <v>Done</v>
      </c>
      <c r="V111" s="146">
        <f>IF(T111="","",VALUE(LEFT(T111,SEARCH("/",T111)-1)))</f>
        <v/>
      </c>
      <c r="W111" s="146">
        <f>IF(T111="","",VALUE(MID(T111,SEARCH("/",T111)+1,LEN(T111))))</f>
        <v/>
      </c>
    </row>
    <row r="112" customFormat="false" ht="15" hidden="false" customHeight="false" outlineLevel="0" collapsed="false">
      <c r="A112" s="135" t="s">
        <v>784</v>
      </c>
      <c r="B112" s="135" t="s">
        <v>133</v>
      </c>
      <c r="C112" s="257" t="s">
        <v>46</v>
      </c>
      <c r="D112" s="135" t="s">
        <v>785</v>
      </c>
      <c r="E112" s="135" t="s">
        <v>786</v>
      </c>
      <c r="F112" s="135" t="s">
        <v>1</v>
      </c>
      <c r="G112" s="135" t="s">
        <v>1</v>
      </c>
      <c r="H112" s="135" t="s">
        <v>1</v>
      </c>
      <c r="I112" s="135" t="s">
        <v>1</v>
      </c>
      <c r="J112" s="135" t="s">
        <v>1</v>
      </c>
      <c r="K112" s="135" t="s">
        <v>136</v>
      </c>
      <c r="L112" s="135" t="s">
        <v>137</v>
      </c>
      <c r="M112" s="135" t="s">
        <v>100</v>
      </c>
      <c r="N112" s="135" t="s">
        <v>138</v>
      </c>
      <c r="O112" s="135" t="s">
        <v>91</v>
      </c>
      <c r="P112" s="135" t="s">
        <v>139</v>
      </c>
      <c r="Q112" s="135" t="s">
        <v>89</v>
      </c>
      <c r="R112" s="135" t="s">
        <v>787</v>
      </c>
      <c r="S112" s="135" t="s">
        <v>141</v>
      </c>
      <c r="T112" s="135" t="s">
        <v>1</v>
      </c>
      <c r="U112" s="146" t="str">
        <f>IF(OR(ISNUMBER(SEARCH("FAIL",K112&amp;" "&amp;Q112)),ISNUMBER(SEARCH("CLEAN RETEST REQUIRED",K112&amp;" "&amp;Q112))),"Failed",IF(OR(ISNUMBER(SEARCH("NOT RUN",K112&amp;" "&amp;Q112)),ISNUMBER(SEARCH("NOT IMPLEMENTED",K112&amp;" "&amp;Q112))),"Not started",IF(OR(ISNUMBER(SEARCH("PARTIAL",K112&amp;" "&amp;Q112)),ISNUMBER(SEARCH("PENDING",K112&amp;" "&amp;Q112)),ISNUMBER(SEARCH("IN PROGRESS",K112&amp;" "&amp;Q112)),ISNUMBER(SEARCH("OPEN",K112&amp;" "&amp;Q112)),ISNUMBER(SEARCH("RETEST REQUIRED",K112&amp;" "&amp;Q112)),ISNUMBER(SEARCH("IMPLEMENTATION UPDATED",K112&amp;" "&amp;Q112)),ISNUMBER(SEARCH("REQUIRED EVERY SESSION",K112&amp;" "&amp;Q112))),"Pending",IF(OR(Q112="PASS",ISNUMBER(SEARCH("PASS",K112&amp;" "&amp;Q112))),"Done","Pending"))))</f>
        <v>Done</v>
      </c>
      <c r="V112" s="146">
        <f>IF(T112="","",VALUE(LEFT(T112,SEARCH("/",T112)-1)))</f>
        <v/>
      </c>
      <c r="W112" s="146">
        <f>IF(T112="","",VALUE(MID(T112,SEARCH("/",T112)+1,LEN(T112))))</f>
        <v/>
      </c>
    </row>
    <row r="113" customFormat="false" ht="15" hidden="false" customHeight="false" outlineLevel="0" collapsed="false">
      <c r="A113" s="135" t="s">
        <v>788</v>
      </c>
      <c r="B113" s="135" t="s">
        <v>299</v>
      </c>
      <c r="C113" s="258" t="s">
        <v>52</v>
      </c>
      <c r="D113" s="135" t="s">
        <v>789</v>
      </c>
      <c r="E113" s="135" t="s">
        <v>790</v>
      </c>
      <c r="F113" s="135" t="s">
        <v>791</v>
      </c>
      <c r="G113" s="135" t="s">
        <v>792</v>
      </c>
      <c r="H113" s="135" t="s">
        <v>4</v>
      </c>
      <c r="I113" s="135" t="s">
        <v>793</v>
      </c>
      <c r="J113" s="135" t="s">
        <v>794</v>
      </c>
      <c r="K113" s="135" t="s">
        <v>795</v>
      </c>
      <c r="L113" s="135" t="s">
        <v>1</v>
      </c>
      <c r="M113" s="135" t="s">
        <v>1</v>
      </c>
      <c r="N113" s="135" t="s">
        <v>481</v>
      </c>
      <c r="O113" s="135" t="s">
        <v>91</v>
      </c>
      <c r="P113" s="135" t="s">
        <v>92</v>
      </c>
      <c r="Q113" s="135" t="s">
        <v>89</v>
      </c>
      <c r="R113" s="135" t="s">
        <v>796</v>
      </c>
      <c r="S113" s="135" t="s">
        <v>94</v>
      </c>
      <c r="T113" s="135" t="s">
        <v>1</v>
      </c>
      <c r="U113" s="146" t="str">
        <f>IF(OR(ISNUMBER(SEARCH("FAIL",K113&amp;" "&amp;Q113)),ISNUMBER(SEARCH("CLEAN RETEST REQUIRED",K113&amp;" "&amp;Q113))),"Failed",IF(OR(ISNUMBER(SEARCH("NOT RUN",K113&amp;" "&amp;Q113)),ISNUMBER(SEARCH("NOT IMPLEMENTED",K113&amp;" "&amp;Q113))),"Not started",IF(OR(ISNUMBER(SEARCH("PARTIAL",K113&amp;" "&amp;Q113)),ISNUMBER(SEARCH("PENDING",K113&amp;" "&amp;Q113)),ISNUMBER(SEARCH("IN PROGRESS",K113&amp;" "&amp;Q113)),ISNUMBER(SEARCH("OPEN",K113&amp;" "&amp;Q113)),ISNUMBER(SEARCH("RETEST REQUIRED",K113&amp;" "&amp;Q113)),ISNUMBER(SEARCH("IMPLEMENTATION UPDATED",K113&amp;" "&amp;Q113)),ISNUMBER(SEARCH("REQUIRED EVERY SESSION",K113&amp;" "&amp;Q113))),"Pending",IF(OR(Q113="PASS",ISNUMBER(SEARCH("PASS",K113&amp;" "&amp;Q113))),"Done","Pending"))))</f>
        <v>Done</v>
      </c>
      <c r="V113" s="146">
        <f>IF(T113="","",VALUE(LEFT(T113,SEARCH("/",T113)-1)))</f>
        <v/>
      </c>
      <c r="W113" s="146">
        <f>IF(T113="","",VALUE(MID(T113,SEARCH("/",T113)+1,LEN(T113))))</f>
        <v/>
      </c>
    </row>
    <row r="114" customFormat="false" ht="15" hidden="false" customHeight="false" outlineLevel="0" collapsed="false">
      <c r="A114" s="135" t="s">
        <v>797</v>
      </c>
      <c r="B114" s="135" t="s">
        <v>798</v>
      </c>
      <c r="C114" s="258" t="s">
        <v>52</v>
      </c>
      <c r="D114" s="135" t="s">
        <v>799</v>
      </c>
      <c r="E114" s="135" t="s">
        <v>800</v>
      </c>
      <c r="F114" s="135" t="s">
        <v>801</v>
      </c>
      <c r="G114" s="135" t="s">
        <v>802</v>
      </c>
      <c r="H114" s="135" t="s">
        <v>4</v>
      </c>
      <c r="I114" s="135" t="s">
        <v>803</v>
      </c>
      <c r="J114" s="135" t="s">
        <v>87</v>
      </c>
      <c r="K114" s="135" t="s">
        <v>168</v>
      </c>
      <c r="L114" s="135" t="s">
        <v>89</v>
      </c>
      <c r="M114" s="135" t="s">
        <v>760</v>
      </c>
      <c r="N114" s="135" t="s">
        <v>169</v>
      </c>
      <c r="O114" s="135" t="s">
        <v>91</v>
      </c>
      <c r="P114" s="135" t="s">
        <v>92</v>
      </c>
      <c r="Q114" s="135" t="s">
        <v>89</v>
      </c>
      <c r="R114" s="135" t="s">
        <v>804</v>
      </c>
      <c r="S114" s="135" t="s">
        <v>94</v>
      </c>
      <c r="T114" s="135" t="s">
        <v>1</v>
      </c>
      <c r="U114" s="146" t="str">
        <f>IF(OR(ISNUMBER(SEARCH("FAIL",K114&amp;" "&amp;Q114)),ISNUMBER(SEARCH("CLEAN RETEST REQUIRED",K114&amp;" "&amp;Q114))),"Failed",IF(OR(ISNUMBER(SEARCH("NOT RUN",K114&amp;" "&amp;Q114)),ISNUMBER(SEARCH("NOT IMPLEMENTED",K114&amp;" "&amp;Q114))),"Not started",IF(OR(ISNUMBER(SEARCH("PARTIAL",K114&amp;" "&amp;Q114)),ISNUMBER(SEARCH("PENDING",K114&amp;" "&amp;Q114)),ISNUMBER(SEARCH("IN PROGRESS",K114&amp;" "&amp;Q114)),ISNUMBER(SEARCH("OPEN",K114&amp;" "&amp;Q114)),ISNUMBER(SEARCH("RETEST REQUIRED",K114&amp;" "&amp;Q114)),ISNUMBER(SEARCH("IMPLEMENTATION UPDATED",K114&amp;" "&amp;Q114)),ISNUMBER(SEARCH("REQUIRED EVERY SESSION",K114&amp;" "&amp;Q114))),"Pending",IF(OR(Q114="PASS",ISNUMBER(SEARCH("PASS",K114&amp;" "&amp;Q114))),"Done","Pending"))))</f>
        <v>Done</v>
      </c>
      <c r="V114" s="146">
        <f>IF(T114="","",VALUE(LEFT(T114,SEARCH("/",T114)-1)))</f>
        <v/>
      </c>
      <c r="W114" s="146">
        <f>IF(T114="","",VALUE(MID(T114,SEARCH("/",T114)+1,LEN(T114))))</f>
        <v/>
      </c>
    </row>
    <row r="115" customFormat="false" ht="15" hidden="false" customHeight="false" outlineLevel="0" collapsed="false">
      <c r="A115" s="135" t="s">
        <v>805</v>
      </c>
      <c r="B115" s="135" t="s">
        <v>798</v>
      </c>
      <c r="C115" s="258" t="s">
        <v>52</v>
      </c>
      <c r="D115" s="135" t="s">
        <v>806</v>
      </c>
      <c r="E115" s="135" t="s">
        <v>807</v>
      </c>
      <c r="F115" s="135" t="s">
        <v>808</v>
      </c>
      <c r="G115" s="135" t="s">
        <v>809</v>
      </c>
      <c r="H115" s="135" t="s">
        <v>4</v>
      </c>
      <c r="I115" s="135" t="s">
        <v>4</v>
      </c>
      <c r="J115" s="135" t="s">
        <v>87</v>
      </c>
      <c r="K115" s="135" t="s">
        <v>168</v>
      </c>
      <c r="L115" s="135" t="s">
        <v>89</v>
      </c>
      <c r="M115" s="135" t="s">
        <v>760</v>
      </c>
      <c r="N115" s="135" t="s">
        <v>169</v>
      </c>
      <c r="O115" s="135" t="s">
        <v>91</v>
      </c>
      <c r="P115" s="135" t="s">
        <v>92</v>
      </c>
      <c r="Q115" s="135" t="s">
        <v>89</v>
      </c>
      <c r="R115" s="135" t="s">
        <v>810</v>
      </c>
      <c r="S115" s="135" t="s">
        <v>188</v>
      </c>
      <c r="T115" s="135" t="s">
        <v>1</v>
      </c>
      <c r="U115" s="146" t="str">
        <f>IF(OR(ISNUMBER(SEARCH("FAIL",K115&amp;" "&amp;Q115)),ISNUMBER(SEARCH("CLEAN RETEST REQUIRED",K115&amp;" "&amp;Q115))),"Failed",IF(OR(ISNUMBER(SEARCH("NOT RUN",K115&amp;" "&amp;Q115)),ISNUMBER(SEARCH("NOT IMPLEMENTED",K115&amp;" "&amp;Q115))),"Not started",IF(OR(ISNUMBER(SEARCH("PARTIAL",K115&amp;" "&amp;Q115)),ISNUMBER(SEARCH("PENDING",K115&amp;" "&amp;Q115)),ISNUMBER(SEARCH("IN PROGRESS",K115&amp;" "&amp;Q115)),ISNUMBER(SEARCH("OPEN",K115&amp;" "&amp;Q115)),ISNUMBER(SEARCH("RETEST REQUIRED",K115&amp;" "&amp;Q115)),ISNUMBER(SEARCH("IMPLEMENTATION UPDATED",K115&amp;" "&amp;Q115)),ISNUMBER(SEARCH("REQUIRED EVERY SESSION",K115&amp;" "&amp;Q115))),"Pending",IF(OR(Q115="PASS",ISNUMBER(SEARCH("PASS",K115&amp;" "&amp;Q115))),"Done","Pending"))))</f>
        <v>Done</v>
      </c>
      <c r="V115" s="146">
        <f>IF(T115="","",VALUE(LEFT(T115,SEARCH("/",T115)-1)))</f>
        <v/>
      </c>
      <c r="W115" s="146">
        <f>IF(T115="","",VALUE(MID(T115,SEARCH("/",T115)+1,LEN(T115))))</f>
        <v/>
      </c>
    </row>
    <row r="116" customFormat="false" ht="15" hidden="false" customHeight="false" outlineLevel="0" collapsed="false">
      <c r="A116" s="135" t="s">
        <v>811</v>
      </c>
      <c r="B116" s="135" t="s">
        <v>798</v>
      </c>
      <c r="C116" s="258" t="s">
        <v>52</v>
      </c>
      <c r="D116" s="135" t="s">
        <v>812</v>
      </c>
      <c r="E116" s="135" t="s">
        <v>813</v>
      </c>
      <c r="F116" s="135" t="s">
        <v>814</v>
      </c>
      <c r="G116" s="135" t="s">
        <v>815</v>
      </c>
      <c r="H116" s="135" t="s">
        <v>4</v>
      </c>
      <c r="I116" s="135" t="s">
        <v>4</v>
      </c>
      <c r="J116" s="135" t="s">
        <v>87</v>
      </c>
      <c r="K116" s="135" t="s">
        <v>168</v>
      </c>
      <c r="L116" s="135" t="s">
        <v>89</v>
      </c>
      <c r="M116" s="135" t="s">
        <v>760</v>
      </c>
      <c r="N116" s="135" t="s">
        <v>169</v>
      </c>
      <c r="O116" s="135" t="s">
        <v>91</v>
      </c>
      <c r="P116" s="135" t="s">
        <v>92</v>
      </c>
      <c r="Q116" s="135" t="s">
        <v>89</v>
      </c>
      <c r="R116" s="135" t="s">
        <v>816</v>
      </c>
      <c r="S116" s="135" t="s">
        <v>407</v>
      </c>
      <c r="T116" s="135" t="s">
        <v>1</v>
      </c>
      <c r="U116" s="146" t="str">
        <f>IF(OR(ISNUMBER(SEARCH("FAIL",K116&amp;" "&amp;Q116)),ISNUMBER(SEARCH("CLEAN RETEST REQUIRED",K116&amp;" "&amp;Q116))),"Failed",IF(OR(ISNUMBER(SEARCH("NOT RUN",K116&amp;" "&amp;Q116)),ISNUMBER(SEARCH("NOT IMPLEMENTED",K116&amp;" "&amp;Q116))),"Not started",IF(OR(ISNUMBER(SEARCH("PARTIAL",K116&amp;" "&amp;Q116)),ISNUMBER(SEARCH("PENDING",K116&amp;" "&amp;Q116)),ISNUMBER(SEARCH("IN PROGRESS",K116&amp;" "&amp;Q116)),ISNUMBER(SEARCH("OPEN",K116&amp;" "&amp;Q116)),ISNUMBER(SEARCH("RETEST REQUIRED",K116&amp;" "&amp;Q116)),ISNUMBER(SEARCH("IMPLEMENTATION UPDATED",K116&amp;" "&amp;Q116)),ISNUMBER(SEARCH("REQUIRED EVERY SESSION",K116&amp;" "&amp;Q116))),"Pending",IF(OR(Q116="PASS",ISNUMBER(SEARCH("PASS",K116&amp;" "&amp;Q116))),"Done","Pending"))))</f>
        <v>Done</v>
      </c>
      <c r="V116" s="146">
        <f>IF(T116="","",VALUE(LEFT(T116,SEARCH("/",T116)-1)))</f>
        <v/>
      </c>
      <c r="W116" s="146">
        <f>IF(T116="","",VALUE(MID(T116,SEARCH("/",T116)+1,LEN(T116))))</f>
        <v/>
      </c>
    </row>
    <row r="117" customFormat="false" ht="15" hidden="false" customHeight="false" outlineLevel="0" collapsed="false">
      <c r="A117" s="135" t="s">
        <v>817</v>
      </c>
      <c r="B117" s="135" t="s">
        <v>798</v>
      </c>
      <c r="C117" s="258" t="s">
        <v>52</v>
      </c>
      <c r="D117" s="135" t="s">
        <v>818</v>
      </c>
      <c r="E117" s="135" t="s">
        <v>819</v>
      </c>
      <c r="F117" s="135" t="s">
        <v>820</v>
      </c>
      <c r="G117" s="135" t="s">
        <v>821</v>
      </c>
      <c r="H117" s="135" t="s">
        <v>4</v>
      </c>
      <c r="I117" s="135" t="s">
        <v>4</v>
      </c>
      <c r="J117" s="135" t="s">
        <v>87</v>
      </c>
      <c r="K117" s="135" t="s">
        <v>168</v>
      </c>
      <c r="L117" s="135" t="s">
        <v>89</v>
      </c>
      <c r="M117" s="135" t="s">
        <v>760</v>
      </c>
      <c r="N117" s="135" t="s">
        <v>169</v>
      </c>
      <c r="O117" s="135" t="s">
        <v>91</v>
      </c>
      <c r="P117" s="135" t="s">
        <v>92</v>
      </c>
      <c r="Q117" s="135" t="s">
        <v>89</v>
      </c>
      <c r="R117" s="135" t="s">
        <v>822</v>
      </c>
      <c r="S117" s="135" t="s">
        <v>407</v>
      </c>
      <c r="T117" s="135" t="s">
        <v>1</v>
      </c>
      <c r="U117" s="146" t="str">
        <f>IF(OR(ISNUMBER(SEARCH("FAIL",K117&amp;" "&amp;Q117)),ISNUMBER(SEARCH("CLEAN RETEST REQUIRED",K117&amp;" "&amp;Q117))),"Failed",IF(OR(ISNUMBER(SEARCH("NOT RUN",K117&amp;" "&amp;Q117)),ISNUMBER(SEARCH("NOT IMPLEMENTED",K117&amp;" "&amp;Q117))),"Not started",IF(OR(ISNUMBER(SEARCH("PARTIAL",K117&amp;" "&amp;Q117)),ISNUMBER(SEARCH("PENDING",K117&amp;" "&amp;Q117)),ISNUMBER(SEARCH("IN PROGRESS",K117&amp;" "&amp;Q117)),ISNUMBER(SEARCH("OPEN",K117&amp;" "&amp;Q117)),ISNUMBER(SEARCH("RETEST REQUIRED",K117&amp;" "&amp;Q117)),ISNUMBER(SEARCH("IMPLEMENTATION UPDATED",K117&amp;" "&amp;Q117)),ISNUMBER(SEARCH("REQUIRED EVERY SESSION",K117&amp;" "&amp;Q117))),"Pending",IF(OR(Q117="PASS",ISNUMBER(SEARCH("PASS",K117&amp;" "&amp;Q117))),"Done","Pending"))))</f>
        <v>Done</v>
      </c>
      <c r="V117" s="146">
        <f>IF(T117="","",VALUE(LEFT(T117,SEARCH("/",T117)-1)))</f>
        <v/>
      </c>
      <c r="W117" s="146">
        <f>IF(T117="","",VALUE(MID(T117,SEARCH("/",T117)+1,LEN(T117))))</f>
        <v/>
      </c>
    </row>
    <row r="118" customFormat="false" ht="15" hidden="false" customHeight="false" outlineLevel="0" collapsed="false">
      <c r="A118" s="135" t="s">
        <v>823</v>
      </c>
      <c r="B118" s="135" t="s">
        <v>637</v>
      </c>
      <c r="C118" s="258" t="s">
        <v>52</v>
      </c>
      <c r="D118" s="135" t="s">
        <v>67</v>
      </c>
      <c r="E118" s="135" t="s">
        <v>824</v>
      </c>
      <c r="F118" s="135" t="s">
        <v>825</v>
      </c>
      <c r="G118" s="135" t="s">
        <v>826</v>
      </c>
      <c r="H118" s="135" t="s">
        <v>4</v>
      </c>
      <c r="I118" s="135" t="s">
        <v>827</v>
      </c>
      <c r="J118" s="135" t="s">
        <v>828</v>
      </c>
      <c r="K118" s="135" t="s">
        <v>307</v>
      </c>
      <c r="L118" s="135" t="s">
        <v>1</v>
      </c>
      <c r="M118" s="135" t="s">
        <v>1</v>
      </c>
      <c r="N118" s="135" t="s">
        <v>481</v>
      </c>
      <c r="O118" s="135" t="s">
        <v>91</v>
      </c>
      <c r="P118" s="135" t="s">
        <v>92</v>
      </c>
      <c r="Q118" s="135" t="s">
        <v>89</v>
      </c>
      <c r="R118" s="135" t="s">
        <v>829</v>
      </c>
      <c r="S118" s="135" t="s">
        <v>830</v>
      </c>
      <c r="T118" s="135" t="s">
        <v>1</v>
      </c>
      <c r="U118" s="146" t="str">
        <f>IF(OR(ISNUMBER(SEARCH("FAIL",K118&amp;" "&amp;Q118)),ISNUMBER(SEARCH("CLEAN RETEST REQUIRED",K118&amp;" "&amp;Q118))),"Failed",IF(OR(ISNUMBER(SEARCH("NOT RUN",K118&amp;" "&amp;Q118)),ISNUMBER(SEARCH("NOT IMPLEMENTED",K118&amp;" "&amp;Q118))),"Not started",IF(OR(ISNUMBER(SEARCH("PARTIAL",K118&amp;" "&amp;Q118)),ISNUMBER(SEARCH("PENDING",K118&amp;" "&amp;Q118)),ISNUMBER(SEARCH("IN PROGRESS",K118&amp;" "&amp;Q118)),ISNUMBER(SEARCH("OPEN",K118&amp;" "&amp;Q118)),ISNUMBER(SEARCH("RETEST REQUIRED",K118&amp;" "&amp;Q118)),ISNUMBER(SEARCH("IMPLEMENTATION UPDATED",K118&amp;" "&amp;Q118)),ISNUMBER(SEARCH("REQUIRED EVERY SESSION",K118&amp;" "&amp;Q118))),"Pending",IF(OR(Q118="PASS",ISNUMBER(SEARCH("PASS",K118&amp;" "&amp;Q118))),"Done","Pending"))))</f>
        <v>Done</v>
      </c>
      <c r="V118" s="146">
        <f>IF(T118="","",VALUE(LEFT(T118,SEARCH("/",T118)-1)))</f>
        <v/>
      </c>
      <c r="W118" s="146">
        <f>IF(T118="","",VALUE(MID(T118,SEARCH("/",T118)+1,LEN(T118))))</f>
        <v/>
      </c>
    </row>
    <row r="119" customFormat="false" ht="15" hidden="false" customHeight="false" outlineLevel="0" collapsed="false">
      <c r="A119" s="135" t="s">
        <v>831</v>
      </c>
      <c r="B119" s="135" t="s">
        <v>133</v>
      </c>
      <c r="C119" s="258" t="s">
        <v>52</v>
      </c>
      <c r="D119" s="135" t="s">
        <v>832</v>
      </c>
      <c r="E119" s="135" t="s">
        <v>833</v>
      </c>
      <c r="F119" s="135" t="s">
        <v>1</v>
      </c>
      <c r="G119" s="135" t="s">
        <v>1</v>
      </c>
      <c r="H119" s="135" t="s">
        <v>1</v>
      </c>
      <c r="I119" s="135" t="s">
        <v>1</v>
      </c>
      <c r="J119" s="135" t="s">
        <v>1</v>
      </c>
      <c r="K119" s="135" t="s">
        <v>136</v>
      </c>
      <c r="L119" s="135" t="s">
        <v>137</v>
      </c>
      <c r="M119" s="135" t="s">
        <v>677</v>
      </c>
      <c r="N119" s="135" t="s">
        <v>138</v>
      </c>
      <c r="O119" s="135" t="s">
        <v>91</v>
      </c>
      <c r="P119" s="135" t="s">
        <v>139</v>
      </c>
      <c r="Q119" s="135" t="s">
        <v>89</v>
      </c>
      <c r="R119" s="135" t="s">
        <v>834</v>
      </c>
      <c r="S119" s="135" t="s">
        <v>141</v>
      </c>
      <c r="T119" s="135" t="s">
        <v>1</v>
      </c>
      <c r="U119" s="146" t="str">
        <f>IF(OR(ISNUMBER(SEARCH("FAIL",K119&amp;" "&amp;Q119)),ISNUMBER(SEARCH("CLEAN RETEST REQUIRED",K119&amp;" "&amp;Q119))),"Failed",IF(OR(ISNUMBER(SEARCH("NOT RUN",K119&amp;" "&amp;Q119)),ISNUMBER(SEARCH("NOT IMPLEMENTED",K119&amp;" "&amp;Q119))),"Not started",IF(OR(ISNUMBER(SEARCH("PARTIAL",K119&amp;" "&amp;Q119)),ISNUMBER(SEARCH("PENDING",K119&amp;" "&amp;Q119)),ISNUMBER(SEARCH("IN PROGRESS",K119&amp;" "&amp;Q119)),ISNUMBER(SEARCH("OPEN",K119&amp;" "&amp;Q119)),ISNUMBER(SEARCH("RETEST REQUIRED",K119&amp;" "&amp;Q119)),ISNUMBER(SEARCH("IMPLEMENTATION UPDATED",K119&amp;" "&amp;Q119)),ISNUMBER(SEARCH("REQUIRED EVERY SESSION",K119&amp;" "&amp;Q119))),"Pending",IF(OR(Q119="PASS",ISNUMBER(SEARCH("PASS",K119&amp;" "&amp;Q119))),"Done","Pending"))))</f>
        <v>Done</v>
      </c>
      <c r="V119" s="146">
        <f>IF(T119="","",VALUE(LEFT(T119,SEARCH("/",T119)-1)))</f>
        <v/>
      </c>
      <c r="W119" s="146">
        <f>IF(T119="","",VALUE(MID(T119,SEARCH("/",T119)+1,LEN(T119))))</f>
        <v/>
      </c>
    </row>
    <row r="120" customFormat="false" ht="15" hidden="false" customHeight="false" outlineLevel="0" collapsed="false">
      <c r="A120" s="135" t="s">
        <v>835</v>
      </c>
      <c r="B120" s="135" t="s">
        <v>133</v>
      </c>
      <c r="C120" s="258" t="s">
        <v>52</v>
      </c>
      <c r="D120" s="135" t="s">
        <v>836</v>
      </c>
      <c r="E120" s="135" t="s">
        <v>837</v>
      </c>
      <c r="F120" s="135" t="s">
        <v>1</v>
      </c>
      <c r="G120" s="135" t="s">
        <v>1</v>
      </c>
      <c r="H120" s="135" t="s">
        <v>1</v>
      </c>
      <c r="I120" s="135" t="s">
        <v>1</v>
      </c>
      <c r="J120" s="135" t="s">
        <v>1</v>
      </c>
      <c r="K120" s="135" t="s">
        <v>136</v>
      </c>
      <c r="L120" s="135" t="s">
        <v>137</v>
      </c>
      <c r="M120" s="135" t="s">
        <v>100</v>
      </c>
      <c r="N120" s="135" t="s">
        <v>138</v>
      </c>
      <c r="O120" s="135" t="s">
        <v>91</v>
      </c>
      <c r="P120" s="135" t="s">
        <v>139</v>
      </c>
      <c r="Q120" s="135" t="s">
        <v>89</v>
      </c>
      <c r="R120" s="135" t="s">
        <v>838</v>
      </c>
      <c r="S120" s="135" t="s">
        <v>141</v>
      </c>
      <c r="T120" s="135" t="s">
        <v>1</v>
      </c>
      <c r="U120" s="146" t="str">
        <f>IF(OR(ISNUMBER(SEARCH("FAIL",K120&amp;" "&amp;Q120)),ISNUMBER(SEARCH("CLEAN RETEST REQUIRED",K120&amp;" "&amp;Q120))),"Failed",IF(OR(ISNUMBER(SEARCH("NOT RUN",K120&amp;" "&amp;Q120)),ISNUMBER(SEARCH("NOT IMPLEMENTED",K120&amp;" "&amp;Q120))),"Not started",IF(OR(ISNUMBER(SEARCH("PARTIAL",K120&amp;" "&amp;Q120)),ISNUMBER(SEARCH("PENDING",K120&amp;" "&amp;Q120)),ISNUMBER(SEARCH("IN PROGRESS",K120&amp;" "&amp;Q120)),ISNUMBER(SEARCH("OPEN",K120&amp;" "&amp;Q120)),ISNUMBER(SEARCH("RETEST REQUIRED",K120&amp;" "&amp;Q120)),ISNUMBER(SEARCH("IMPLEMENTATION UPDATED",K120&amp;" "&amp;Q120)),ISNUMBER(SEARCH("REQUIRED EVERY SESSION",K120&amp;" "&amp;Q120))),"Pending",IF(OR(Q120="PASS",ISNUMBER(SEARCH("PASS",K120&amp;" "&amp;Q120))),"Done","Pending"))))</f>
        <v>Done</v>
      </c>
      <c r="V120" s="146">
        <f>IF(T120="","",VALUE(LEFT(T120,SEARCH("/",T120)-1)))</f>
        <v/>
      </c>
      <c r="W120" s="146">
        <f>IF(T120="","",VALUE(MID(T120,SEARCH("/",T120)+1,LEN(T120))))</f>
        <v/>
      </c>
    </row>
    <row r="121" customFormat="false" ht="15" hidden="false" customHeight="false" outlineLevel="0" collapsed="false">
      <c r="A121" s="135" t="s">
        <v>839</v>
      </c>
      <c r="B121" s="135" t="s">
        <v>840</v>
      </c>
      <c r="C121" s="258" t="s">
        <v>52</v>
      </c>
      <c r="D121" s="135" t="s">
        <v>841</v>
      </c>
      <c r="E121" s="135" t="s">
        <v>842</v>
      </c>
      <c r="F121" s="135" t="s">
        <v>843</v>
      </c>
      <c r="G121" s="135" t="s">
        <v>844</v>
      </c>
      <c r="H121" s="135" t="s">
        <v>4</v>
      </c>
      <c r="I121" s="135" t="s">
        <v>4</v>
      </c>
      <c r="J121" s="135" t="s">
        <v>87</v>
      </c>
      <c r="K121" s="135" t="s">
        <v>136</v>
      </c>
      <c r="L121" s="135" t="s">
        <v>137</v>
      </c>
      <c r="M121" s="135" t="s">
        <v>845</v>
      </c>
      <c r="N121" s="135" t="s">
        <v>846</v>
      </c>
      <c r="O121" s="135" t="s">
        <v>847</v>
      </c>
      <c r="P121" s="135" t="s">
        <v>848</v>
      </c>
      <c r="Q121" s="135" t="s">
        <v>89</v>
      </c>
      <c r="R121" s="135" t="s">
        <v>849</v>
      </c>
      <c r="S121" s="135" t="s">
        <v>141</v>
      </c>
      <c r="T121" s="135" t="s">
        <v>1</v>
      </c>
      <c r="U121" s="146" t="str">
        <f>IF(OR(ISNUMBER(SEARCH("FAIL",K121&amp;" "&amp;Q121)),ISNUMBER(SEARCH("CLEAN RETEST REQUIRED",K121&amp;" "&amp;Q121))),"Failed",IF(OR(ISNUMBER(SEARCH("NOT RUN",K121&amp;" "&amp;Q121)),ISNUMBER(SEARCH("NOT IMPLEMENTED",K121&amp;" "&amp;Q121))),"Not started",IF(OR(ISNUMBER(SEARCH("PARTIAL",K121&amp;" "&amp;Q121)),ISNUMBER(SEARCH("PENDING",K121&amp;" "&amp;Q121)),ISNUMBER(SEARCH("IN PROGRESS",K121&amp;" "&amp;Q121)),ISNUMBER(SEARCH("OPEN",K121&amp;" "&amp;Q121)),ISNUMBER(SEARCH("RETEST REQUIRED",K121&amp;" "&amp;Q121)),ISNUMBER(SEARCH("IMPLEMENTATION UPDATED",K121&amp;" "&amp;Q121)),ISNUMBER(SEARCH("REQUIRED EVERY SESSION",K121&amp;" "&amp;Q121))),"Pending",IF(OR(Q121="PASS",ISNUMBER(SEARCH("PASS",K121&amp;" "&amp;Q121))),"Done","Pending"))))</f>
        <v>Done</v>
      </c>
      <c r="V121" s="146">
        <f>IF(T121="","",VALUE(LEFT(T121,SEARCH("/",T121)-1)))</f>
        <v/>
      </c>
      <c r="W121" s="146">
        <f>IF(T121="","",VALUE(MID(T121,SEARCH("/",T121)+1,LEN(T121))))</f>
        <v/>
      </c>
    </row>
    <row r="122" customFormat="false" ht="15" hidden="false" customHeight="false" outlineLevel="0" collapsed="false">
      <c r="A122" s="135" t="s">
        <v>850</v>
      </c>
      <c r="B122" s="135" t="s">
        <v>746</v>
      </c>
      <c r="C122" s="259" t="s">
        <v>58</v>
      </c>
      <c r="D122" s="135" t="s">
        <v>851</v>
      </c>
      <c r="E122" s="135" t="s">
        <v>852</v>
      </c>
      <c r="F122" s="135" t="s">
        <v>853</v>
      </c>
      <c r="G122" s="135" t="s">
        <v>854</v>
      </c>
      <c r="H122" s="135" t="s">
        <v>4</v>
      </c>
      <c r="I122" s="135" t="s">
        <v>4</v>
      </c>
      <c r="J122" s="135" t="s">
        <v>87</v>
      </c>
      <c r="K122" s="135" t="s">
        <v>168</v>
      </c>
      <c r="L122" s="135" t="s">
        <v>89</v>
      </c>
      <c r="M122" s="135" t="s">
        <v>855</v>
      </c>
      <c r="N122" s="135" t="s">
        <v>856</v>
      </c>
      <c r="O122" s="135" t="s">
        <v>91</v>
      </c>
      <c r="P122" s="135" t="s">
        <v>92</v>
      </c>
      <c r="Q122" s="135" t="s">
        <v>89</v>
      </c>
      <c r="R122" s="135" t="s">
        <v>857</v>
      </c>
      <c r="S122" s="135" t="s">
        <v>188</v>
      </c>
      <c r="T122" s="135" t="s">
        <v>1</v>
      </c>
      <c r="U122" s="146" t="str">
        <f>IF(OR(ISNUMBER(SEARCH("FAIL",K122&amp;" "&amp;Q122)),ISNUMBER(SEARCH("CLEAN RETEST REQUIRED",K122&amp;" "&amp;Q122))),"Failed",IF(OR(ISNUMBER(SEARCH("NOT RUN",K122&amp;" "&amp;Q122)),ISNUMBER(SEARCH("NOT IMPLEMENTED",K122&amp;" "&amp;Q122))),"Not started",IF(OR(ISNUMBER(SEARCH("PARTIAL",K122&amp;" "&amp;Q122)),ISNUMBER(SEARCH("PENDING",K122&amp;" "&amp;Q122)),ISNUMBER(SEARCH("IN PROGRESS",K122&amp;" "&amp;Q122)),ISNUMBER(SEARCH("OPEN",K122&amp;" "&amp;Q122)),ISNUMBER(SEARCH("RETEST REQUIRED",K122&amp;" "&amp;Q122)),ISNUMBER(SEARCH("IMPLEMENTATION UPDATED",K122&amp;" "&amp;Q122)),ISNUMBER(SEARCH("REQUIRED EVERY SESSION",K122&amp;" "&amp;Q122))),"Pending",IF(OR(Q122="PASS",ISNUMBER(SEARCH("PASS",K122&amp;" "&amp;Q122))),"Done","Pending"))))</f>
        <v>Done</v>
      </c>
      <c r="V122" s="146">
        <f>IF(T122="","",VALUE(LEFT(T122,SEARCH("/",T122)-1)))</f>
        <v/>
      </c>
      <c r="W122" s="146">
        <f>IF(T122="","",VALUE(MID(T122,SEARCH("/",T122)+1,LEN(T122))))</f>
        <v/>
      </c>
    </row>
    <row r="123" customFormat="false" ht="15" hidden="false" customHeight="false" outlineLevel="0" collapsed="false">
      <c r="A123" s="135" t="s">
        <v>858</v>
      </c>
      <c r="B123" s="135" t="s">
        <v>746</v>
      </c>
      <c r="C123" s="259" t="s">
        <v>58</v>
      </c>
      <c r="D123" s="135" t="s">
        <v>859</v>
      </c>
      <c r="E123" s="135" t="s">
        <v>860</v>
      </c>
      <c r="F123" s="135" t="s">
        <v>861</v>
      </c>
      <c r="G123" s="135" t="s">
        <v>862</v>
      </c>
      <c r="H123" s="135" t="s">
        <v>863</v>
      </c>
      <c r="I123" s="135" t="s">
        <v>864</v>
      </c>
      <c r="J123" s="135" t="s">
        <v>87</v>
      </c>
      <c r="K123" s="135" t="s">
        <v>168</v>
      </c>
      <c r="L123" s="135" t="s">
        <v>89</v>
      </c>
      <c r="M123" s="135" t="s">
        <v>855</v>
      </c>
      <c r="N123" s="135" t="s">
        <v>856</v>
      </c>
      <c r="O123" s="135" t="s">
        <v>91</v>
      </c>
      <c r="P123" s="135" t="s">
        <v>92</v>
      </c>
      <c r="Q123" s="135" t="s">
        <v>89</v>
      </c>
      <c r="R123" s="135" t="s">
        <v>865</v>
      </c>
      <c r="S123" s="135" t="s">
        <v>407</v>
      </c>
      <c r="T123" s="135" t="s">
        <v>1</v>
      </c>
      <c r="U123" s="146" t="str">
        <f>IF(OR(ISNUMBER(SEARCH("FAIL",K123&amp;" "&amp;Q123)),ISNUMBER(SEARCH("CLEAN RETEST REQUIRED",K123&amp;" "&amp;Q123))),"Failed",IF(OR(ISNUMBER(SEARCH("NOT RUN",K123&amp;" "&amp;Q123)),ISNUMBER(SEARCH("NOT IMPLEMENTED",K123&amp;" "&amp;Q123))),"Not started",IF(OR(ISNUMBER(SEARCH("PARTIAL",K123&amp;" "&amp;Q123)),ISNUMBER(SEARCH("PENDING",K123&amp;" "&amp;Q123)),ISNUMBER(SEARCH("IN PROGRESS",K123&amp;" "&amp;Q123)),ISNUMBER(SEARCH("OPEN",K123&amp;" "&amp;Q123)),ISNUMBER(SEARCH("RETEST REQUIRED",K123&amp;" "&amp;Q123)),ISNUMBER(SEARCH("IMPLEMENTATION UPDATED",K123&amp;" "&amp;Q123)),ISNUMBER(SEARCH("REQUIRED EVERY SESSION",K123&amp;" "&amp;Q123))),"Pending",IF(OR(Q123="PASS",ISNUMBER(SEARCH("PASS",K123&amp;" "&amp;Q123))),"Done","Pending"))))</f>
        <v>Done</v>
      </c>
      <c r="V123" s="146">
        <f>IF(T123="","",VALUE(LEFT(T123,SEARCH("/",T123)-1)))</f>
        <v/>
      </c>
      <c r="W123" s="146">
        <f>IF(T123="","",VALUE(MID(T123,SEARCH("/",T123)+1,LEN(T123))))</f>
        <v/>
      </c>
    </row>
    <row r="124" customFormat="false" ht="15" hidden="false" customHeight="false" outlineLevel="0" collapsed="false">
      <c r="A124" s="135" t="s">
        <v>866</v>
      </c>
      <c r="B124" s="135" t="s">
        <v>219</v>
      </c>
      <c r="C124" s="259" t="s">
        <v>58</v>
      </c>
      <c r="D124" s="135" t="s">
        <v>867</v>
      </c>
      <c r="E124" s="135" t="s">
        <v>868</v>
      </c>
      <c r="F124" s="135" t="s">
        <v>869</v>
      </c>
      <c r="G124" s="135" t="s">
        <v>107</v>
      </c>
      <c r="H124" s="135" t="s">
        <v>4</v>
      </c>
      <c r="I124" s="135" t="s">
        <v>87</v>
      </c>
      <c r="J124" s="135" t="s">
        <v>87</v>
      </c>
      <c r="K124" s="135" t="s">
        <v>168</v>
      </c>
      <c r="L124" s="135" t="s">
        <v>89</v>
      </c>
      <c r="M124" s="135" t="s">
        <v>855</v>
      </c>
      <c r="N124" s="135" t="s">
        <v>856</v>
      </c>
      <c r="O124" s="135" t="s">
        <v>91</v>
      </c>
      <c r="P124" s="135" t="s">
        <v>92</v>
      </c>
      <c r="Q124" s="135" t="s">
        <v>89</v>
      </c>
      <c r="R124" s="135" t="s">
        <v>870</v>
      </c>
      <c r="S124" s="135" t="s">
        <v>351</v>
      </c>
      <c r="T124" s="135" t="s">
        <v>1</v>
      </c>
      <c r="U124" s="146" t="str">
        <f>IF(OR(ISNUMBER(SEARCH("FAIL",K124&amp;" "&amp;Q124)),ISNUMBER(SEARCH("CLEAN RETEST REQUIRED",K124&amp;" "&amp;Q124))),"Failed",IF(OR(ISNUMBER(SEARCH("NOT RUN",K124&amp;" "&amp;Q124)),ISNUMBER(SEARCH("NOT IMPLEMENTED",K124&amp;" "&amp;Q124))),"Not started",IF(OR(ISNUMBER(SEARCH("PARTIAL",K124&amp;" "&amp;Q124)),ISNUMBER(SEARCH("PENDING",K124&amp;" "&amp;Q124)),ISNUMBER(SEARCH("IN PROGRESS",K124&amp;" "&amp;Q124)),ISNUMBER(SEARCH("OPEN",K124&amp;" "&amp;Q124)),ISNUMBER(SEARCH("RETEST REQUIRED",K124&amp;" "&amp;Q124)),ISNUMBER(SEARCH("IMPLEMENTATION UPDATED",K124&amp;" "&amp;Q124)),ISNUMBER(SEARCH("REQUIRED EVERY SESSION",K124&amp;" "&amp;Q124))),"Pending",IF(OR(Q124="PASS",ISNUMBER(SEARCH("PASS",K124&amp;" "&amp;Q124))),"Done","Pending"))))</f>
        <v>Done</v>
      </c>
      <c r="V124" s="146">
        <f>IF(T124="","",VALUE(LEFT(T124,SEARCH("/",T124)-1)))</f>
        <v/>
      </c>
      <c r="W124" s="146">
        <f>IF(T124="","",VALUE(MID(T124,SEARCH("/",T124)+1,LEN(T124))))</f>
        <v/>
      </c>
    </row>
    <row r="125" customFormat="false" ht="15" hidden="false" customHeight="false" outlineLevel="0" collapsed="false">
      <c r="A125" s="135" t="s">
        <v>871</v>
      </c>
      <c r="B125" s="135" t="s">
        <v>219</v>
      </c>
      <c r="C125" s="259" t="s">
        <v>58</v>
      </c>
      <c r="D125" s="135" t="s">
        <v>872</v>
      </c>
      <c r="E125" s="135" t="s">
        <v>873</v>
      </c>
      <c r="F125" s="135" t="s">
        <v>222</v>
      </c>
      <c r="G125" s="135" t="s">
        <v>107</v>
      </c>
      <c r="H125" s="135" t="s">
        <v>4</v>
      </c>
      <c r="I125" s="135" t="s">
        <v>874</v>
      </c>
      <c r="J125" s="135" t="s">
        <v>87</v>
      </c>
      <c r="K125" s="135" t="s">
        <v>168</v>
      </c>
      <c r="L125" s="135" t="s">
        <v>1</v>
      </c>
      <c r="M125" s="135" t="s">
        <v>1</v>
      </c>
      <c r="N125" s="135" t="s">
        <v>875</v>
      </c>
      <c r="O125" s="135" t="s">
        <v>91</v>
      </c>
      <c r="P125" s="135" t="s">
        <v>92</v>
      </c>
      <c r="Q125" s="135" t="s">
        <v>89</v>
      </c>
      <c r="R125" s="135" t="s">
        <v>876</v>
      </c>
      <c r="S125" s="135" t="s">
        <v>877</v>
      </c>
      <c r="T125" s="135" t="s">
        <v>1</v>
      </c>
      <c r="U125" s="146" t="str">
        <f>IF(OR(ISNUMBER(SEARCH("FAIL",K125&amp;" "&amp;Q125)),ISNUMBER(SEARCH("CLEAN RETEST REQUIRED",K125&amp;" "&amp;Q125))),"Failed",IF(OR(ISNUMBER(SEARCH("NOT RUN",K125&amp;" "&amp;Q125)),ISNUMBER(SEARCH("NOT IMPLEMENTED",K125&amp;" "&amp;Q125))),"Not started",IF(OR(ISNUMBER(SEARCH("PARTIAL",K125&amp;" "&amp;Q125)),ISNUMBER(SEARCH("PENDING",K125&amp;" "&amp;Q125)),ISNUMBER(SEARCH("IN PROGRESS",K125&amp;" "&amp;Q125)),ISNUMBER(SEARCH("OPEN",K125&amp;" "&amp;Q125)),ISNUMBER(SEARCH("RETEST REQUIRED",K125&amp;" "&amp;Q125)),ISNUMBER(SEARCH("IMPLEMENTATION UPDATED",K125&amp;" "&amp;Q125)),ISNUMBER(SEARCH("REQUIRED EVERY SESSION",K125&amp;" "&amp;Q125))),"Pending",IF(OR(Q125="PASS",ISNUMBER(SEARCH("PASS",K125&amp;" "&amp;Q125))),"Done","Pending"))))</f>
        <v>Done</v>
      </c>
      <c r="V125" s="146">
        <f>IF(T125="","",VALUE(LEFT(T125,SEARCH("/",T125)-1)))</f>
        <v/>
      </c>
      <c r="W125" s="146">
        <f>IF(T125="","",VALUE(MID(T125,SEARCH("/",T125)+1,LEN(T125))))</f>
        <v/>
      </c>
    </row>
    <row r="126" customFormat="false" ht="15" hidden="false" customHeight="false" outlineLevel="0" collapsed="false">
      <c r="A126" s="135" t="s">
        <v>878</v>
      </c>
      <c r="B126" s="135" t="s">
        <v>299</v>
      </c>
      <c r="C126" s="259" t="s">
        <v>58</v>
      </c>
      <c r="D126" s="135" t="s">
        <v>879</v>
      </c>
      <c r="E126" s="135" t="s">
        <v>880</v>
      </c>
      <c r="F126" s="135" t="s">
        <v>881</v>
      </c>
      <c r="G126" s="135" t="s">
        <v>107</v>
      </c>
      <c r="H126" s="135" t="s">
        <v>882</v>
      </c>
      <c r="I126" s="135" t="s">
        <v>883</v>
      </c>
      <c r="J126" s="135" t="s">
        <v>87</v>
      </c>
      <c r="K126" s="135" t="s">
        <v>168</v>
      </c>
      <c r="L126" s="135" t="s">
        <v>1</v>
      </c>
      <c r="M126" s="135" t="s">
        <v>1</v>
      </c>
      <c r="N126" s="135" t="s">
        <v>884</v>
      </c>
      <c r="O126" s="135" t="s">
        <v>91</v>
      </c>
      <c r="P126" s="135" t="s">
        <v>92</v>
      </c>
      <c r="Q126" s="135" t="s">
        <v>89</v>
      </c>
      <c r="R126" s="135" t="s">
        <v>885</v>
      </c>
      <c r="S126" s="135" t="s">
        <v>94</v>
      </c>
      <c r="T126" s="135" t="s">
        <v>1</v>
      </c>
      <c r="U126" s="146" t="str">
        <f>IF(OR(ISNUMBER(SEARCH("FAIL",K126&amp;" "&amp;Q126)),ISNUMBER(SEARCH("CLEAN RETEST REQUIRED",K126&amp;" "&amp;Q126))),"Failed",IF(OR(ISNUMBER(SEARCH("NOT RUN",K126&amp;" "&amp;Q126)),ISNUMBER(SEARCH("NOT IMPLEMENTED",K126&amp;" "&amp;Q126))),"Not started",IF(OR(ISNUMBER(SEARCH("PARTIAL",K126&amp;" "&amp;Q126)),ISNUMBER(SEARCH("PENDING",K126&amp;" "&amp;Q126)),ISNUMBER(SEARCH("IN PROGRESS",K126&amp;" "&amp;Q126)),ISNUMBER(SEARCH("OPEN",K126&amp;" "&amp;Q126)),ISNUMBER(SEARCH("RETEST REQUIRED",K126&amp;" "&amp;Q126)),ISNUMBER(SEARCH("IMPLEMENTATION UPDATED",K126&amp;" "&amp;Q126)),ISNUMBER(SEARCH("REQUIRED EVERY SESSION",K126&amp;" "&amp;Q126))),"Pending",IF(OR(Q126="PASS",ISNUMBER(SEARCH("PASS",K126&amp;" "&amp;Q126))),"Done","Pending"))))</f>
        <v>Done</v>
      </c>
      <c r="V126" s="146">
        <f>IF(T126="","",VALUE(LEFT(T126,SEARCH("/",T126)-1)))</f>
        <v/>
      </c>
      <c r="W126" s="146">
        <f>IF(T126="","",VALUE(MID(T126,SEARCH("/",T126)+1,LEN(T126))))</f>
        <v/>
      </c>
    </row>
    <row r="127" customFormat="false" ht="15" hidden="false" customHeight="false" outlineLevel="0" collapsed="false">
      <c r="A127" s="135" t="s">
        <v>886</v>
      </c>
      <c r="B127" s="135" t="s">
        <v>887</v>
      </c>
      <c r="C127" s="259" t="s">
        <v>58</v>
      </c>
      <c r="D127" s="135" t="s">
        <v>888</v>
      </c>
      <c r="E127" s="135" t="s">
        <v>889</v>
      </c>
      <c r="F127" s="135" t="s">
        <v>890</v>
      </c>
      <c r="G127" s="135" t="s">
        <v>107</v>
      </c>
      <c r="H127" s="135" t="s">
        <v>4</v>
      </c>
      <c r="I127" s="135" t="s">
        <v>891</v>
      </c>
      <c r="J127" s="135" t="s">
        <v>87</v>
      </c>
      <c r="K127" s="135" t="s">
        <v>168</v>
      </c>
      <c r="L127" s="135" t="s">
        <v>1</v>
      </c>
      <c r="M127" s="135" t="s">
        <v>1</v>
      </c>
      <c r="N127" s="135" t="s">
        <v>875</v>
      </c>
      <c r="O127" s="135" t="s">
        <v>91</v>
      </c>
      <c r="P127" s="135" t="s">
        <v>92</v>
      </c>
      <c r="Q127" s="135" t="s">
        <v>89</v>
      </c>
      <c r="R127" s="135" t="s">
        <v>892</v>
      </c>
      <c r="S127" s="135" t="s">
        <v>188</v>
      </c>
      <c r="T127" s="135" t="s">
        <v>1</v>
      </c>
      <c r="U127" s="146" t="str">
        <f>IF(OR(ISNUMBER(SEARCH("FAIL",K127&amp;" "&amp;Q127)),ISNUMBER(SEARCH("CLEAN RETEST REQUIRED",K127&amp;" "&amp;Q127))),"Failed",IF(OR(ISNUMBER(SEARCH("NOT RUN",K127&amp;" "&amp;Q127)),ISNUMBER(SEARCH("NOT IMPLEMENTED",K127&amp;" "&amp;Q127))),"Not started",IF(OR(ISNUMBER(SEARCH("PARTIAL",K127&amp;" "&amp;Q127)),ISNUMBER(SEARCH("PENDING",K127&amp;" "&amp;Q127)),ISNUMBER(SEARCH("IN PROGRESS",K127&amp;" "&amp;Q127)),ISNUMBER(SEARCH("OPEN",K127&amp;" "&amp;Q127)),ISNUMBER(SEARCH("RETEST REQUIRED",K127&amp;" "&amp;Q127)),ISNUMBER(SEARCH("IMPLEMENTATION UPDATED",K127&amp;" "&amp;Q127)),ISNUMBER(SEARCH("REQUIRED EVERY SESSION",K127&amp;" "&amp;Q127))),"Pending",IF(OR(Q127="PASS",ISNUMBER(SEARCH("PASS",K127&amp;" "&amp;Q127))),"Done","Pending"))))</f>
        <v>Done</v>
      </c>
      <c r="V127" s="146">
        <f>IF(T127="","",VALUE(LEFT(T127,SEARCH("/",T127)-1)))</f>
        <v/>
      </c>
      <c r="W127" s="146">
        <f>IF(T127="","",VALUE(MID(T127,SEARCH("/",T127)+1,LEN(T127))))</f>
        <v/>
      </c>
    </row>
    <row r="128" customFormat="false" ht="15" hidden="false" customHeight="false" outlineLevel="0" collapsed="false">
      <c r="A128" s="135" t="s">
        <v>893</v>
      </c>
      <c r="B128" s="135" t="s">
        <v>219</v>
      </c>
      <c r="C128" s="259" t="s">
        <v>58</v>
      </c>
      <c r="D128" s="135" t="s">
        <v>894</v>
      </c>
      <c r="E128" s="135" t="s">
        <v>895</v>
      </c>
      <c r="F128" s="135" t="s">
        <v>896</v>
      </c>
      <c r="G128" s="135" t="s">
        <v>107</v>
      </c>
      <c r="H128" s="135" t="s">
        <v>4</v>
      </c>
      <c r="I128" s="135" t="s">
        <v>87</v>
      </c>
      <c r="J128" s="135" t="s">
        <v>87</v>
      </c>
      <c r="K128" s="135" t="s">
        <v>168</v>
      </c>
      <c r="L128" s="135" t="s">
        <v>89</v>
      </c>
      <c r="M128" s="135" t="s">
        <v>89</v>
      </c>
      <c r="N128" s="135" t="s">
        <v>897</v>
      </c>
      <c r="O128" s="135" t="s">
        <v>91</v>
      </c>
      <c r="P128" s="135" t="s">
        <v>92</v>
      </c>
      <c r="Q128" s="135" t="s">
        <v>89</v>
      </c>
      <c r="R128" s="135" t="s">
        <v>898</v>
      </c>
      <c r="S128" s="135" t="s">
        <v>351</v>
      </c>
      <c r="T128" s="135" t="s">
        <v>1</v>
      </c>
      <c r="U128" s="146" t="str">
        <f>IF(OR(ISNUMBER(SEARCH("FAIL",K128&amp;" "&amp;Q128)),ISNUMBER(SEARCH("CLEAN RETEST REQUIRED",K128&amp;" "&amp;Q128))),"Failed",IF(OR(ISNUMBER(SEARCH("NOT RUN",K128&amp;" "&amp;Q128)),ISNUMBER(SEARCH("NOT IMPLEMENTED",K128&amp;" "&amp;Q128))),"Not started",IF(OR(ISNUMBER(SEARCH("PARTIAL",K128&amp;" "&amp;Q128)),ISNUMBER(SEARCH("PENDING",K128&amp;" "&amp;Q128)),ISNUMBER(SEARCH("IN PROGRESS",K128&amp;" "&amp;Q128)),ISNUMBER(SEARCH("OPEN",K128&amp;" "&amp;Q128)),ISNUMBER(SEARCH("RETEST REQUIRED",K128&amp;" "&amp;Q128)),ISNUMBER(SEARCH("IMPLEMENTATION UPDATED",K128&amp;" "&amp;Q128)),ISNUMBER(SEARCH("REQUIRED EVERY SESSION",K128&amp;" "&amp;Q128))),"Pending",IF(OR(Q128="PASS",ISNUMBER(SEARCH("PASS",K128&amp;" "&amp;Q128))),"Done","Pending"))))</f>
        <v>Done</v>
      </c>
      <c r="V128" s="146">
        <f>IF(T128="","",VALUE(LEFT(T128,SEARCH("/",T128)-1)))</f>
        <v/>
      </c>
      <c r="W128" s="146">
        <f>IF(T128="","",VALUE(MID(T128,SEARCH("/",T128)+1,LEN(T128))))</f>
        <v/>
      </c>
    </row>
    <row r="129" customFormat="false" ht="15" hidden="false" customHeight="false" outlineLevel="0" collapsed="false">
      <c r="A129" s="135" t="s">
        <v>899</v>
      </c>
      <c r="B129" s="135" t="s">
        <v>119</v>
      </c>
      <c r="C129" s="531" t="s">
        <v>26</v>
      </c>
      <c r="D129" s="135" t="s">
        <v>900</v>
      </c>
      <c r="E129" s="135" t="s">
        <v>901</v>
      </c>
      <c r="F129" s="135" t="s">
        <v>122</v>
      </c>
      <c r="G129" s="135" t="s">
        <v>123</v>
      </c>
      <c r="H129" s="135" t="s">
        <v>124</v>
      </c>
      <c r="I129" s="135" t="s">
        <v>125</v>
      </c>
      <c r="J129" s="135" t="s">
        <v>107</v>
      </c>
      <c r="K129" s="135" t="s">
        <v>902</v>
      </c>
      <c r="L129" s="135" t="s">
        <v>903</v>
      </c>
      <c r="M129" s="135" t="s">
        <v>100</v>
      </c>
      <c r="N129" s="135" t="s">
        <v>904</v>
      </c>
      <c r="O129" s="135" t="s">
        <v>91</v>
      </c>
      <c r="P129" s="135" t="s">
        <v>92</v>
      </c>
      <c r="Q129" s="135" t="s">
        <v>89</v>
      </c>
      <c r="R129" s="135" t="s">
        <v>905</v>
      </c>
      <c r="S129" s="135" t="s">
        <v>429</v>
      </c>
      <c r="T129" s="135" t="s">
        <v>1</v>
      </c>
      <c r="U129" s="146" t="str">
        <f>IF(OR(ISNUMBER(SEARCH("FAIL",K129&amp;" "&amp;Q129)),ISNUMBER(SEARCH("CLEAN RETEST REQUIRED",K129&amp;" "&amp;Q129))),"Failed",IF(OR(ISNUMBER(SEARCH("NOT RUN",K129&amp;" "&amp;Q129)),ISNUMBER(SEARCH("NOT IMPLEMENTED",K129&amp;" "&amp;Q129))),"Not started",IF(OR(ISNUMBER(SEARCH("PARTIAL",K129&amp;" "&amp;Q129)),ISNUMBER(SEARCH("PENDING",K129&amp;" "&amp;Q129)),ISNUMBER(SEARCH("IN PROGRESS",K129&amp;" "&amp;Q129)),ISNUMBER(SEARCH("OPEN",K129&amp;" "&amp;Q129)),ISNUMBER(SEARCH("RETEST REQUIRED",K129&amp;" "&amp;Q129)),ISNUMBER(SEARCH("IMPLEMENTATION UPDATED",K129&amp;" "&amp;Q129)),ISNUMBER(SEARCH("REQUIRED EVERY SESSION",K129&amp;" "&amp;Q129))),"Pending",IF(OR(Q129="PASS",ISNUMBER(SEARCH("PASS",K129&amp;" "&amp;Q129))),"Done","Pending"))))</f>
        <v>Done</v>
      </c>
      <c r="V129" s="146">
        <f>IF(T129="","",VALUE(LEFT(T129,SEARCH("/",T129)-1)))</f>
        <v/>
      </c>
      <c r="W129" s="146">
        <f>IF(T129="","",VALUE(MID(T129,SEARCH("/",T129)+1,LEN(T129))))</f>
        <v/>
      </c>
    </row>
    <row r="130" customFormat="false" ht="15" hidden="false" customHeight="false" outlineLevel="0" collapsed="false">
      <c r="A130" s="135" t="s">
        <v>906</v>
      </c>
      <c r="B130" s="135" t="s">
        <v>119</v>
      </c>
      <c r="C130" s="531" t="s">
        <v>26</v>
      </c>
      <c r="D130" s="135" t="s">
        <v>907</v>
      </c>
      <c r="E130" s="135" t="s">
        <v>908</v>
      </c>
      <c r="F130" s="135" t="s">
        <v>122</v>
      </c>
      <c r="G130" s="135" t="s">
        <v>123</v>
      </c>
      <c r="H130" s="135" t="s">
        <v>124</v>
      </c>
      <c r="I130" s="135" t="s">
        <v>125</v>
      </c>
      <c r="J130" s="135" t="s">
        <v>107</v>
      </c>
      <c r="K130" s="135" t="s">
        <v>909</v>
      </c>
      <c r="L130" s="135" t="s">
        <v>910</v>
      </c>
      <c r="M130" s="135" t="s">
        <v>100</v>
      </c>
      <c r="N130" s="135" t="s">
        <v>129</v>
      </c>
      <c r="O130" s="135" t="s">
        <v>91</v>
      </c>
      <c r="P130" s="135" t="s">
        <v>92</v>
      </c>
      <c r="Q130" s="135" t="s">
        <v>89</v>
      </c>
      <c r="R130" s="135" t="s">
        <v>911</v>
      </c>
      <c r="S130" s="135" t="s">
        <v>399</v>
      </c>
      <c r="T130" s="135" t="s">
        <v>1</v>
      </c>
      <c r="U130" s="146" t="str">
        <f>IF(OR(ISNUMBER(SEARCH("FAIL",K130&amp;" "&amp;Q130)),ISNUMBER(SEARCH("CLEAN RETEST REQUIRED",K130&amp;" "&amp;Q130))),"Failed",IF(OR(ISNUMBER(SEARCH("NOT RUN",K130&amp;" "&amp;Q130)),ISNUMBER(SEARCH("NOT IMPLEMENTED",K130&amp;" "&amp;Q130))),"Not started",IF(OR(ISNUMBER(SEARCH("PARTIAL",K130&amp;" "&amp;Q130)),ISNUMBER(SEARCH("PENDING",K130&amp;" "&amp;Q130)),ISNUMBER(SEARCH("IN PROGRESS",K130&amp;" "&amp;Q130)),ISNUMBER(SEARCH("OPEN",K130&amp;" "&amp;Q130)),ISNUMBER(SEARCH("RETEST REQUIRED",K130&amp;" "&amp;Q130)),ISNUMBER(SEARCH("IMPLEMENTATION UPDATED",K130&amp;" "&amp;Q130)),ISNUMBER(SEARCH("REQUIRED EVERY SESSION",K130&amp;" "&amp;Q130))),"Pending",IF(OR(Q130="PASS",ISNUMBER(SEARCH("PASS",K130&amp;" "&amp;Q130))),"Done","Pending"))))</f>
        <v>Done</v>
      </c>
      <c r="V130" s="146">
        <f>IF(T130="","",VALUE(LEFT(T130,SEARCH("/",T130)-1)))</f>
        <v/>
      </c>
      <c r="W130" s="146">
        <f>IF(T130="","",VALUE(MID(T130,SEARCH("/",T130)+1,LEN(T130))))</f>
        <v/>
      </c>
    </row>
    <row r="131" customFormat="false" ht="15" hidden="false" customHeight="false" outlineLevel="0" collapsed="false">
      <c r="A131" s="135" t="s">
        <v>912</v>
      </c>
      <c r="B131" s="135" t="s">
        <v>133</v>
      </c>
      <c r="C131" s="531" t="s">
        <v>26</v>
      </c>
      <c r="D131" s="135" t="s">
        <v>913</v>
      </c>
      <c r="E131" s="135" t="s">
        <v>914</v>
      </c>
      <c r="F131" s="135" t="s">
        <v>1</v>
      </c>
      <c r="G131" s="135" t="s">
        <v>1</v>
      </c>
      <c r="H131" s="135" t="s">
        <v>1</v>
      </c>
      <c r="I131" s="135" t="s">
        <v>1</v>
      </c>
      <c r="J131" s="135" t="s">
        <v>1</v>
      </c>
      <c r="K131" s="135" t="s">
        <v>136</v>
      </c>
      <c r="L131" s="135" t="s">
        <v>137</v>
      </c>
      <c r="M131" s="135" t="s">
        <v>100</v>
      </c>
      <c r="N131" s="135" t="s">
        <v>138</v>
      </c>
      <c r="O131" s="135" t="s">
        <v>91</v>
      </c>
      <c r="P131" s="135" t="s">
        <v>139</v>
      </c>
      <c r="Q131" s="135" t="s">
        <v>89</v>
      </c>
      <c r="R131" s="135" t="s">
        <v>915</v>
      </c>
      <c r="S131" s="135" t="s">
        <v>141</v>
      </c>
      <c r="T131" s="135" t="s">
        <v>1</v>
      </c>
      <c r="U131" s="146" t="str">
        <f>IF(OR(ISNUMBER(SEARCH("FAIL",K131&amp;" "&amp;Q131)),ISNUMBER(SEARCH("CLEAN RETEST REQUIRED",K131&amp;" "&amp;Q131))),"Failed",IF(OR(ISNUMBER(SEARCH("NOT RUN",K131&amp;" "&amp;Q131)),ISNUMBER(SEARCH("NOT IMPLEMENTED",K131&amp;" "&amp;Q131))),"Not started",IF(OR(ISNUMBER(SEARCH("PARTIAL",K131&amp;" "&amp;Q131)),ISNUMBER(SEARCH("PENDING",K131&amp;" "&amp;Q131)),ISNUMBER(SEARCH("IN PROGRESS",K131&amp;" "&amp;Q131)),ISNUMBER(SEARCH("OPEN",K131&amp;" "&amp;Q131)),ISNUMBER(SEARCH("RETEST REQUIRED",K131&amp;" "&amp;Q131)),ISNUMBER(SEARCH("IMPLEMENTATION UPDATED",K131&amp;" "&amp;Q131)),ISNUMBER(SEARCH("REQUIRED EVERY SESSION",K131&amp;" "&amp;Q131))),"Pending",IF(OR(Q131="PASS",ISNUMBER(SEARCH("PASS",K131&amp;" "&amp;Q131))),"Done","Pending"))))</f>
        <v>Done</v>
      </c>
      <c r="V131" s="146">
        <f>IF(T131="","",VALUE(LEFT(T131,SEARCH("/",T131)-1)))</f>
        <v/>
      </c>
      <c r="W131" s="146">
        <f>IF(T131="","",VALUE(MID(T131,SEARCH("/",T131)+1,LEN(T131))))</f>
        <v/>
      </c>
    </row>
    <row r="132" customFormat="false" ht="15" hidden="false" customHeight="false" outlineLevel="0" collapsed="false">
      <c r="A132" s="135" t="s">
        <v>916</v>
      </c>
      <c r="B132" s="135" t="s">
        <v>133</v>
      </c>
      <c r="C132" s="531" t="s">
        <v>26</v>
      </c>
      <c r="D132" s="135" t="s">
        <v>917</v>
      </c>
      <c r="E132" s="135" t="s">
        <v>918</v>
      </c>
      <c r="F132" s="135" t="s">
        <v>1</v>
      </c>
      <c r="G132" s="135" t="s">
        <v>1</v>
      </c>
      <c r="H132" s="135" t="s">
        <v>1</v>
      </c>
      <c r="I132" s="135" t="s">
        <v>1</v>
      </c>
      <c r="J132" s="135" t="s">
        <v>1</v>
      </c>
      <c r="K132" s="135" t="s">
        <v>136</v>
      </c>
      <c r="L132" s="135" t="s">
        <v>137</v>
      </c>
      <c r="M132" s="135" t="s">
        <v>677</v>
      </c>
      <c r="N132" s="135" t="s">
        <v>138</v>
      </c>
      <c r="O132" s="135" t="s">
        <v>91</v>
      </c>
      <c r="P132" s="135" t="s">
        <v>139</v>
      </c>
      <c r="Q132" s="135" t="s">
        <v>89</v>
      </c>
      <c r="R132" s="135" t="s">
        <v>919</v>
      </c>
      <c r="S132" s="135" t="s">
        <v>141</v>
      </c>
      <c r="T132" s="135" t="s">
        <v>1</v>
      </c>
      <c r="U132" s="146" t="str">
        <f>IF(OR(ISNUMBER(SEARCH("FAIL",K132&amp;" "&amp;Q132)),ISNUMBER(SEARCH("CLEAN RETEST REQUIRED",K132&amp;" "&amp;Q132))),"Failed",IF(OR(ISNUMBER(SEARCH("NOT RUN",K132&amp;" "&amp;Q132)),ISNUMBER(SEARCH("NOT IMPLEMENTED",K132&amp;" "&amp;Q132))),"Not started",IF(OR(ISNUMBER(SEARCH("PARTIAL",K132&amp;" "&amp;Q132)),ISNUMBER(SEARCH("PENDING",K132&amp;" "&amp;Q132)),ISNUMBER(SEARCH("IN PROGRESS",K132&amp;" "&amp;Q132)),ISNUMBER(SEARCH("OPEN",K132&amp;" "&amp;Q132)),ISNUMBER(SEARCH("RETEST REQUIRED",K132&amp;" "&amp;Q132)),ISNUMBER(SEARCH("IMPLEMENTATION UPDATED",K132&amp;" "&amp;Q132)),ISNUMBER(SEARCH("REQUIRED EVERY SESSION",K132&amp;" "&amp;Q132))),"Pending",IF(OR(Q132="PASS",ISNUMBER(SEARCH("PASS",K132&amp;" "&amp;Q132))),"Done","Pending"))))</f>
        <v>Done</v>
      </c>
      <c r="V132" s="146">
        <f>IF(T132="","",VALUE(LEFT(T132,SEARCH("/",T132)-1)))</f>
        <v/>
      </c>
      <c r="W132" s="146">
        <f>IF(T132="","",VALUE(MID(T132,SEARCH("/",T132)+1,LEN(T132))))</f>
        <v/>
      </c>
    </row>
    <row r="133" customFormat="false" ht="15" hidden="false" customHeight="false" outlineLevel="0" collapsed="false">
      <c r="A133" s="135" t="s">
        <v>920</v>
      </c>
      <c r="B133" s="135" t="s">
        <v>133</v>
      </c>
      <c r="C133" s="531" t="s">
        <v>26</v>
      </c>
      <c r="D133" s="135" t="s">
        <v>921</v>
      </c>
      <c r="E133" s="135" t="s">
        <v>922</v>
      </c>
      <c r="F133" s="135" t="s">
        <v>1</v>
      </c>
      <c r="G133" s="135" t="s">
        <v>1</v>
      </c>
      <c r="H133" s="135" t="s">
        <v>1</v>
      </c>
      <c r="I133" s="135" t="s">
        <v>1</v>
      </c>
      <c r="J133" s="135" t="s">
        <v>1</v>
      </c>
      <c r="K133" s="135" t="s">
        <v>136</v>
      </c>
      <c r="L133" s="135" t="s">
        <v>137</v>
      </c>
      <c r="M133" s="135" t="s">
        <v>677</v>
      </c>
      <c r="N133" s="135" t="s">
        <v>138</v>
      </c>
      <c r="O133" s="135" t="s">
        <v>91</v>
      </c>
      <c r="P133" s="135" t="s">
        <v>139</v>
      </c>
      <c r="Q133" s="135" t="s">
        <v>89</v>
      </c>
      <c r="R133" s="135" t="s">
        <v>923</v>
      </c>
      <c r="S133" s="135" t="s">
        <v>141</v>
      </c>
      <c r="T133" s="135" t="s">
        <v>1</v>
      </c>
      <c r="U133" s="146" t="str">
        <f>IF(OR(ISNUMBER(SEARCH("FAIL",K133&amp;" "&amp;Q133)),ISNUMBER(SEARCH("CLEAN RETEST REQUIRED",K133&amp;" "&amp;Q133))),"Failed",IF(OR(ISNUMBER(SEARCH("NOT RUN",K133&amp;" "&amp;Q133)),ISNUMBER(SEARCH("NOT IMPLEMENTED",K133&amp;" "&amp;Q133))),"Not started",IF(OR(ISNUMBER(SEARCH("PARTIAL",K133&amp;" "&amp;Q133)),ISNUMBER(SEARCH("PENDING",K133&amp;" "&amp;Q133)),ISNUMBER(SEARCH("IN PROGRESS",K133&amp;" "&amp;Q133)),ISNUMBER(SEARCH("OPEN",K133&amp;" "&amp;Q133)),ISNUMBER(SEARCH("RETEST REQUIRED",K133&amp;" "&amp;Q133)),ISNUMBER(SEARCH("IMPLEMENTATION UPDATED",K133&amp;" "&amp;Q133)),ISNUMBER(SEARCH("REQUIRED EVERY SESSION",K133&amp;" "&amp;Q133))),"Pending",IF(OR(Q133="PASS",ISNUMBER(SEARCH("PASS",K133&amp;" "&amp;Q133))),"Done","Pending"))))</f>
        <v>Done</v>
      </c>
      <c r="V133" s="146">
        <f>IF(T133="","",VALUE(LEFT(T133,SEARCH("/",T133)-1)))</f>
        <v/>
      </c>
      <c r="W133" s="146">
        <f>IF(T133="","",VALUE(MID(T133,SEARCH("/",T133)+1,LEN(T133))))</f>
        <v/>
      </c>
    </row>
    <row r="134" customFormat="false" ht="15" hidden="false" customHeight="false" outlineLevel="0" collapsed="false">
      <c r="A134" s="135" t="s">
        <v>924</v>
      </c>
      <c r="B134" s="135" t="s">
        <v>133</v>
      </c>
      <c r="C134" s="531" t="s">
        <v>26</v>
      </c>
      <c r="D134" s="135" t="s">
        <v>925</v>
      </c>
      <c r="E134" s="135" t="s">
        <v>926</v>
      </c>
      <c r="F134" s="135" t="s">
        <v>1</v>
      </c>
      <c r="G134" s="135" t="s">
        <v>1</v>
      </c>
      <c r="H134" s="135" t="s">
        <v>1</v>
      </c>
      <c r="I134" s="135" t="s">
        <v>1</v>
      </c>
      <c r="J134" s="135" t="s">
        <v>1</v>
      </c>
      <c r="K134" s="135" t="s">
        <v>136</v>
      </c>
      <c r="L134" s="135" t="s">
        <v>137</v>
      </c>
      <c r="M134" s="135" t="s">
        <v>100</v>
      </c>
      <c r="N134" s="135" t="s">
        <v>138</v>
      </c>
      <c r="O134" s="135" t="s">
        <v>91</v>
      </c>
      <c r="P134" s="135" t="s">
        <v>139</v>
      </c>
      <c r="Q134" s="135" t="s">
        <v>89</v>
      </c>
      <c r="R134" s="135" t="s">
        <v>927</v>
      </c>
      <c r="S134" s="135" t="s">
        <v>141</v>
      </c>
      <c r="T134" s="135" t="s">
        <v>1</v>
      </c>
      <c r="U134" s="146" t="str">
        <f>IF(OR(ISNUMBER(SEARCH("FAIL",K134&amp;" "&amp;Q134)),ISNUMBER(SEARCH("CLEAN RETEST REQUIRED",K134&amp;" "&amp;Q134))),"Failed",IF(OR(ISNUMBER(SEARCH("NOT RUN",K134&amp;" "&amp;Q134)),ISNUMBER(SEARCH("NOT IMPLEMENTED",K134&amp;" "&amp;Q134))),"Not started",IF(OR(ISNUMBER(SEARCH("PARTIAL",K134&amp;" "&amp;Q134)),ISNUMBER(SEARCH("PENDING",K134&amp;" "&amp;Q134)),ISNUMBER(SEARCH("IN PROGRESS",K134&amp;" "&amp;Q134)),ISNUMBER(SEARCH("OPEN",K134&amp;" "&amp;Q134)),ISNUMBER(SEARCH("RETEST REQUIRED",K134&amp;" "&amp;Q134)),ISNUMBER(SEARCH("IMPLEMENTATION UPDATED",K134&amp;" "&amp;Q134)),ISNUMBER(SEARCH("REQUIRED EVERY SESSION",K134&amp;" "&amp;Q134))),"Pending",IF(OR(Q134="PASS",ISNUMBER(SEARCH("PASS",K134&amp;" "&amp;Q134))),"Done","Pending"))))</f>
        <v>Done</v>
      </c>
      <c r="V134" s="146">
        <f>IF(T134="","",VALUE(LEFT(T134,SEARCH("/",T134)-1)))</f>
        <v/>
      </c>
      <c r="W134" s="146">
        <f>IF(T134="","",VALUE(MID(T134,SEARCH("/",T134)+1,LEN(T134))))</f>
        <v/>
      </c>
    </row>
    <row r="135" customFormat="false" ht="15" hidden="false" customHeight="false" outlineLevel="0" collapsed="false">
      <c r="A135" s="135" t="s">
        <v>928</v>
      </c>
      <c r="B135" s="135" t="s">
        <v>133</v>
      </c>
      <c r="C135" s="531" t="s">
        <v>26</v>
      </c>
      <c r="D135" s="135" t="s">
        <v>929</v>
      </c>
      <c r="E135" s="135" t="s">
        <v>930</v>
      </c>
      <c r="F135" s="135" t="s">
        <v>1</v>
      </c>
      <c r="G135" s="135" t="s">
        <v>1</v>
      </c>
      <c r="H135" s="135" t="s">
        <v>1</v>
      </c>
      <c r="I135" s="135" t="s">
        <v>1</v>
      </c>
      <c r="J135" s="135" t="s">
        <v>1</v>
      </c>
      <c r="K135" s="135" t="s">
        <v>136</v>
      </c>
      <c r="L135" s="135" t="s">
        <v>137</v>
      </c>
      <c r="M135" s="135" t="s">
        <v>100</v>
      </c>
      <c r="N135" s="135" t="s">
        <v>138</v>
      </c>
      <c r="O135" s="135" t="s">
        <v>91</v>
      </c>
      <c r="P135" s="135" t="s">
        <v>139</v>
      </c>
      <c r="Q135" s="135" t="s">
        <v>89</v>
      </c>
      <c r="R135" s="135" t="s">
        <v>931</v>
      </c>
      <c r="S135" s="135" t="s">
        <v>141</v>
      </c>
      <c r="T135" s="135" t="s">
        <v>1</v>
      </c>
      <c r="U135" s="146" t="str">
        <f>IF(OR(ISNUMBER(SEARCH("FAIL",K135&amp;" "&amp;Q135)),ISNUMBER(SEARCH("CLEAN RETEST REQUIRED",K135&amp;" "&amp;Q135))),"Failed",IF(OR(ISNUMBER(SEARCH("NOT RUN",K135&amp;" "&amp;Q135)),ISNUMBER(SEARCH("NOT IMPLEMENTED",K135&amp;" "&amp;Q135))),"Not started",IF(OR(ISNUMBER(SEARCH("PARTIAL",K135&amp;" "&amp;Q135)),ISNUMBER(SEARCH("PENDING",K135&amp;" "&amp;Q135)),ISNUMBER(SEARCH("IN PROGRESS",K135&amp;" "&amp;Q135)),ISNUMBER(SEARCH("OPEN",K135&amp;" "&amp;Q135)),ISNUMBER(SEARCH("RETEST REQUIRED",K135&amp;" "&amp;Q135)),ISNUMBER(SEARCH("IMPLEMENTATION UPDATED",K135&amp;" "&amp;Q135)),ISNUMBER(SEARCH("REQUIRED EVERY SESSION",K135&amp;" "&amp;Q135))),"Pending",IF(OR(Q135="PASS",ISNUMBER(SEARCH("PASS",K135&amp;" "&amp;Q135))),"Done","Pending"))))</f>
        <v>Done</v>
      </c>
      <c r="V135" s="146">
        <f>IF(T135="","",VALUE(LEFT(T135,SEARCH("/",T135)-1)))</f>
        <v/>
      </c>
      <c r="W135" s="146">
        <f>IF(T135="","",VALUE(MID(T135,SEARCH("/",T135)+1,LEN(T135))))</f>
        <v/>
      </c>
    </row>
    <row r="136" customFormat="false" ht="15" hidden="false" customHeight="false" outlineLevel="0" collapsed="false">
      <c r="A136" s="135" t="s">
        <v>932</v>
      </c>
      <c r="B136" s="135" t="s">
        <v>133</v>
      </c>
      <c r="C136" s="531" t="s">
        <v>26</v>
      </c>
      <c r="D136" s="135" t="s">
        <v>933</v>
      </c>
      <c r="E136" s="135" t="s">
        <v>934</v>
      </c>
      <c r="F136" s="135" t="s">
        <v>1</v>
      </c>
      <c r="G136" s="135" t="s">
        <v>1</v>
      </c>
      <c r="H136" s="135" t="s">
        <v>1</v>
      </c>
      <c r="I136" s="135" t="s">
        <v>1</v>
      </c>
      <c r="J136" s="135" t="s">
        <v>1</v>
      </c>
      <c r="K136" s="135" t="s">
        <v>136</v>
      </c>
      <c r="L136" s="135" t="s">
        <v>137</v>
      </c>
      <c r="M136" s="135" t="s">
        <v>100</v>
      </c>
      <c r="N136" s="135" t="s">
        <v>138</v>
      </c>
      <c r="O136" s="135" t="s">
        <v>91</v>
      </c>
      <c r="P136" s="135" t="s">
        <v>139</v>
      </c>
      <c r="Q136" s="135" t="s">
        <v>89</v>
      </c>
      <c r="R136" s="135" t="s">
        <v>935</v>
      </c>
      <c r="S136" s="135" t="s">
        <v>141</v>
      </c>
      <c r="T136" s="135" t="s">
        <v>1</v>
      </c>
      <c r="U136" s="146" t="str">
        <f>IF(OR(ISNUMBER(SEARCH("FAIL",K136&amp;" "&amp;Q136)),ISNUMBER(SEARCH("CLEAN RETEST REQUIRED",K136&amp;" "&amp;Q136))),"Failed",IF(OR(ISNUMBER(SEARCH("NOT RUN",K136&amp;" "&amp;Q136)),ISNUMBER(SEARCH("NOT IMPLEMENTED",K136&amp;" "&amp;Q136))),"Not started",IF(OR(ISNUMBER(SEARCH("PARTIAL",K136&amp;" "&amp;Q136)),ISNUMBER(SEARCH("PENDING",K136&amp;" "&amp;Q136)),ISNUMBER(SEARCH("IN PROGRESS",K136&amp;" "&amp;Q136)),ISNUMBER(SEARCH("OPEN",K136&amp;" "&amp;Q136)),ISNUMBER(SEARCH("RETEST REQUIRED",K136&amp;" "&amp;Q136)),ISNUMBER(SEARCH("IMPLEMENTATION UPDATED",K136&amp;" "&amp;Q136)),ISNUMBER(SEARCH("REQUIRED EVERY SESSION",K136&amp;" "&amp;Q136))),"Pending",IF(OR(Q136="PASS",ISNUMBER(SEARCH("PASS",K136&amp;" "&amp;Q136))),"Done","Pending"))))</f>
        <v>Done</v>
      </c>
      <c r="V136" s="146">
        <f>IF(T136="","",VALUE(LEFT(T136,SEARCH("/",T136)-1)))</f>
        <v/>
      </c>
      <c r="W136" s="146">
        <f>IF(T136="","",VALUE(MID(T136,SEARCH("/",T136)+1,LEN(T136))))</f>
        <v/>
      </c>
    </row>
    <row r="137" customFormat="false" ht="15" hidden="false" customHeight="false" outlineLevel="0" collapsed="false">
      <c r="A137" s="135" t="s">
        <v>936</v>
      </c>
      <c r="B137" s="135" t="s">
        <v>133</v>
      </c>
      <c r="C137" s="531" t="s">
        <v>26</v>
      </c>
      <c r="D137" s="135" t="s">
        <v>937</v>
      </c>
      <c r="E137" s="135" t="s">
        <v>938</v>
      </c>
      <c r="F137" s="135" t="s">
        <v>1</v>
      </c>
      <c r="G137" s="135" t="s">
        <v>1</v>
      </c>
      <c r="H137" s="135" t="s">
        <v>1</v>
      </c>
      <c r="I137" s="135" t="s">
        <v>1</v>
      </c>
      <c r="J137" s="135" t="s">
        <v>1</v>
      </c>
      <c r="K137" s="135" t="s">
        <v>136</v>
      </c>
      <c r="L137" s="135" t="s">
        <v>137</v>
      </c>
      <c r="M137" s="135" t="s">
        <v>100</v>
      </c>
      <c r="N137" s="135" t="s">
        <v>138</v>
      </c>
      <c r="O137" s="135" t="s">
        <v>939</v>
      </c>
      <c r="P137" s="135" t="s">
        <v>139</v>
      </c>
      <c r="Q137" s="135" t="s">
        <v>89</v>
      </c>
      <c r="R137" s="135" t="s">
        <v>940</v>
      </c>
      <c r="S137" s="135" t="s">
        <v>141</v>
      </c>
      <c r="T137" s="135" t="s">
        <v>1</v>
      </c>
      <c r="U137" s="146" t="str">
        <f>IF(OR(ISNUMBER(SEARCH("FAIL",K137&amp;" "&amp;Q137)),ISNUMBER(SEARCH("CLEAN RETEST REQUIRED",K137&amp;" "&amp;Q137))),"Failed",IF(OR(ISNUMBER(SEARCH("NOT RUN",K137&amp;" "&amp;Q137)),ISNUMBER(SEARCH("NOT IMPLEMENTED",K137&amp;" "&amp;Q137))),"Not started",IF(OR(ISNUMBER(SEARCH("PARTIAL",K137&amp;" "&amp;Q137)),ISNUMBER(SEARCH("PENDING",K137&amp;" "&amp;Q137)),ISNUMBER(SEARCH("IN PROGRESS",K137&amp;" "&amp;Q137)),ISNUMBER(SEARCH("OPEN",K137&amp;" "&amp;Q137)),ISNUMBER(SEARCH("RETEST REQUIRED",K137&amp;" "&amp;Q137)),ISNUMBER(SEARCH("IMPLEMENTATION UPDATED",K137&amp;" "&amp;Q137)),ISNUMBER(SEARCH("REQUIRED EVERY SESSION",K137&amp;" "&amp;Q137))),"Pending",IF(OR(Q137="PASS",ISNUMBER(SEARCH("PASS",K137&amp;" "&amp;Q137))),"Done","Pending"))))</f>
        <v>Done</v>
      </c>
      <c r="V137" s="146">
        <f>IF(T137="","",VALUE(LEFT(T137,SEARCH("/",T137)-1)))</f>
        <v/>
      </c>
      <c r="W137" s="146">
        <f>IF(T137="","",VALUE(MID(T137,SEARCH("/",T137)+1,LEN(T137))))</f>
        <v/>
      </c>
    </row>
    <row r="138" customFormat="false" ht="15" hidden="false" customHeight="false" outlineLevel="0" collapsed="false">
      <c r="A138" s="135" t="s">
        <v>941</v>
      </c>
      <c r="B138" s="135" t="s">
        <v>133</v>
      </c>
      <c r="C138" s="531" t="s">
        <v>26</v>
      </c>
      <c r="D138" s="135" t="s">
        <v>942</v>
      </c>
      <c r="E138" s="135" t="s">
        <v>943</v>
      </c>
      <c r="F138" s="135" t="s">
        <v>1</v>
      </c>
      <c r="G138" s="135" t="s">
        <v>1</v>
      </c>
      <c r="H138" s="135" t="s">
        <v>1</v>
      </c>
      <c r="I138" s="135" t="s">
        <v>1</v>
      </c>
      <c r="J138" s="135" t="s">
        <v>1</v>
      </c>
      <c r="K138" s="135" t="s">
        <v>136</v>
      </c>
      <c r="L138" s="135" t="s">
        <v>137</v>
      </c>
      <c r="M138" s="135" t="s">
        <v>100</v>
      </c>
      <c r="N138" s="135" t="s">
        <v>138</v>
      </c>
      <c r="O138" s="135" t="s">
        <v>91</v>
      </c>
      <c r="P138" s="135" t="s">
        <v>139</v>
      </c>
      <c r="Q138" s="135" t="s">
        <v>89</v>
      </c>
      <c r="R138" s="135" t="s">
        <v>944</v>
      </c>
      <c r="S138" s="135" t="s">
        <v>141</v>
      </c>
      <c r="T138" s="135" t="s">
        <v>1</v>
      </c>
      <c r="U138" s="146" t="str">
        <f>IF(OR(ISNUMBER(SEARCH("FAIL",K138&amp;" "&amp;Q138)),ISNUMBER(SEARCH("CLEAN RETEST REQUIRED",K138&amp;" "&amp;Q138))),"Failed",IF(OR(ISNUMBER(SEARCH("NOT RUN",K138&amp;" "&amp;Q138)),ISNUMBER(SEARCH("NOT IMPLEMENTED",K138&amp;" "&amp;Q138))),"Not started",IF(OR(ISNUMBER(SEARCH("PARTIAL",K138&amp;" "&amp;Q138)),ISNUMBER(SEARCH("PENDING",K138&amp;" "&amp;Q138)),ISNUMBER(SEARCH("IN PROGRESS",K138&amp;" "&amp;Q138)),ISNUMBER(SEARCH("OPEN",K138&amp;" "&amp;Q138)),ISNUMBER(SEARCH("RETEST REQUIRED",K138&amp;" "&amp;Q138)),ISNUMBER(SEARCH("IMPLEMENTATION UPDATED",K138&amp;" "&amp;Q138)),ISNUMBER(SEARCH("REQUIRED EVERY SESSION",K138&amp;" "&amp;Q138))),"Pending",IF(OR(Q138="PASS",ISNUMBER(SEARCH("PASS",K138&amp;" "&amp;Q138))),"Done","Pending"))))</f>
        <v>Done</v>
      </c>
      <c r="V138" s="146">
        <f>IF(T138="","",VALUE(LEFT(T138,SEARCH("/",T138)-1)))</f>
        <v/>
      </c>
      <c r="W138" s="146">
        <f>IF(T138="","",VALUE(MID(T138,SEARCH("/",T138)+1,LEN(T138))))</f>
        <v/>
      </c>
    </row>
    <row r="139" customFormat="false" ht="15" hidden="false" customHeight="false" outlineLevel="0" collapsed="false">
      <c r="A139" s="135" t="s">
        <v>945</v>
      </c>
      <c r="B139" s="135" t="s">
        <v>946</v>
      </c>
      <c r="C139" s="531" t="s">
        <v>26</v>
      </c>
      <c r="D139" s="135" t="s">
        <v>947</v>
      </c>
      <c r="E139" s="135" t="s">
        <v>948</v>
      </c>
      <c r="F139" s="135" t="s">
        <v>4</v>
      </c>
      <c r="G139" s="135" t="s">
        <v>146</v>
      </c>
      <c r="H139" s="135" t="s">
        <v>4</v>
      </c>
      <c r="I139" s="135" t="s">
        <v>4</v>
      </c>
      <c r="J139" s="135" t="s">
        <v>147</v>
      </c>
      <c r="K139" s="135" t="s">
        <v>89</v>
      </c>
      <c r="L139" s="135" t="s">
        <v>89</v>
      </c>
      <c r="M139" s="135" t="s">
        <v>89</v>
      </c>
      <c r="N139" s="135" t="s">
        <v>138</v>
      </c>
      <c r="O139" s="135" t="s">
        <v>949</v>
      </c>
      <c r="P139" s="135" t="s">
        <v>950</v>
      </c>
      <c r="Q139" s="135" t="s">
        <v>89</v>
      </c>
      <c r="R139" s="135" t="s">
        <v>951</v>
      </c>
      <c r="S139" s="135" t="s">
        <v>952</v>
      </c>
      <c r="T139" s="135" t="s">
        <v>1</v>
      </c>
      <c r="U139" s="146" t="str">
        <f>IF(OR(ISNUMBER(SEARCH("FAIL",K139&amp;" "&amp;Q139)),ISNUMBER(SEARCH("CLEAN RETEST REQUIRED",K139&amp;" "&amp;Q139))),"Failed",IF(OR(ISNUMBER(SEARCH("NOT RUN",K139&amp;" "&amp;Q139)),ISNUMBER(SEARCH("NOT IMPLEMENTED",K139&amp;" "&amp;Q139))),"Not started",IF(OR(ISNUMBER(SEARCH("PARTIAL",K139&amp;" "&amp;Q139)),ISNUMBER(SEARCH("PENDING",K139&amp;" "&amp;Q139)),ISNUMBER(SEARCH("IN PROGRESS",K139&amp;" "&amp;Q139)),ISNUMBER(SEARCH("OPEN",K139&amp;" "&amp;Q139)),ISNUMBER(SEARCH("RETEST REQUIRED",K139&amp;" "&amp;Q139)),ISNUMBER(SEARCH("IMPLEMENTATION UPDATED",K139&amp;" "&amp;Q139)),ISNUMBER(SEARCH("REQUIRED EVERY SESSION",K139&amp;" "&amp;Q139))),"Pending",IF(OR(Q139="PASS",ISNUMBER(SEARCH("PASS",K139&amp;" "&amp;Q139))),"Done","Pending"))))</f>
        <v>Done</v>
      </c>
      <c r="V139" s="146">
        <f>IF(T139="","",VALUE(LEFT(T139,SEARCH("/",T139)-1)))</f>
        <v/>
      </c>
      <c r="W139" s="146">
        <f>IF(T139="","",VALUE(MID(T139,SEARCH("/",T139)+1,LEN(T139))))</f>
        <v/>
      </c>
    </row>
    <row r="140" customFormat="false" ht="15" hidden="false" customHeight="false" outlineLevel="0" collapsed="false">
      <c r="A140" s="135" t="s">
        <v>953</v>
      </c>
      <c r="B140" s="135" t="s">
        <v>299</v>
      </c>
      <c r="C140" s="261" t="s">
        <v>32</v>
      </c>
      <c r="D140" s="135" t="s">
        <v>954</v>
      </c>
      <c r="E140" s="135" t="s">
        <v>955</v>
      </c>
      <c r="F140" s="135" t="s">
        <v>4</v>
      </c>
      <c r="G140" s="135" t="s">
        <v>4</v>
      </c>
      <c r="H140" s="135" t="s">
        <v>4</v>
      </c>
      <c r="I140" s="135" t="s">
        <v>4</v>
      </c>
      <c r="J140" s="135" t="s">
        <v>87</v>
      </c>
      <c r="K140" s="135" t="s">
        <v>689</v>
      </c>
      <c r="L140" s="135" t="s">
        <v>1</v>
      </c>
      <c r="M140" s="135" t="s">
        <v>1</v>
      </c>
      <c r="N140" s="135" t="s">
        <v>481</v>
      </c>
      <c r="O140" s="135" t="s">
        <v>91</v>
      </c>
      <c r="P140" s="135" t="s">
        <v>92</v>
      </c>
      <c r="Q140" s="135" t="s">
        <v>89</v>
      </c>
      <c r="R140" s="135" t="s">
        <v>956</v>
      </c>
      <c r="S140" s="135" t="s">
        <v>351</v>
      </c>
      <c r="T140" s="135" t="s">
        <v>1</v>
      </c>
      <c r="U140" s="146" t="str">
        <f>IF(OR(ISNUMBER(SEARCH("FAIL",K140&amp;" "&amp;Q140)),ISNUMBER(SEARCH("CLEAN RETEST REQUIRED",K140&amp;" "&amp;Q140))),"Failed",IF(OR(ISNUMBER(SEARCH("NOT RUN",K140&amp;" "&amp;Q140)),ISNUMBER(SEARCH("NOT IMPLEMENTED",K140&amp;" "&amp;Q140))),"Not started",IF(OR(ISNUMBER(SEARCH("PARTIAL",K140&amp;" "&amp;Q140)),ISNUMBER(SEARCH("PENDING",K140&amp;" "&amp;Q140)),ISNUMBER(SEARCH("IN PROGRESS",K140&amp;" "&amp;Q140)),ISNUMBER(SEARCH("OPEN",K140&amp;" "&amp;Q140)),ISNUMBER(SEARCH("RETEST REQUIRED",K140&amp;" "&amp;Q140)),ISNUMBER(SEARCH("IMPLEMENTATION UPDATED",K140&amp;" "&amp;Q140)),ISNUMBER(SEARCH("REQUIRED EVERY SESSION",K140&amp;" "&amp;Q140))),"Pending",IF(OR(Q140="PASS",ISNUMBER(SEARCH("PASS",K140&amp;" "&amp;Q140))),"Done","Pending"))))</f>
        <v>Done</v>
      </c>
      <c r="V140" s="146">
        <f>IF(T140="","",VALUE(LEFT(T140,SEARCH("/",T140)-1)))</f>
        <v/>
      </c>
      <c r="W140" s="146">
        <f>IF(T140="","",VALUE(MID(T140,SEARCH("/",T140)+1,LEN(T140))))</f>
        <v/>
      </c>
    </row>
    <row r="141" customFormat="false" ht="15" hidden="false" customHeight="false" outlineLevel="0" collapsed="false">
      <c r="A141" s="135" t="s">
        <v>957</v>
      </c>
      <c r="B141" s="135" t="s">
        <v>299</v>
      </c>
      <c r="C141" s="261" t="s">
        <v>32</v>
      </c>
      <c r="D141" s="135" t="s">
        <v>958</v>
      </c>
      <c r="E141" s="135" t="s">
        <v>959</v>
      </c>
      <c r="F141" s="135" t="s">
        <v>4</v>
      </c>
      <c r="G141" s="135" t="s">
        <v>4</v>
      </c>
      <c r="H141" s="135" t="s">
        <v>4</v>
      </c>
      <c r="I141" s="135" t="s">
        <v>4</v>
      </c>
      <c r="J141" s="135" t="s">
        <v>87</v>
      </c>
      <c r="K141" s="135" t="s">
        <v>689</v>
      </c>
      <c r="L141" s="135" t="s">
        <v>1</v>
      </c>
      <c r="M141" s="135" t="s">
        <v>1</v>
      </c>
      <c r="N141" s="135" t="s">
        <v>481</v>
      </c>
      <c r="O141" s="135" t="s">
        <v>91</v>
      </c>
      <c r="P141" s="135" t="s">
        <v>92</v>
      </c>
      <c r="Q141" s="135" t="s">
        <v>89</v>
      </c>
      <c r="R141" s="135" t="s">
        <v>960</v>
      </c>
      <c r="S141" s="135" t="s">
        <v>399</v>
      </c>
      <c r="T141" s="135" t="s">
        <v>1</v>
      </c>
      <c r="U141" s="146" t="str">
        <f>IF(OR(ISNUMBER(SEARCH("FAIL",K141&amp;" "&amp;Q141)),ISNUMBER(SEARCH("CLEAN RETEST REQUIRED",K141&amp;" "&amp;Q141))),"Failed",IF(OR(ISNUMBER(SEARCH("NOT RUN",K141&amp;" "&amp;Q141)),ISNUMBER(SEARCH("NOT IMPLEMENTED",K141&amp;" "&amp;Q141))),"Not started",IF(OR(ISNUMBER(SEARCH("PARTIAL",K141&amp;" "&amp;Q141)),ISNUMBER(SEARCH("PENDING",K141&amp;" "&amp;Q141)),ISNUMBER(SEARCH("IN PROGRESS",K141&amp;" "&amp;Q141)),ISNUMBER(SEARCH("OPEN",K141&amp;" "&amp;Q141)),ISNUMBER(SEARCH("RETEST REQUIRED",K141&amp;" "&amp;Q141)),ISNUMBER(SEARCH("IMPLEMENTATION UPDATED",K141&amp;" "&amp;Q141)),ISNUMBER(SEARCH("REQUIRED EVERY SESSION",K141&amp;" "&amp;Q141))),"Pending",IF(OR(Q141="PASS",ISNUMBER(SEARCH("PASS",K141&amp;" "&amp;Q141))),"Done","Pending"))))</f>
        <v>Done</v>
      </c>
      <c r="V141" s="146">
        <f>IF(T141="","",VALUE(LEFT(T141,SEARCH("/",T141)-1)))</f>
        <v/>
      </c>
      <c r="W141" s="146">
        <f>IF(T141="","",VALUE(MID(T141,SEARCH("/",T141)+1,LEN(T141))))</f>
        <v/>
      </c>
    </row>
    <row r="142" customFormat="false" ht="15" hidden="false" customHeight="false" outlineLevel="0" collapsed="false">
      <c r="A142" s="135" t="s">
        <v>961</v>
      </c>
      <c r="B142" s="135" t="s">
        <v>219</v>
      </c>
      <c r="C142" s="261" t="s">
        <v>32</v>
      </c>
      <c r="D142" s="135" t="s">
        <v>962</v>
      </c>
      <c r="E142" s="135" t="s">
        <v>963</v>
      </c>
      <c r="F142" s="135" t="s">
        <v>964</v>
      </c>
      <c r="G142" s="135" t="s">
        <v>107</v>
      </c>
      <c r="H142" s="135" t="s">
        <v>4</v>
      </c>
      <c r="I142" s="135" t="s">
        <v>4</v>
      </c>
      <c r="J142" s="135" t="s">
        <v>87</v>
      </c>
      <c r="K142" s="135" t="s">
        <v>168</v>
      </c>
      <c r="L142" s="135" t="s">
        <v>89</v>
      </c>
      <c r="M142" s="135" t="s">
        <v>89</v>
      </c>
      <c r="N142" s="135" t="s">
        <v>897</v>
      </c>
      <c r="O142" s="135" t="s">
        <v>91</v>
      </c>
      <c r="P142" s="135" t="s">
        <v>92</v>
      </c>
      <c r="Q142" s="135" t="s">
        <v>89</v>
      </c>
      <c r="R142" s="135" t="s">
        <v>965</v>
      </c>
      <c r="S142" s="135" t="s">
        <v>966</v>
      </c>
      <c r="T142" s="135" t="s">
        <v>1</v>
      </c>
      <c r="U142" s="146" t="str">
        <f>IF(OR(ISNUMBER(SEARCH("FAIL",K142&amp;" "&amp;Q142)),ISNUMBER(SEARCH("CLEAN RETEST REQUIRED",K142&amp;" "&amp;Q142))),"Failed",IF(OR(ISNUMBER(SEARCH("NOT RUN",K142&amp;" "&amp;Q142)),ISNUMBER(SEARCH("NOT IMPLEMENTED",K142&amp;" "&amp;Q142))),"Not started",IF(OR(ISNUMBER(SEARCH("PARTIAL",K142&amp;" "&amp;Q142)),ISNUMBER(SEARCH("PENDING",K142&amp;" "&amp;Q142)),ISNUMBER(SEARCH("IN PROGRESS",K142&amp;" "&amp;Q142)),ISNUMBER(SEARCH("OPEN",K142&amp;" "&amp;Q142)),ISNUMBER(SEARCH("RETEST REQUIRED",K142&amp;" "&amp;Q142)),ISNUMBER(SEARCH("IMPLEMENTATION UPDATED",K142&amp;" "&amp;Q142)),ISNUMBER(SEARCH("REQUIRED EVERY SESSION",K142&amp;" "&amp;Q142))),"Pending",IF(OR(Q142="PASS",ISNUMBER(SEARCH("PASS",K142&amp;" "&amp;Q142))),"Done","Pending"))))</f>
        <v>Done</v>
      </c>
      <c r="V142" s="146">
        <f>IF(T142="","",VALUE(LEFT(T142,SEARCH("/",T142)-1)))</f>
        <v/>
      </c>
      <c r="W142" s="146">
        <f>IF(T142="","",VALUE(MID(T142,SEARCH("/",T142)+1,LEN(T142))))</f>
        <v/>
      </c>
    </row>
    <row r="143" customFormat="false" ht="15" hidden="false" customHeight="false" outlineLevel="0" collapsed="false">
      <c r="A143" s="135" t="s">
        <v>967</v>
      </c>
      <c r="B143" s="135" t="s">
        <v>133</v>
      </c>
      <c r="C143" s="261" t="s">
        <v>32</v>
      </c>
      <c r="D143" s="135" t="s">
        <v>968</v>
      </c>
      <c r="E143" s="135" t="s">
        <v>969</v>
      </c>
      <c r="F143" s="135" t="s">
        <v>1</v>
      </c>
      <c r="G143" s="135" t="s">
        <v>1</v>
      </c>
      <c r="H143" s="135" t="s">
        <v>1</v>
      </c>
      <c r="I143" s="135" t="s">
        <v>1</v>
      </c>
      <c r="J143" s="135" t="s">
        <v>1</v>
      </c>
      <c r="K143" s="135" t="s">
        <v>136</v>
      </c>
      <c r="L143" s="135" t="s">
        <v>137</v>
      </c>
      <c r="M143" s="135" t="s">
        <v>100</v>
      </c>
      <c r="N143" s="135" t="s">
        <v>138</v>
      </c>
      <c r="O143" s="135" t="s">
        <v>91</v>
      </c>
      <c r="P143" s="135" t="s">
        <v>139</v>
      </c>
      <c r="Q143" s="135" t="s">
        <v>89</v>
      </c>
      <c r="R143" s="135" t="s">
        <v>970</v>
      </c>
      <c r="S143" s="135" t="s">
        <v>141</v>
      </c>
      <c r="T143" s="135" t="s">
        <v>1</v>
      </c>
      <c r="U143" s="146" t="str">
        <f>IF(OR(ISNUMBER(SEARCH("FAIL",K143&amp;" "&amp;Q143)),ISNUMBER(SEARCH("CLEAN RETEST REQUIRED",K143&amp;" "&amp;Q143))),"Failed",IF(OR(ISNUMBER(SEARCH("NOT RUN",K143&amp;" "&amp;Q143)),ISNUMBER(SEARCH("NOT IMPLEMENTED",K143&amp;" "&amp;Q143))),"Not started",IF(OR(ISNUMBER(SEARCH("PARTIAL",K143&amp;" "&amp;Q143)),ISNUMBER(SEARCH("PENDING",K143&amp;" "&amp;Q143)),ISNUMBER(SEARCH("IN PROGRESS",K143&amp;" "&amp;Q143)),ISNUMBER(SEARCH("OPEN",K143&amp;" "&amp;Q143)),ISNUMBER(SEARCH("RETEST REQUIRED",K143&amp;" "&amp;Q143)),ISNUMBER(SEARCH("IMPLEMENTATION UPDATED",K143&amp;" "&amp;Q143)),ISNUMBER(SEARCH("REQUIRED EVERY SESSION",K143&amp;" "&amp;Q143))),"Pending",IF(OR(Q143="PASS",ISNUMBER(SEARCH("PASS",K143&amp;" "&amp;Q143))),"Done","Pending"))))</f>
        <v>Done</v>
      </c>
      <c r="V143" s="146">
        <f>IF(T143="","",VALUE(LEFT(T143,SEARCH("/",T143)-1)))</f>
        <v/>
      </c>
      <c r="W143" s="146">
        <f>IF(T143="","",VALUE(MID(T143,SEARCH("/",T143)+1,LEN(T143))))</f>
        <v/>
      </c>
    </row>
    <row r="144" customFormat="false" ht="15" hidden="false" customHeight="false" outlineLevel="0" collapsed="false">
      <c r="A144" s="135" t="s">
        <v>971</v>
      </c>
      <c r="B144" s="135" t="s">
        <v>219</v>
      </c>
      <c r="C144" s="255" t="s">
        <v>38</v>
      </c>
      <c r="D144" s="135" t="s">
        <v>972</v>
      </c>
      <c r="E144" s="135" t="s">
        <v>973</v>
      </c>
      <c r="F144" s="135" t="s">
        <v>974</v>
      </c>
      <c r="G144" s="135" t="s">
        <v>107</v>
      </c>
      <c r="H144" s="135" t="s">
        <v>4</v>
      </c>
      <c r="I144" s="135" t="s">
        <v>975</v>
      </c>
      <c r="J144" s="135" t="s">
        <v>87</v>
      </c>
      <c r="K144" s="135" t="s">
        <v>976</v>
      </c>
      <c r="L144" s="135" t="s">
        <v>1</v>
      </c>
      <c r="M144" s="135" t="s">
        <v>1</v>
      </c>
      <c r="N144" s="135" t="s">
        <v>977</v>
      </c>
      <c r="O144" s="135" t="s">
        <v>91</v>
      </c>
      <c r="P144" s="135" t="s">
        <v>92</v>
      </c>
      <c r="Q144" s="135" t="s">
        <v>89</v>
      </c>
      <c r="R144" s="135" t="s">
        <v>978</v>
      </c>
      <c r="S144" s="135" t="s">
        <v>188</v>
      </c>
      <c r="T144" s="135" t="s">
        <v>1</v>
      </c>
      <c r="U144" s="146" t="str">
        <f>IF(OR(ISNUMBER(SEARCH("FAIL",K144&amp;" "&amp;Q144)),ISNUMBER(SEARCH("CLEAN RETEST REQUIRED",K144&amp;" "&amp;Q144))),"Failed",IF(OR(ISNUMBER(SEARCH("NOT RUN",K144&amp;" "&amp;Q144)),ISNUMBER(SEARCH("NOT IMPLEMENTED",K144&amp;" "&amp;Q144))),"Not started",IF(OR(ISNUMBER(SEARCH("PARTIAL",K144&amp;" "&amp;Q144)),ISNUMBER(SEARCH("PENDING",K144&amp;" "&amp;Q144)),ISNUMBER(SEARCH("IN PROGRESS",K144&amp;" "&amp;Q144)),ISNUMBER(SEARCH("OPEN",K144&amp;" "&amp;Q144)),ISNUMBER(SEARCH("RETEST REQUIRED",K144&amp;" "&amp;Q144)),ISNUMBER(SEARCH("IMPLEMENTATION UPDATED",K144&amp;" "&amp;Q144)),ISNUMBER(SEARCH("REQUIRED EVERY SESSION",K144&amp;" "&amp;Q144))),"Pending",IF(OR(Q144="PASS",ISNUMBER(SEARCH("PASS",K144&amp;" "&amp;Q144))),"Done","Pending"))))</f>
        <v>Done</v>
      </c>
      <c r="V144" s="146">
        <f>IF(T144="","",VALUE(LEFT(T144,SEARCH("/",T144)-1)))</f>
        <v/>
      </c>
      <c r="W144" s="146">
        <f>IF(T144="","",VALUE(MID(T144,SEARCH("/",T144)+1,LEN(T144))))</f>
        <v/>
      </c>
    </row>
    <row r="145" customFormat="false" ht="15" hidden="false" customHeight="false" outlineLevel="0" collapsed="false">
      <c r="A145" s="135" t="s">
        <v>979</v>
      </c>
      <c r="B145" s="135" t="s">
        <v>219</v>
      </c>
      <c r="C145" s="255" t="s">
        <v>38</v>
      </c>
      <c r="D145" s="135" t="s">
        <v>980</v>
      </c>
      <c r="E145" s="135" t="s">
        <v>981</v>
      </c>
      <c r="F145" s="135" t="s">
        <v>87</v>
      </c>
      <c r="G145" s="135" t="s">
        <v>87</v>
      </c>
      <c r="H145" s="135" t="s">
        <v>222</v>
      </c>
      <c r="I145" s="135" t="s">
        <v>87</v>
      </c>
      <c r="J145" s="135" t="s">
        <v>87</v>
      </c>
      <c r="K145" s="135" t="s">
        <v>89</v>
      </c>
      <c r="L145" s="135" t="s">
        <v>1</v>
      </c>
      <c r="M145" s="135" t="s">
        <v>1</v>
      </c>
      <c r="N145" s="135" t="s">
        <v>977</v>
      </c>
      <c r="O145" s="135" t="s">
        <v>91</v>
      </c>
      <c r="P145" s="135" t="s">
        <v>92</v>
      </c>
      <c r="Q145" s="135" t="s">
        <v>89</v>
      </c>
      <c r="R145" s="135" t="s">
        <v>982</v>
      </c>
      <c r="S145" s="135" t="s">
        <v>360</v>
      </c>
      <c r="T145" s="135" t="s">
        <v>1</v>
      </c>
      <c r="U145" s="146" t="str">
        <f>IF(OR(ISNUMBER(SEARCH("FAIL",K145&amp;" "&amp;Q145)),ISNUMBER(SEARCH("CLEAN RETEST REQUIRED",K145&amp;" "&amp;Q145))),"Failed",IF(OR(ISNUMBER(SEARCH("NOT RUN",K145&amp;" "&amp;Q145)),ISNUMBER(SEARCH("NOT IMPLEMENTED",K145&amp;" "&amp;Q145))),"Not started",IF(OR(ISNUMBER(SEARCH("PARTIAL",K145&amp;" "&amp;Q145)),ISNUMBER(SEARCH("PENDING",K145&amp;" "&amp;Q145)),ISNUMBER(SEARCH("IN PROGRESS",K145&amp;" "&amp;Q145)),ISNUMBER(SEARCH("OPEN",K145&amp;" "&amp;Q145)),ISNUMBER(SEARCH("RETEST REQUIRED",K145&amp;" "&amp;Q145)),ISNUMBER(SEARCH("IMPLEMENTATION UPDATED",K145&amp;" "&amp;Q145)),ISNUMBER(SEARCH("REQUIRED EVERY SESSION",K145&amp;" "&amp;Q145))),"Pending",IF(OR(Q145="PASS",ISNUMBER(SEARCH("PASS",K145&amp;" "&amp;Q145))),"Done","Pending"))))</f>
        <v>Done</v>
      </c>
      <c r="V145" s="146">
        <f>IF(T145="","",VALUE(LEFT(T145,SEARCH("/",T145)-1)))</f>
        <v/>
      </c>
      <c r="W145" s="146">
        <f>IF(T145="","",VALUE(MID(T145,SEARCH("/",T145)+1,LEN(T145))))</f>
        <v/>
      </c>
    </row>
    <row r="146" customFormat="false" ht="15" hidden="false" customHeight="false" outlineLevel="0" collapsed="false">
      <c r="A146" s="135" t="s">
        <v>983</v>
      </c>
      <c r="B146" s="135" t="s">
        <v>229</v>
      </c>
      <c r="C146" s="255" t="s">
        <v>38</v>
      </c>
      <c r="D146" s="135" t="s">
        <v>984</v>
      </c>
      <c r="E146" s="135" t="s">
        <v>985</v>
      </c>
      <c r="F146" s="135" t="s">
        <v>4</v>
      </c>
      <c r="G146" s="135" t="s">
        <v>986</v>
      </c>
      <c r="H146" s="135" t="s">
        <v>4</v>
      </c>
      <c r="I146" s="135" t="s">
        <v>8</v>
      </c>
      <c r="J146" s="135" t="s">
        <v>987</v>
      </c>
      <c r="K146" s="135" t="s">
        <v>89</v>
      </c>
      <c r="L146" s="135" t="s">
        <v>1</v>
      </c>
      <c r="M146" s="135" t="s">
        <v>1</v>
      </c>
      <c r="N146" s="135" t="s">
        <v>977</v>
      </c>
      <c r="O146" s="135" t="s">
        <v>91</v>
      </c>
      <c r="P146" s="135" t="s">
        <v>92</v>
      </c>
      <c r="Q146" s="135" t="s">
        <v>89</v>
      </c>
      <c r="R146" s="135" t="s">
        <v>988</v>
      </c>
      <c r="S146" s="135" t="s">
        <v>117</v>
      </c>
      <c r="T146" s="135" t="s">
        <v>1</v>
      </c>
      <c r="U146" s="146" t="str">
        <f>IF(OR(ISNUMBER(SEARCH("FAIL",K146&amp;" "&amp;Q146)),ISNUMBER(SEARCH("CLEAN RETEST REQUIRED",K146&amp;" "&amp;Q146))),"Failed",IF(OR(ISNUMBER(SEARCH("NOT RUN",K146&amp;" "&amp;Q146)),ISNUMBER(SEARCH("NOT IMPLEMENTED",K146&amp;" "&amp;Q146))),"Not started",IF(OR(ISNUMBER(SEARCH("PARTIAL",K146&amp;" "&amp;Q146)),ISNUMBER(SEARCH("PENDING",K146&amp;" "&amp;Q146)),ISNUMBER(SEARCH("IN PROGRESS",K146&amp;" "&amp;Q146)),ISNUMBER(SEARCH("OPEN",K146&amp;" "&amp;Q146)),ISNUMBER(SEARCH("RETEST REQUIRED",K146&amp;" "&amp;Q146)),ISNUMBER(SEARCH("IMPLEMENTATION UPDATED",K146&amp;" "&amp;Q146)),ISNUMBER(SEARCH("REQUIRED EVERY SESSION",K146&amp;" "&amp;Q146))),"Pending",IF(OR(Q146="PASS",ISNUMBER(SEARCH("PASS",K146&amp;" "&amp;Q146))),"Done","Pending"))))</f>
        <v>Done</v>
      </c>
      <c r="V146" s="146">
        <f>IF(T146="","",VALUE(LEFT(T146,SEARCH("/",T146)-1)))</f>
        <v/>
      </c>
      <c r="W146" s="146">
        <f>IF(T146="","",VALUE(MID(T146,SEARCH("/",T146)+1,LEN(T146))))</f>
        <v/>
      </c>
    </row>
    <row r="147" customFormat="false" ht="15" hidden="false" customHeight="false" outlineLevel="0" collapsed="false">
      <c r="A147" s="135" t="s">
        <v>989</v>
      </c>
      <c r="B147" s="135" t="s">
        <v>219</v>
      </c>
      <c r="C147" s="255" t="s">
        <v>38</v>
      </c>
      <c r="D147" s="135" t="s">
        <v>990</v>
      </c>
      <c r="E147" s="135" t="s">
        <v>991</v>
      </c>
      <c r="F147" s="135" t="s">
        <v>992</v>
      </c>
      <c r="G147" s="135" t="s">
        <v>107</v>
      </c>
      <c r="H147" s="135" t="s">
        <v>4</v>
      </c>
      <c r="I147" s="135" t="s">
        <v>993</v>
      </c>
      <c r="J147" s="135" t="s">
        <v>87</v>
      </c>
      <c r="K147" s="135" t="s">
        <v>89</v>
      </c>
      <c r="L147" s="135" t="s">
        <v>1</v>
      </c>
      <c r="M147" s="135" t="s">
        <v>1</v>
      </c>
      <c r="N147" s="135" t="s">
        <v>977</v>
      </c>
      <c r="O147" s="135" t="s">
        <v>91</v>
      </c>
      <c r="P147" s="135" t="s">
        <v>92</v>
      </c>
      <c r="Q147" s="135" t="s">
        <v>89</v>
      </c>
      <c r="R147" s="135" t="s">
        <v>994</v>
      </c>
      <c r="S147" s="135" t="s">
        <v>407</v>
      </c>
      <c r="T147" s="135" t="s">
        <v>1</v>
      </c>
      <c r="U147" s="146" t="str">
        <f>IF(OR(ISNUMBER(SEARCH("FAIL",K147&amp;" "&amp;Q147)),ISNUMBER(SEARCH("CLEAN RETEST REQUIRED",K147&amp;" "&amp;Q147))),"Failed",IF(OR(ISNUMBER(SEARCH("NOT RUN",K147&amp;" "&amp;Q147)),ISNUMBER(SEARCH("NOT IMPLEMENTED",K147&amp;" "&amp;Q147))),"Not started",IF(OR(ISNUMBER(SEARCH("PARTIAL",K147&amp;" "&amp;Q147)),ISNUMBER(SEARCH("PENDING",K147&amp;" "&amp;Q147)),ISNUMBER(SEARCH("IN PROGRESS",K147&amp;" "&amp;Q147)),ISNUMBER(SEARCH("OPEN",K147&amp;" "&amp;Q147)),ISNUMBER(SEARCH("RETEST REQUIRED",K147&amp;" "&amp;Q147)),ISNUMBER(SEARCH("IMPLEMENTATION UPDATED",K147&amp;" "&amp;Q147)),ISNUMBER(SEARCH("REQUIRED EVERY SESSION",K147&amp;" "&amp;Q147))),"Pending",IF(OR(Q147="PASS",ISNUMBER(SEARCH("PASS",K147&amp;" "&amp;Q147))),"Done","Pending"))))</f>
        <v>Done</v>
      </c>
      <c r="V147" s="146">
        <f>IF(T147="","",VALUE(LEFT(T147,SEARCH("/",T147)-1)))</f>
        <v/>
      </c>
      <c r="W147" s="146">
        <f>IF(T147="","",VALUE(MID(T147,SEARCH("/",T147)+1,LEN(T147))))</f>
        <v/>
      </c>
    </row>
    <row r="148" customFormat="false" ht="15" hidden="false" customHeight="false" outlineLevel="0" collapsed="false">
      <c r="A148" s="135" t="s">
        <v>995</v>
      </c>
      <c r="B148" s="135" t="s">
        <v>219</v>
      </c>
      <c r="C148" s="255" t="s">
        <v>38</v>
      </c>
      <c r="D148" s="135" t="s">
        <v>996</v>
      </c>
      <c r="E148" s="135" t="s">
        <v>997</v>
      </c>
      <c r="F148" s="135" t="s">
        <v>998</v>
      </c>
      <c r="G148" s="135" t="s">
        <v>107</v>
      </c>
      <c r="H148" s="135" t="s">
        <v>4</v>
      </c>
      <c r="I148" s="135" t="s">
        <v>999</v>
      </c>
      <c r="J148" s="135" t="s">
        <v>87</v>
      </c>
      <c r="K148" s="135" t="s">
        <v>1000</v>
      </c>
      <c r="L148" s="135" t="s">
        <v>1</v>
      </c>
      <c r="M148" s="135" t="s">
        <v>1</v>
      </c>
      <c r="N148" s="135" t="s">
        <v>977</v>
      </c>
      <c r="O148" s="135" t="s">
        <v>91</v>
      </c>
      <c r="P148" s="135" t="s">
        <v>92</v>
      </c>
      <c r="Q148" s="135" t="s">
        <v>89</v>
      </c>
      <c r="R148" s="135" t="s">
        <v>1001</v>
      </c>
      <c r="S148" s="135" t="s">
        <v>94</v>
      </c>
      <c r="T148" s="135" t="s">
        <v>1</v>
      </c>
      <c r="U148" s="146" t="str">
        <f>IF(OR(ISNUMBER(SEARCH("FAIL",K148&amp;" "&amp;Q148)),ISNUMBER(SEARCH("CLEAN RETEST REQUIRED",K148&amp;" "&amp;Q148))),"Failed",IF(OR(ISNUMBER(SEARCH("NOT RUN",K148&amp;" "&amp;Q148)),ISNUMBER(SEARCH("NOT IMPLEMENTED",K148&amp;" "&amp;Q148))),"Not started",IF(OR(ISNUMBER(SEARCH("PARTIAL",K148&amp;" "&amp;Q148)),ISNUMBER(SEARCH("PENDING",K148&amp;" "&amp;Q148)),ISNUMBER(SEARCH("IN PROGRESS",K148&amp;" "&amp;Q148)),ISNUMBER(SEARCH("OPEN",K148&amp;" "&amp;Q148)),ISNUMBER(SEARCH("RETEST REQUIRED",K148&amp;" "&amp;Q148)),ISNUMBER(SEARCH("IMPLEMENTATION UPDATED",K148&amp;" "&amp;Q148)),ISNUMBER(SEARCH("REQUIRED EVERY SESSION",K148&amp;" "&amp;Q148))),"Pending",IF(OR(Q148="PASS",ISNUMBER(SEARCH("PASS",K148&amp;" "&amp;Q148))),"Done","Pending"))))</f>
        <v>Done</v>
      </c>
      <c r="V148" s="146">
        <f>IF(T148="","",VALUE(LEFT(T148,SEARCH("/",T148)-1)))</f>
        <v/>
      </c>
      <c r="W148" s="146">
        <f>IF(T148="","",VALUE(MID(T148,SEARCH("/",T148)+1,LEN(T148))))</f>
        <v/>
      </c>
    </row>
    <row r="149" customFormat="false" ht="15" hidden="false" customHeight="false" outlineLevel="0" collapsed="false">
      <c r="A149" s="135" t="s">
        <v>1002</v>
      </c>
      <c r="B149" s="135" t="s">
        <v>1003</v>
      </c>
      <c r="C149" s="255" t="s">
        <v>38</v>
      </c>
      <c r="D149" s="135" t="s">
        <v>1004</v>
      </c>
      <c r="E149" s="135" t="s">
        <v>1005</v>
      </c>
      <c r="F149" s="135" t="s">
        <v>4</v>
      </c>
      <c r="G149" s="135" t="s">
        <v>4</v>
      </c>
      <c r="H149" s="135" t="s">
        <v>4</v>
      </c>
      <c r="I149" s="135" t="s">
        <v>87</v>
      </c>
      <c r="J149" s="135" t="s">
        <v>87</v>
      </c>
      <c r="K149" s="135" t="s">
        <v>1006</v>
      </c>
      <c r="L149" s="135" t="s">
        <v>1</v>
      </c>
      <c r="M149" s="135" t="s">
        <v>1</v>
      </c>
      <c r="N149" s="135" t="s">
        <v>1007</v>
      </c>
      <c r="O149" s="135" t="s">
        <v>91</v>
      </c>
      <c r="P149" s="135" t="s">
        <v>92</v>
      </c>
      <c r="Q149" s="135" t="s">
        <v>89</v>
      </c>
      <c r="R149" s="135" t="s">
        <v>1008</v>
      </c>
      <c r="S149" s="135" t="s">
        <v>1009</v>
      </c>
      <c r="T149" s="135" t="s">
        <v>1</v>
      </c>
      <c r="U149" s="146" t="str">
        <f>IF(OR(ISNUMBER(SEARCH("FAIL",K149&amp;" "&amp;Q149)),ISNUMBER(SEARCH("CLEAN RETEST REQUIRED",K149&amp;" "&amp;Q149))),"Failed",IF(OR(ISNUMBER(SEARCH("NOT RUN",K149&amp;" "&amp;Q149)),ISNUMBER(SEARCH("NOT IMPLEMENTED",K149&amp;" "&amp;Q149))),"Not started",IF(OR(ISNUMBER(SEARCH("PARTIAL",K149&amp;" "&amp;Q149)),ISNUMBER(SEARCH("PENDING",K149&amp;" "&amp;Q149)),ISNUMBER(SEARCH("IN PROGRESS",K149&amp;" "&amp;Q149)),ISNUMBER(SEARCH("OPEN",K149&amp;" "&amp;Q149)),ISNUMBER(SEARCH("RETEST REQUIRED",K149&amp;" "&amp;Q149)),ISNUMBER(SEARCH("IMPLEMENTATION UPDATED",K149&amp;" "&amp;Q149)),ISNUMBER(SEARCH("REQUIRED EVERY SESSION",K149&amp;" "&amp;Q149))),"Pending",IF(OR(Q149="PASS",ISNUMBER(SEARCH("PASS",K149&amp;" "&amp;Q149))),"Done","Pending"))))</f>
        <v>Done</v>
      </c>
      <c r="V149" s="146">
        <f>IF(T149="","",VALUE(LEFT(T149,SEARCH("/",T149)-1)))</f>
        <v/>
      </c>
      <c r="W149" s="146">
        <f>IF(T149="","",VALUE(MID(T149,SEARCH("/",T149)+1,LEN(T149))))</f>
        <v/>
      </c>
    </row>
    <row r="150" customFormat="false" ht="15" hidden="false" customHeight="false" outlineLevel="0" collapsed="false">
      <c r="A150" s="135" t="s">
        <v>1010</v>
      </c>
      <c r="B150" s="135" t="s">
        <v>1011</v>
      </c>
      <c r="C150" s="263" t="s">
        <v>44</v>
      </c>
      <c r="D150" s="135" t="s">
        <v>67</v>
      </c>
      <c r="E150" s="135" t="s">
        <v>1012</v>
      </c>
      <c r="F150" s="135" t="s">
        <v>1013</v>
      </c>
      <c r="G150" s="135" t="s">
        <v>4</v>
      </c>
      <c r="H150" s="135" t="s">
        <v>4</v>
      </c>
      <c r="I150" s="135" t="s">
        <v>4</v>
      </c>
      <c r="J150" s="135" t="s">
        <v>4</v>
      </c>
      <c r="K150" s="135" t="s">
        <v>689</v>
      </c>
      <c r="L150" s="135" t="s">
        <v>1</v>
      </c>
      <c r="M150" s="135" t="s">
        <v>1</v>
      </c>
      <c r="N150" s="135" t="s">
        <v>308</v>
      </c>
      <c r="O150" s="135" t="s">
        <v>91</v>
      </c>
      <c r="P150" s="135" t="s">
        <v>92</v>
      </c>
      <c r="Q150" s="135" t="s">
        <v>89</v>
      </c>
      <c r="R150" s="135" t="s">
        <v>1014</v>
      </c>
      <c r="S150" s="135" t="s">
        <v>1015</v>
      </c>
      <c r="T150" s="135" t="s">
        <v>1</v>
      </c>
      <c r="U150" s="146" t="str">
        <f>IF(OR(ISNUMBER(SEARCH("FAIL",K150&amp;" "&amp;Q150)),ISNUMBER(SEARCH("CLEAN RETEST REQUIRED",K150&amp;" "&amp;Q150))),"Failed",IF(OR(ISNUMBER(SEARCH("NOT RUN",K150&amp;" "&amp;Q150)),ISNUMBER(SEARCH("NOT IMPLEMENTED",K150&amp;" "&amp;Q150))),"Not started",IF(OR(ISNUMBER(SEARCH("PARTIAL",K150&amp;" "&amp;Q150)),ISNUMBER(SEARCH("PENDING",K150&amp;" "&amp;Q150)),ISNUMBER(SEARCH("IN PROGRESS",K150&amp;" "&amp;Q150)),ISNUMBER(SEARCH("OPEN",K150&amp;" "&amp;Q150)),ISNUMBER(SEARCH("RETEST REQUIRED",K150&amp;" "&amp;Q150)),ISNUMBER(SEARCH("IMPLEMENTATION UPDATED",K150&amp;" "&amp;Q150)),ISNUMBER(SEARCH("REQUIRED EVERY SESSION",K150&amp;" "&amp;Q150))),"Pending",IF(OR(Q150="PASS",ISNUMBER(SEARCH("PASS",K150&amp;" "&amp;Q150))),"Done","Pending"))))</f>
        <v>Done</v>
      </c>
      <c r="V150" s="146">
        <f>IF(T150="","",VALUE(LEFT(T150,SEARCH("/",T150)-1)))</f>
        <v/>
      </c>
      <c r="W150" s="146">
        <f>IF(T150="","",VALUE(MID(T150,SEARCH("/",T150)+1,LEN(T150))))</f>
        <v/>
      </c>
    </row>
    <row r="151" customFormat="false" ht="15" hidden="false" customHeight="false" outlineLevel="0" collapsed="false">
      <c r="A151" s="135" t="s">
        <v>1016</v>
      </c>
      <c r="B151" s="135" t="s">
        <v>219</v>
      </c>
      <c r="C151" s="263" t="s">
        <v>44</v>
      </c>
      <c r="D151" s="135" t="s">
        <v>1017</v>
      </c>
      <c r="E151" s="135" t="s">
        <v>1018</v>
      </c>
      <c r="F151" s="135" t="s">
        <v>1019</v>
      </c>
      <c r="G151" s="135" t="s">
        <v>87</v>
      </c>
      <c r="H151" s="135" t="s">
        <v>1020</v>
      </c>
      <c r="I151" s="135" t="s">
        <v>223</v>
      </c>
      <c r="J151" s="135" t="s">
        <v>1021</v>
      </c>
      <c r="K151" s="135" t="s">
        <v>168</v>
      </c>
      <c r="L151" s="135" t="s">
        <v>1</v>
      </c>
      <c r="M151" s="135" t="s">
        <v>1</v>
      </c>
      <c r="N151" s="135" t="s">
        <v>1022</v>
      </c>
      <c r="O151" s="135" t="s">
        <v>91</v>
      </c>
      <c r="P151" s="135" t="s">
        <v>92</v>
      </c>
      <c r="Q151" s="135" t="s">
        <v>89</v>
      </c>
      <c r="R151" s="135" t="s">
        <v>1023</v>
      </c>
      <c r="S151" s="135" t="s">
        <v>351</v>
      </c>
      <c r="T151" s="135" t="s">
        <v>1</v>
      </c>
      <c r="U151" s="146" t="str">
        <f>IF(OR(ISNUMBER(SEARCH("FAIL",K151&amp;" "&amp;Q151)),ISNUMBER(SEARCH("CLEAN RETEST REQUIRED",K151&amp;" "&amp;Q151))),"Failed",IF(OR(ISNUMBER(SEARCH("NOT RUN",K151&amp;" "&amp;Q151)),ISNUMBER(SEARCH("NOT IMPLEMENTED",K151&amp;" "&amp;Q151))),"Not started",IF(OR(ISNUMBER(SEARCH("PARTIAL",K151&amp;" "&amp;Q151)),ISNUMBER(SEARCH("PENDING",K151&amp;" "&amp;Q151)),ISNUMBER(SEARCH("IN PROGRESS",K151&amp;" "&amp;Q151)),ISNUMBER(SEARCH("OPEN",K151&amp;" "&amp;Q151)),ISNUMBER(SEARCH("RETEST REQUIRED",K151&amp;" "&amp;Q151)),ISNUMBER(SEARCH("IMPLEMENTATION UPDATED",K151&amp;" "&amp;Q151)),ISNUMBER(SEARCH("REQUIRED EVERY SESSION",K151&amp;" "&amp;Q151))),"Pending",IF(OR(Q151="PASS",ISNUMBER(SEARCH("PASS",K151&amp;" "&amp;Q151))),"Done","Pending"))))</f>
        <v>Done</v>
      </c>
      <c r="V151" s="146">
        <f>IF(T151="","",VALUE(LEFT(T151,SEARCH("/",T151)-1)))</f>
        <v/>
      </c>
      <c r="W151" s="146">
        <f>IF(T151="","",VALUE(MID(T151,SEARCH("/",T151)+1,LEN(T151))))</f>
        <v/>
      </c>
    </row>
    <row r="152" customFormat="false" ht="15" hidden="false" customHeight="false" outlineLevel="0" collapsed="false">
      <c r="A152" s="135" t="s">
        <v>1024</v>
      </c>
      <c r="B152" s="135" t="s">
        <v>219</v>
      </c>
      <c r="C152" s="263" t="s">
        <v>44</v>
      </c>
      <c r="D152" s="135" t="s">
        <v>1025</v>
      </c>
      <c r="E152" s="135" t="s">
        <v>1026</v>
      </c>
      <c r="F152" s="135" t="s">
        <v>87</v>
      </c>
      <c r="G152" s="135" t="s">
        <v>1027</v>
      </c>
      <c r="H152" s="135" t="s">
        <v>87</v>
      </c>
      <c r="I152" s="135" t="s">
        <v>1028</v>
      </c>
      <c r="J152" s="135" t="s">
        <v>223</v>
      </c>
      <c r="K152" s="135" t="s">
        <v>168</v>
      </c>
      <c r="L152" s="135" t="s">
        <v>1</v>
      </c>
      <c r="M152" s="135" t="s">
        <v>1</v>
      </c>
      <c r="N152" s="135" t="s">
        <v>1022</v>
      </c>
      <c r="O152" s="135" t="s">
        <v>91</v>
      </c>
      <c r="P152" s="135" t="s">
        <v>92</v>
      </c>
      <c r="Q152" s="135" t="s">
        <v>89</v>
      </c>
      <c r="R152" s="135" t="s">
        <v>1029</v>
      </c>
      <c r="S152" s="135" t="s">
        <v>1030</v>
      </c>
      <c r="T152" s="135" t="s">
        <v>1</v>
      </c>
      <c r="U152" s="146" t="str">
        <f>IF(OR(ISNUMBER(SEARCH("FAIL",K152&amp;" "&amp;Q152)),ISNUMBER(SEARCH("CLEAN RETEST REQUIRED",K152&amp;" "&amp;Q152))),"Failed",IF(OR(ISNUMBER(SEARCH("NOT RUN",K152&amp;" "&amp;Q152)),ISNUMBER(SEARCH("NOT IMPLEMENTED",K152&amp;" "&amp;Q152))),"Not started",IF(OR(ISNUMBER(SEARCH("PARTIAL",K152&amp;" "&amp;Q152)),ISNUMBER(SEARCH("PENDING",K152&amp;" "&amp;Q152)),ISNUMBER(SEARCH("IN PROGRESS",K152&amp;" "&amp;Q152)),ISNUMBER(SEARCH("OPEN",K152&amp;" "&amp;Q152)),ISNUMBER(SEARCH("RETEST REQUIRED",K152&amp;" "&amp;Q152)),ISNUMBER(SEARCH("IMPLEMENTATION UPDATED",K152&amp;" "&amp;Q152)),ISNUMBER(SEARCH("REQUIRED EVERY SESSION",K152&amp;" "&amp;Q152))),"Pending",IF(OR(Q152="PASS",ISNUMBER(SEARCH("PASS",K152&amp;" "&amp;Q152))),"Done","Pending"))))</f>
        <v>Done</v>
      </c>
      <c r="V152" s="146">
        <f>IF(T152="","",VALUE(LEFT(T152,SEARCH("/",T152)-1)))</f>
        <v/>
      </c>
      <c r="W152" s="146">
        <f>IF(T152="","",VALUE(MID(T152,SEARCH("/",T152)+1,LEN(T152))))</f>
        <v/>
      </c>
    </row>
    <row r="153" customFormat="false" ht="15" hidden="false" customHeight="false" outlineLevel="0" collapsed="false">
      <c r="A153" s="135" t="s">
        <v>1031</v>
      </c>
      <c r="B153" s="135" t="s">
        <v>219</v>
      </c>
      <c r="C153" s="263" t="s">
        <v>44</v>
      </c>
      <c r="D153" s="135" t="s">
        <v>1032</v>
      </c>
      <c r="E153" s="135" t="s">
        <v>1033</v>
      </c>
      <c r="F153" s="135" t="s">
        <v>223</v>
      </c>
      <c r="G153" s="135" t="s">
        <v>87</v>
      </c>
      <c r="H153" s="135" t="s">
        <v>87</v>
      </c>
      <c r="I153" s="135" t="s">
        <v>87</v>
      </c>
      <c r="J153" s="135" t="s">
        <v>87</v>
      </c>
      <c r="K153" s="135" t="s">
        <v>89</v>
      </c>
      <c r="L153" s="135" t="s">
        <v>1</v>
      </c>
      <c r="M153" s="135" t="s">
        <v>1</v>
      </c>
      <c r="N153" s="135" t="s">
        <v>1022</v>
      </c>
      <c r="O153" s="135" t="s">
        <v>91</v>
      </c>
      <c r="P153" s="135" t="s">
        <v>92</v>
      </c>
      <c r="Q153" s="135" t="s">
        <v>89</v>
      </c>
      <c r="R153" s="135" t="s">
        <v>1034</v>
      </c>
      <c r="S153" s="135" t="s">
        <v>1035</v>
      </c>
      <c r="T153" s="135" t="s">
        <v>1</v>
      </c>
      <c r="U153" s="146" t="str">
        <f>IF(OR(ISNUMBER(SEARCH("FAIL",K153&amp;" "&amp;Q153)),ISNUMBER(SEARCH("CLEAN RETEST REQUIRED",K153&amp;" "&amp;Q153))),"Failed",IF(OR(ISNUMBER(SEARCH("NOT RUN",K153&amp;" "&amp;Q153)),ISNUMBER(SEARCH("NOT IMPLEMENTED",K153&amp;" "&amp;Q153))),"Not started",IF(OR(ISNUMBER(SEARCH("PARTIAL",K153&amp;" "&amp;Q153)),ISNUMBER(SEARCH("PENDING",K153&amp;" "&amp;Q153)),ISNUMBER(SEARCH("IN PROGRESS",K153&amp;" "&amp;Q153)),ISNUMBER(SEARCH("OPEN",K153&amp;" "&amp;Q153)),ISNUMBER(SEARCH("RETEST REQUIRED",K153&amp;" "&amp;Q153)),ISNUMBER(SEARCH("IMPLEMENTATION UPDATED",K153&amp;" "&amp;Q153)),ISNUMBER(SEARCH("REQUIRED EVERY SESSION",K153&amp;" "&amp;Q153))),"Pending",IF(OR(Q153="PASS",ISNUMBER(SEARCH("PASS",K153&amp;" "&amp;Q153))),"Done","Pending"))))</f>
        <v>Done</v>
      </c>
      <c r="V153" s="146">
        <f>IF(T153="","",VALUE(LEFT(T153,SEARCH("/",T153)-1)))</f>
        <v/>
      </c>
      <c r="W153" s="146">
        <f>IF(T153="","",VALUE(MID(T153,SEARCH("/",T153)+1,LEN(T153))))</f>
        <v/>
      </c>
    </row>
    <row r="154" customFormat="false" ht="15" hidden="false" customHeight="false" outlineLevel="0" collapsed="false">
      <c r="A154" s="135" t="s">
        <v>1036</v>
      </c>
      <c r="B154" s="135" t="s">
        <v>133</v>
      </c>
      <c r="C154" s="263" t="s">
        <v>44</v>
      </c>
      <c r="D154" s="135" t="s">
        <v>1037</v>
      </c>
      <c r="E154" s="135" t="s">
        <v>1038</v>
      </c>
      <c r="F154" s="135" t="s">
        <v>1</v>
      </c>
      <c r="G154" s="135" t="s">
        <v>1</v>
      </c>
      <c r="H154" s="135" t="s">
        <v>1</v>
      </c>
      <c r="I154" s="135" t="s">
        <v>1</v>
      </c>
      <c r="J154" s="135" t="s">
        <v>1</v>
      </c>
      <c r="K154" s="135" t="s">
        <v>136</v>
      </c>
      <c r="L154" s="135" t="s">
        <v>137</v>
      </c>
      <c r="M154" s="135" t="s">
        <v>100</v>
      </c>
      <c r="N154" s="135" t="s">
        <v>138</v>
      </c>
      <c r="O154" s="135" t="s">
        <v>1039</v>
      </c>
      <c r="P154" s="135" t="s">
        <v>139</v>
      </c>
      <c r="Q154" s="135" t="s">
        <v>89</v>
      </c>
      <c r="R154" s="135" t="s">
        <v>1040</v>
      </c>
      <c r="S154" s="135" t="s">
        <v>141</v>
      </c>
      <c r="T154" s="135" t="s">
        <v>1</v>
      </c>
      <c r="U154" s="146" t="str">
        <f>IF(OR(ISNUMBER(SEARCH("FAIL",K154&amp;" "&amp;Q154)),ISNUMBER(SEARCH("CLEAN RETEST REQUIRED",K154&amp;" "&amp;Q154))),"Failed",IF(OR(ISNUMBER(SEARCH("NOT RUN",K154&amp;" "&amp;Q154)),ISNUMBER(SEARCH("NOT IMPLEMENTED",K154&amp;" "&amp;Q154))),"Not started",IF(OR(ISNUMBER(SEARCH("PARTIAL",K154&amp;" "&amp;Q154)),ISNUMBER(SEARCH("PENDING",K154&amp;" "&amp;Q154)),ISNUMBER(SEARCH("IN PROGRESS",K154&amp;" "&amp;Q154)),ISNUMBER(SEARCH("OPEN",K154&amp;" "&amp;Q154)),ISNUMBER(SEARCH("RETEST REQUIRED",K154&amp;" "&amp;Q154)),ISNUMBER(SEARCH("IMPLEMENTATION UPDATED",K154&amp;" "&amp;Q154)),ISNUMBER(SEARCH("REQUIRED EVERY SESSION",K154&amp;" "&amp;Q154))),"Pending",IF(OR(Q154="PASS",ISNUMBER(SEARCH("PASS",K154&amp;" "&amp;Q154))),"Done","Pending"))))</f>
        <v>Done</v>
      </c>
      <c r="V154" s="146">
        <f>IF(T154="","",VALUE(LEFT(T154,SEARCH("/",T154)-1)))</f>
        <v/>
      </c>
      <c r="W154" s="146">
        <f>IF(T154="","",VALUE(MID(T154,SEARCH("/",T154)+1,LEN(T154))))</f>
        <v/>
      </c>
    </row>
    <row r="155" customFormat="false" ht="15" hidden="false" customHeight="false" outlineLevel="0" collapsed="false">
      <c r="A155" s="135" t="s">
        <v>1041</v>
      </c>
      <c r="B155" s="135" t="s">
        <v>133</v>
      </c>
      <c r="C155" s="263" t="s">
        <v>44</v>
      </c>
      <c r="D155" s="135" t="s">
        <v>1042</v>
      </c>
      <c r="E155" s="135" t="s">
        <v>1043</v>
      </c>
      <c r="F155" s="135" t="s">
        <v>1</v>
      </c>
      <c r="G155" s="135" t="s">
        <v>1</v>
      </c>
      <c r="H155" s="135" t="s">
        <v>1</v>
      </c>
      <c r="I155" s="135" t="s">
        <v>1</v>
      </c>
      <c r="J155" s="135" t="s">
        <v>1</v>
      </c>
      <c r="K155" s="135" t="s">
        <v>136</v>
      </c>
      <c r="L155" s="135" t="s">
        <v>137</v>
      </c>
      <c r="M155" s="135" t="s">
        <v>100</v>
      </c>
      <c r="N155" s="135" t="s">
        <v>138</v>
      </c>
      <c r="O155" s="135" t="s">
        <v>1044</v>
      </c>
      <c r="P155" s="135" t="s">
        <v>139</v>
      </c>
      <c r="Q155" s="135" t="s">
        <v>89</v>
      </c>
      <c r="R155" s="135" t="s">
        <v>1045</v>
      </c>
      <c r="S155" s="135" t="s">
        <v>141</v>
      </c>
      <c r="T155" s="135" t="s">
        <v>1</v>
      </c>
      <c r="U155" s="146" t="str">
        <f>IF(OR(ISNUMBER(SEARCH("FAIL",K155&amp;" "&amp;Q155)),ISNUMBER(SEARCH("CLEAN RETEST REQUIRED",K155&amp;" "&amp;Q155))),"Failed",IF(OR(ISNUMBER(SEARCH("NOT RUN",K155&amp;" "&amp;Q155)),ISNUMBER(SEARCH("NOT IMPLEMENTED",K155&amp;" "&amp;Q155))),"Not started",IF(OR(ISNUMBER(SEARCH("PARTIAL",K155&amp;" "&amp;Q155)),ISNUMBER(SEARCH("PENDING",K155&amp;" "&amp;Q155)),ISNUMBER(SEARCH("IN PROGRESS",K155&amp;" "&amp;Q155)),ISNUMBER(SEARCH("OPEN",K155&amp;" "&amp;Q155)),ISNUMBER(SEARCH("RETEST REQUIRED",K155&amp;" "&amp;Q155)),ISNUMBER(SEARCH("IMPLEMENTATION UPDATED",K155&amp;" "&amp;Q155)),ISNUMBER(SEARCH("REQUIRED EVERY SESSION",K155&amp;" "&amp;Q155))),"Pending",IF(OR(Q155="PASS",ISNUMBER(SEARCH("PASS",K155&amp;" "&amp;Q155))),"Done","Pending"))))</f>
        <v>Done</v>
      </c>
      <c r="V155" s="146">
        <f>IF(T155="","",VALUE(LEFT(T155,SEARCH("/",T155)-1)))</f>
        <v/>
      </c>
      <c r="W155" s="146">
        <f>IF(T155="","",VALUE(MID(T155,SEARCH("/",T155)+1,LEN(T155))))</f>
        <v/>
      </c>
    </row>
    <row r="156" customFormat="false" ht="15" hidden="false" customHeight="false" outlineLevel="0" collapsed="false">
      <c r="A156" s="135" t="s">
        <v>1046</v>
      </c>
      <c r="B156" s="135" t="s">
        <v>219</v>
      </c>
      <c r="C156" s="540" t="s">
        <v>49</v>
      </c>
      <c r="D156" s="135" t="s">
        <v>1047</v>
      </c>
      <c r="E156" s="135" t="s">
        <v>1048</v>
      </c>
      <c r="F156" s="135" t="s">
        <v>1</v>
      </c>
      <c r="G156" s="135" t="s">
        <v>1</v>
      </c>
      <c r="H156" s="135" t="s">
        <v>1</v>
      </c>
      <c r="I156" s="135" t="s">
        <v>1</v>
      </c>
      <c r="J156" s="135" t="s">
        <v>87</v>
      </c>
      <c r="K156" s="135" t="s">
        <v>1049</v>
      </c>
      <c r="L156" s="135" t="s">
        <v>1050</v>
      </c>
      <c r="M156" s="135" t="s">
        <v>1051</v>
      </c>
      <c r="N156" s="135" t="s">
        <v>138</v>
      </c>
      <c r="O156" s="135" t="s">
        <v>1052</v>
      </c>
      <c r="P156" s="135" t="s">
        <v>1053</v>
      </c>
      <c r="Q156" s="135" t="s">
        <v>89</v>
      </c>
      <c r="R156" s="135" t="s">
        <v>1054</v>
      </c>
      <c r="S156" s="135" t="s">
        <v>141</v>
      </c>
      <c r="T156" s="135" t="s">
        <v>1</v>
      </c>
      <c r="U156" s="146" t="str">
        <f>IF(OR(ISNUMBER(SEARCH("FAIL",K156&amp;" "&amp;Q156)),ISNUMBER(SEARCH("CLEAN RETEST REQUIRED",K156&amp;" "&amp;Q156))),"Failed",IF(OR(ISNUMBER(SEARCH("NOT RUN",K156&amp;" "&amp;Q156)),ISNUMBER(SEARCH("NOT IMPLEMENTED",K156&amp;" "&amp;Q156))),"Not started",IF(OR(ISNUMBER(SEARCH("PARTIAL",K156&amp;" "&amp;Q156)),ISNUMBER(SEARCH("PENDING",K156&amp;" "&amp;Q156)),ISNUMBER(SEARCH("IN PROGRESS",K156&amp;" "&amp;Q156)),ISNUMBER(SEARCH("OPEN",K156&amp;" "&amp;Q156)),ISNUMBER(SEARCH("RETEST REQUIRED",K156&amp;" "&amp;Q156)),ISNUMBER(SEARCH("IMPLEMENTATION UPDATED",K156&amp;" "&amp;Q156)),ISNUMBER(SEARCH("REQUIRED EVERY SESSION",K156&amp;" "&amp;Q156))),"Pending",IF(OR(Q156="PASS",ISNUMBER(SEARCH("PASS",K156&amp;" "&amp;Q156))),"Done","Pending"))))</f>
        <v>Done</v>
      </c>
      <c r="V156" s="146">
        <f>IF(T156="","",VALUE(LEFT(T156,SEARCH("/",T156)-1)))</f>
        <v/>
      </c>
      <c r="W156" s="146">
        <f>IF(T156="","",VALUE(MID(T156,SEARCH("/",T156)+1,LEN(T156))))</f>
        <v/>
      </c>
    </row>
    <row r="157" customFormat="false" ht="15" hidden="false" customHeight="false" outlineLevel="0" collapsed="false">
      <c r="A157" s="135" t="s">
        <v>1055</v>
      </c>
      <c r="B157" s="135" t="s">
        <v>133</v>
      </c>
      <c r="C157" s="540" t="s">
        <v>49</v>
      </c>
      <c r="D157" s="135" t="s">
        <v>1056</v>
      </c>
      <c r="E157" s="135" t="s">
        <v>1057</v>
      </c>
      <c r="F157" s="135" t="s">
        <v>1</v>
      </c>
      <c r="G157" s="135" t="s">
        <v>1</v>
      </c>
      <c r="H157" s="135" t="s">
        <v>1</v>
      </c>
      <c r="I157" s="135" t="s">
        <v>1</v>
      </c>
      <c r="J157" s="135" t="s">
        <v>1</v>
      </c>
      <c r="K157" s="135" t="s">
        <v>136</v>
      </c>
      <c r="L157" s="135" t="s">
        <v>137</v>
      </c>
      <c r="M157" s="135" t="s">
        <v>1058</v>
      </c>
      <c r="N157" s="135" t="s">
        <v>138</v>
      </c>
      <c r="O157" s="135" t="s">
        <v>1059</v>
      </c>
      <c r="P157" s="135" t="s">
        <v>139</v>
      </c>
      <c r="Q157" s="135" t="s">
        <v>89</v>
      </c>
      <c r="R157" s="135" t="s">
        <v>1060</v>
      </c>
      <c r="S157" s="135" t="s">
        <v>141</v>
      </c>
      <c r="T157" s="135" t="s">
        <v>1</v>
      </c>
      <c r="U157" s="146" t="str">
        <f>IF(OR(ISNUMBER(SEARCH("FAIL",K157&amp;" "&amp;Q157)),ISNUMBER(SEARCH("CLEAN RETEST REQUIRED",K157&amp;" "&amp;Q157))),"Failed",IF(OR(ISNUMBER(SEARCH("NOT RUN",K157&amp;" "&amp;Q157)),ISNUMBER(SEARCH("NOT IMPLEMENTED",K157&amp;" "&amp;Q157))),"Not started",IF(OR(ISNUMBER(SEARCH("PARTIAL",K157&amp;" "&amp;Q157)),ISNUMBER(SEARCH("PENDING",K157&amp;" "&amp;Q157)),ISNUMBER(SEARCH("IN PROGRESS",K157&amp;" "&amp;Q157)),ISNUMBER(SEARCH("OPEN",K157&amp;" "&amp;Q157)),ISNUMBER(SEARCH("RETEST REQUIRED",K157&amp;" "&amp;Q157)),ISNUMBER(SEARCH("IMPLEMENTATION UPDATED",K157&amp;" "&amp;Q157)),ISNUMBER(SEARCH("REQUIRED EVERY SESSION",K157&amp;" "&amp;Q157))),"Pending",IF(OR(Q157="PASS",ISNUMBER(SEARCH("PASS",K157&amp;" "&amp;Q157))),"Done","Pending"))))</f>
        <v>Done</v>
      </c>
      <c r="V157" s="146">
        <f>IF(T157="","",VALUE(LEFT(T157,SEARCH("/",T157)-1)))</f>
        <v/>
      </c>
      <c r="W157" s="146">
        <f>IF(T157="","",VALUE(MID(T157,SEARCH("/",T157)+1,LEN(T157))))</f>
        <v/>
      </c>
    </row>
    <row r="158" customFormat="false" ht="15" hidden="false" customHeight="false" outlineLevel="0" collapsed="false">
      <c r="A158" s="138" t="s">
        <v>1061</v>
      </c>
      <c r="B158" s="138" t="s">
        <v>1062</v>
      </c>
      <c r="C158" s="540" t="s">
        <v>49</v>
      </c>
      <c r="D158" s="138" t="s">
        <v>1063</v>
      </c>
      <c r="E158" s="138" t="s">
        <v>1064</v>
      </c>
      <c r="F158" s="138" t="s">
        <v>1</v>
      </c>
      <c r="G158" s="138" t="s">
        <v>1</v>
      </c>
      <c r="H158" s="138" t="s">
        <v>1</v>
      </c>
      <c r="I158" s="138" t="s">
        <v>1</v>
      </c>
      <c r="J158" s="138" t="s">
        <v>1</v>
      </c>
      <c r="K158" s="138" t="s">
        <v>100</v>
      </c>
      <c r="L158" s="138" t="s">
        <v>100</v>
      </c>
      <c r="M158" s="138" t="s">
        <v>100</v>
      </c>
      <c r="N158" s="138" t="s">
        <v>1</v>
      </c>
      <c r="O158" s="138" t="s">
        <v>1065</v>
      </c>
      <c r="P158" s="138" t="s">
        <v>1066</v>
      </c>
      <c r="Q158" s="138" t="s">
        <v>100</v>
      </c>
      <c r="R158" s="138" t="s">
        <v>1067</v>
      </c>
      <c r="S158" s="138" t="s">
        <v>141</v>
      </c>
      <c r="T158" s="138" t="s">
        <v>1068</v>
      </c>
      <c r="U158" s="146" t="str">
        <f>IF(OR(ISNUMBER(SEARCH("FAIL",K158&amp;" "&amp;Q158)),ISNUMBER(SEARCH("CLEAN RETEST REQUIRED",K158&amp;" "&amp;Q158))),"Failed",IF(OR(ISNUMBER(SEARCH("NOT RUN",K158&amp;" "&amp;Q158)),ISNUMBER(SEARCH("NOT IMPLEMENTED",K158&amp;" "&amp;Q158))),"Not started",IF(OR(ISNUMBER(SEARCH("PARTIAL",K158&amp;" "&amp;Q158)),ISNUMBER(SEARCH("PENDING",K158&amp;" "&amp;Q158)),ISNUMBER(SEARCH("IN PROGRESS",K158&amp;" "&amp;Q158)),ISNUMBER(SEARCH("OPEN",K158&amp;" "&amp;Q158)),ISNUMBER(SEARCH("RETEST REQUIRED",K158&amp;" "&amp;Q158)),ISNUMBER(SEARCH("IMPLEMENTATION UPDATED",K158&amp;" "&amp;Q158)),ISNUMBER(SEARCH("REQUIRED EVERY SESSION",K158&amp;" "&amp;Q158))),"Pending",IF(OR(Q158="PASS",ISNUMBER(SEARCH("PASS",K158&amp;" "&amp;Q158))),"Done","Pending"))))</f>
        <v>Not started</v>
      </c>
      <c r="V158" s="146">
        <f>IF(T158="","",VALUE(LEFT(T158,SEARCH("/",T158)-1)))</f>
        <v>20</v>
      </c>
      <c r="W158" s="146">
        <f>IF(T158="","",VALUE(MID(T158,SEARCH("/",T158)+1,LEN(T158))))</f>
        <v>45</v>
      </c>
    </row>
    <row r="159" customFormat="false" ht="15" hidden="false" customHeight="false" outlineLevel="0" collapsed="false">
      <c r="A159" s="135" t="s">
        <v>1069</v>
      </c>
      <c r="B159" s="135" t="s">
        <v>219</v>
      </c>
      <c r="C159" s="243" t="s">
        <v>55</v>
      </c>
      <c r="D159" s="135" t="s">
        <v>1070</v>
      </c>
      <c r="E159" s="135" t="s">
        <v>1071</v>
      </c>
      <c r="F159" s="135" t="s">
        <v>4</v>
      </c>
      <c r="G159" s="135" t="s">
        <v>1072</v>
      </c>
      <c r="H159" s="135" t="s">
        <v>4</v>
      </c>
      <c r="I159" s="135" t="s">
        <v>1073</v>
      </c>
      <c r="J159" s="135" t="s">
        <v>87</v>
      </c>
      <c r="K159" s="135" t="s">
        <v>168</v>
      </c>
      <c r="L159" s="135" t="s">
        <v>1</v>
      </c>
      <c r="M159" s="135" t="s">
        <v>1</v>
      </c>
      <c r="N159" s="135" t="s">
        <v>1022</v>
      </c>
      <c r="O159" s="135" t="s">
        <v>91</v>
      </c>
      <c r="P159" s="135" t="s">
        <v>92</v>
      </c>
      <c r="Q159" s="135" t="s">
        <v>89</v>
      </c>
      <c r="R159" s="135" t="s">
        <v>1074</v>
      </c>
      <c r="S159" s="135" t="s">
        <v>94</v>
      </c>
      <c r="T159" s="135" t="s">
        <v>1</v>
      </c>
      <c r="U159" s="146" t="str">
        <f>IF(OR(ISNUMBER(SEARCH("FAIL",K159&amp;" "&amp;Q159)),ISNUMBER(SEARCH("CLEAN RETEST REQUIRED",K159&amp;" "&amp;Q159))),"Failed",IF(OR(ISNUMBER(SEARCH("NOT RUN",K159&amp;" "&amp;Q159)),ISNUMBER(SEARCH("NOT IMPLEMENTED",K159&amp;" "&amp;Q159))),"Not started",IF(OR(ISNUMBER(SEARCH("PARTIAL",K159&amp;" "&amp;Q159)),ISNUMBER(SEARCH("PENDING",K159&amp;" "&amp;Q159)),ISNUMBER(SEARCH("IN PROGRESS",K159&amp;" "&amp;Q159)),ISNUMBER(SEARCH("OPEN",K159&amp;" "&amp;Q159)),ISNUMBER(SEARCH("RETEST REQUIRED",K159&amp;" "&amp;Q159)),ISNUMBER(SEARCH("IMPLEMENTATION UPDATED",K159&amp;" "&amp;Q159)),ISNUMBER(SEARCH("REQUIRED EVERY SESSION",K159&amp;" "&amp;Q159))),"Pending",IF(OR(Q159="PASS",ISNUMBER(SEARCH("PASS",K159&amp;" "&amp;Q159))),"Done","Pending"))))</f>
        <v>Done</v>
      </c>
      <c r="V159" s="146">
        <f>IF(T159="","",VALUE(LEFT(T159,SEARCH("/",T159)-1)))</f>
        <v/>
      </c>
      <c r="W159" s="146">
        <f>IF(T159="","",VALUE(MID(T159,SEARCH("/",T159)+1,LEN(T159))))</f>
        <v/>
      </c>
    </row>
    <row r="160" customFormat="false" ht="15" hidden="false" customHeight="false" outlineLevel="0" collapsed="false">
      <c r="A160" s="135" t="s">
        <v>1075</v>
      </c>
      <c r="B160" s="135" t="s">
        <v>219</v>
      </c>
      <c r="C160" s="243" t="s">
        <v>55</v>
      </c>
      <c r="D160" s="135" t="s">
        <v>1076</v>
      </c>
      <c r="E160" s="135" t="s">
        <v>1077</v>
      </c>
      <c r="F160" s="135" t="s">
        <v>1078</v>
      </c>
      <c r="G160" s="135" t="s">
        <v>1079</v>
      </c>
      <c r="H160" s="135" t="s">
        <v>1080</v>
      </c>
      <c r="I160" s="135" t="s">
        <v>1081</v>
      </c>
      <c r="J160" s="135" t="s">
        <v>87</v>
      </c>
      <c r="K160" s="135" t="s">
        <v>89</v>
      </c>
      <c r="L160" s="135" t="s">
        <v>89</v>
      </c>
      <c r="M160" s="135" t="s">
        <v>1</v>
      </c>
      <c r="N160" s="135" t="s">
        <v>1022</v>
      </c>
      <c r="O160" s="135" t="s">
        <v>91</v>
      </c>
      <c r="P160" s="135" t="s">
        <v>92</v>
      </c>
      <c r="Q160" s="135" t="s">
        <v>89</v>
      </c>
      <c r="R160" s="135" t="s">
        <v>1082</v>
      </c>
      <c r="S160" s="135" t="s">
        <v>94</v>
      </c>
      <c r="T160" s="135" t="s">
        <v>1</v>
      </c>
      <c r="U160" s="146" t="str">
        <f>IF(OR(ISNUMBER(SEARCH("FAIL",K160&amp;" "&amp;Q160)),ISNUMBER(SEARCH("CLEAN RETEST REQUIRED",K160&amp;" "&amp;Q160))),"Failed",IF(OR(ISNUMBER(SEARCH("NOT RUN",K160&amp;" "&amp;Q160)),ISNUMBER(SEARCH("NOT IMPLEMENTED",K160&amp;" "&amp;Q160))),"Not started",IF(OR(ISNUMBER(SEARCH("PARTIAL",K160&amp;" "&amp;Q160)),ISNUMBER(SEARCH("PENDING",K160&amp;" "&amp;Q160)),ISNUMBER(SEARCH("IN PROGRESS",K160&amp;" "&amp;Q160)),ISNUMBER(SEARCH("OPEN",K160&amp;" "&amp;Q160)),ISNUMBER(SEARCH("RETEST REQUIRED",K160&amp;" "&amp;Q160)),ISNUMBER(SEARCH("IMPLEMENTATION UPDATED",K160&amp;" "&amp;Q160)),ISNUMBER(SEARCH("REQUIRED EVERY SESSION",K160&amp;" "&amp;Q160))),"Pending",IF(OR(Q160="PASS",ISNUMBER(SEARCH("PASS",K160&amp;" "&amp;Q160))),"Done","Pending"))))</f>
        <v>Done</v>
      </c>
      <c r="V160" s="146">
        <f>IF(T160="","",VALUE(LEFT(T160,SEARCH("/",T160)-1)))</f>
        <v/>
      </c>
      <c r="W160" s="146">
        <f>IF(T160="","",VALUE(MID(T160,SEARCH("/",T160)+1,LEN(T160))))</f>
        <v/>
      </c>
    </row>
    <row r="161" customFormat="false" ht="15" hidden="false" customHeight="false" outlineLevel="0" collapsed="false">
      <c r="A161" s="135" t="s">
        <v>1083</v>
      </c>
      <c r="B161" s="135" t="s">
        <v>219</v>
      </c>
      <c r="C161" s="243" t="s">
        <v>55</v>
      </c>
      <c r="D161" s="135" t="s">
        <v>1084</v>
      </c>
      <c r="E161" s="135" t="s">
        <v>1085</v>
      </c>
      <c r="F161" s="135" t="s">
        <v>4</v>
      </c>
      <c r="G161" s="135" t="s">
        <v>1086</v>
      </c>
      <c r="H161" s="135" t="s">
        <v>4</v>
      </c>
      <c r="I161" s="135" t="s">
        <v>1087</v>
      </c>
      <c r="J161" s="135" t="s">
        <v>87</v>
      </c>
      <c r="K161" s="135" t="s">
        <v>168</v>
      </c>
      <c r="L161" s="135" t="s">
        <v>1</v>
      </c>
      <c r="M161" s="135" t="s">
        <v>1</v>
      </c>
      <c r="N161" s="135" t="s">
        <v>1022</v>
      </c>
      <c r="O161" s="135" t="s">
        <v>91</v>
      </c>
      <c r="P161" s="135" t="s">
        <v>92</v>
      </c>
      <c r="Q161" s="135" t="s">
        <v>89</v>
      </c>
      <c r="R161" s="135" t="s">
        <v>1088</v>
      </c>
      <c r="S161" s="135" t="s">
        <v>188</v>
      </c>
      <c r="T161" s="135" t="s">
        <v>1</v>
      </c>
      <c r="U161" s="146" t="str">
        <f>IF(OR(ISNUMBER(SEARCH("FAIL",K161&amp;" "&amp;Q161)),ISNUMBER(SEARCH("CLEAN RETEST REQUIRED",K161&amp;" "&amp;Q161))),"Failed",IF(OR(ISNUMBER(SEARCH("NOT RUN",K161&amp;" "&amp;Q161)),ISNUMBER(SEARCH("NOT IMPLEMENTED",K161&amp;" "&amp;Q161))),"Not started",IF(OR(ISNUMBER(SEARCH("PARTIAL",K161&amp;" "&amp;Q161)),ISNUMBER(SEARCH("PENDING",K161&amp;" "&amp;Q161)),ISNUMBER(SEARCH("IN PROGRESS",K161&amp;" "&amp;Q161)),ISNUMBER(SEARCH("OPEN",K161&amp;" "&amp;Q161)),ISNUMBER(SEARCH("RETEST REQUIRED",K161&amp;" "&amp;Q161)),ISNUMBER(SEARCH("IMPLEMENTATION UPDATED",K161&amp;" "&amp;Q161)),ISNUMBER(SEARCH("REQUIRED EVERY SESSION",K161&amp;" "&amp;Q161))),"Pending",IF(OR(Q161="PASS",ISNUMBER(SEARCH("PASS",K161&amp;" "&amp;Q161))),"Done","Pending"))))</f>
        <v>Done</v>
      </c>
      <c r="V161" s="146">
        <f>IF(T161="","",VALUE(LEFT(T161,SEARCH("/",T161)-1)))</f>
        <v/>
      </c>
      <c r="W161" s="146">
        <f>IF(T161="","",VALUE(MID(T161,SEARCH("/",T161)+1,LEN(T161))))</f>
        <v/>
      </c>
    </row>
    <row r="162" customFormat="false" ht="15" hidden="false" customHeight="false" outlineLevel="0" collapsed="false">
      <c r="A162" s="135" t="s">
        <v>1089</v>
      </c>
      <c r="B162" s="135" t="s">
        <v>219</v>
      </c>
      <c r="C162" s="243" t="s">
        <v>55</v>
      </c>
      <c r="D162" s="135" t="s">
        <v>1090</v>
      </c>
      <c r="E162" s="135" t="s">
        <v>1091</v>
      </c>
      <c r="F162" s="135" t="s">
        <v>1092</v>
      </c>
      <c r="G162" s="135" t="s">
        <v>1093</v>
      </c>
      <c r="H162" s="135" t="s">
        <v>4</v>
      </c>
      <c r="I162" s="135" t="s">
        <v>1094</v>
      </c>
      <c r="J162" s="135" t="s">
        <v>87</v>
      </c>
      <c r="K162" s="135" t="s">
        <v>89</v>
      </c>
      <c r="L162" s="135" t="s">
        <v>89</v>
      </c>
      <c r="M162" s="135" t="s">
        <v>1</v>
      </c>
      <c r="N162" s="135" t="s">
        <v>1022</v>
      </c>
      <c r="O162" s="135" t="s">
        <v>91</v>
      </c>
      <c r="P162" s="135" t="s">
        <v>92</v>
      </c>
      <c r="Q162" s="135" t="s">
        <v>89</v>
      </c>
      <c r="R162" s="135" t="s">
        <v>1095</v>
      </c>
      <c r="S162" s="135" t="s">
        <v>966</v>
      </c>
      <c r="T162" s="135" t="s">
        <v>1</v>
      </c>
      <c r="U162" s="146" t="str">
        <f>IF(OR(ISNUMBER(SEARCH("FAIL",K162&amp;" "&amp;Q162)),ISNUMBER(SEARCH("CLEAN RETEST REQUIRED",K162&amp;" "&amp;Q162))),"Failed",IF(OR(ISNUMBER(SEARCH("NOT RUN",K162&amp;" "&amp;Q162)),ISNUMBER(SEARCH("NOT IMPLEMENTED",K162&amp;" "&amp;Q162))),"Not started",IF(OR(ISNUMBER(SEARCH("PARTIAL",K162&amp;" "&amp;Q162)),ISNUMBER(SEARCH("PENDING",K162&amp;" "&amp;Q162)),ISNUMBER(SEARCH("IN PROGRESS",K162&amp;" "&amp;Q162)),ISNUMBER(SEARCH("OPEN",K162&amp;" "&amp;Q162)),ISNUMBER(SEARCH("RETEST REQUIRED",K162&amp;" "&amp;Q162)),ISNUMBER(SEARCH("IMPLEMENTATION UPDATED",K162&amp;" "&amp;Q162)),ISNUMBER(SEARCH("REQUIRED EVERY SESSION",K162&amp;" "&amp;Q162))),"Pending",IF(OR(Q162="PASS",ISNUMBER(SEARCH("PASS",K162&amp;" "&amp;Q162))),"Done","Pending"))))</f>
        <v>Done</v>
      </c>
      <c r="V162" s="146">
        <f>IF(T162="","",VALUE(LEFT(T162,SEARCH("/",T162)-1)))</f>
        <v/>
      </c>
      <c r="W162" s="146">
        <f>IF(T162="","",VALUE(MID(T162,SEARCH("/",T162)+1,LEN(T162))))</f>
        <v/>
      </c>
    </row>
    <row r="163" customFormat="false" ht="15" hidden="false" customHeight="false" outlineLevel="0" collapsed="false">
      <c r="A163" s="135" t="s">
        <v>1096</v>
      </c>
      <c r="B163" s="135" t="s">
        <v>103</v>
      </c>
      <c r="C163" s="243" t="s">
        <v>55</v>
      </c>
      <c r="D163" s="135" t="s">
        <v>1097</v>
      </c>
      <c r="E163" s="135" t="s">
        <v>1098</v>
      </c>
      <c r="F163" s="135" t="s">
        <v>4</v>
      </c>
      <c r="G163" s="135" t="s">
        <v>1099</v>
      </c>
      <c r="H163" s="135" t="s">
        <v>4</v>
      </c>
      <c r="I163" s="135" t="s">
        <v>1100</v>
      </c>
      <c r="J163" s="135" t="s">
        <v>1101</v>
      </c>
      <c r="K163" s="135" t="s">
        <v>89</v>
      </c>
      <c r="L163" s="135" t="s">
        <v>89</v>
      </c>
      <c r="M163" s="135" t="s">
        <v>100</v>
      </c>
      <c r="N163" s="135" t="s">
        <v>108</v>
      </c>
      <c r="O163" s="135" t="s">
        <v>91</v>
      </c>
      <c r="P163" s="135" t="s">
        <v>92</v>
      </c>
      <c r="Q163" s="135" t="s">
        <v>89</v>
      </c>
      <c r="R163" s="135" t="s">
        <v>1102</v>
      </c>
      <c r="S163" s="135" t="s">
        <v>1103</v>
      </c>
      <c r="T163" s="135" t="s">
        <v>1</v>
      </c>
      <c r="U163" s="146" t="str">
        <f>IF(OR(ISNUMBER(SEARCH("FAIL",K163&amp;" "&amp;Q163)),ISNUMBER(SEARCH("CLEAN RETEST REQUIRED",K163&amp;" "&amp;Q163))),"Failed",IF(OR(ISNUMBER(SEARCH("NOT RUN",K163&amp;" "&amp;Q163)),ISNUMBER(SEARCH("NOT IMPLEMENTED",K163&amp;" "&amp;Q163))),"Not started",IF(OR(ISNUMBER(SEARCH("PARTIAL",K163&amp;" "&amp;Q163)),ISNUMBER(SEARCH("PENDING",K163&amp;" "&amp;Q163)),ISNUMBER(SEARCH("IN PROGRESS",K163&amp;" "&amp;Q163)),ISNUMBER(SEARCH("OPEN",K163&amp;" "&amp;Q163)),ISNUMBER(SEARCH("RETEST REQUIRED",K163&amp;" "&amp;Q163)),ISNUMBER(SEARCH("IMPLEMENTATION UPDATED",K163&amp;" "&amp;Q163)),ISNUMBER(SEARCH("REQUIRED EVERY SESSION",K163&amp;" "&amp;Q163))),"Pending",IF(OR(Q163="PASS",ISNUMBER(SEARCH("PASS",K163&amp;" "&amp;Q163))),"Done","Pending"))))</f>
        <v>Done</v>
      </c>
      <c r="V163" s="146">
        <f>IF(T163="","",VALUE(LEFT(T163,SEARCH("/",T163)-1)))</f>
        <v/>
      </c>
      <c r="W163" s="146">
        <f>IF(T163="","",VALUE(MID(T163,SEARCH("/",T163)+1,LEN(T163))))</f>
        <v/>
      </c>
    </row>
  </sheetData>
  <mergeCells count="36">
    <mergeCell ref="A1:B1"/>
    <mergeCell ref="A6:T6"/>
    <mergeCell ref="A7:B7"/>
    <mergeCell ref="D7:E7"/>
    <mergeCell ref="F7:G7"/>
    <mergeCell ref="I7:J7"/>
    <mergeCell ref="A8:B8"/>
    <mergeCell ref="D8:E8"/>
    <mergeCell ref="F8:G8"/>
    <mergeCell ref="I8:J8"/>
    <mergeCell ref="A9:B9"/>
    <mergeCell ref="D9:E9"/>
    <mergeCell ref="F9:G9"/>
    <mergeCell ref="I9:J9"/>
    <mergeCell ref="A10:B10"/>
    <mergeCell ref="D10:E10"/>
    <mergeCell ref="F10:G10"/>
    <mergeCell ref="I10:J10"/>
    <mergeCell ref="A11:B11"/>
    <mergeCell ref="D11:E11"/>
    <mergeCell ref="F11:G11"/>
    <mergeCell ref="I11:J11"/>
    <mergeCell ref="A12:B12"/>
    <mergeCell ref="D12:E12"/>
    <mergeCell ref="F12:G12"/>
    <mergeCell ref="I12:J12"/>
    <mergeCell ref="A13:B13"/>
    <mergeCell ref="D13:E13"/>
    <mergeCell ref="F13:G13"/>
    <mergeCell ref="I13:J13"/>
    <mergeCell ref="A14:B14"/>
    <mergeCell ref="D14:E14"/>
    <mergeCell ref="F14:G14"/>
    <mergeCell ref="I14:J14"/>
    <mergeCell ref="A15:T15"/>
    <mergeCell ref="L16:M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2026-08-06T13:01:43Z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