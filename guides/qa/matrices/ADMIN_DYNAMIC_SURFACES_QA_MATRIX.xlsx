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<sst xmlns="http://schemas.openxmlformats.org/spreadsheetml/2006/main" count="2380" uniqueCount="1144">
  <si>
    <t>EFFECT / SCOPE MARKERS</t>
  </si>
  <si>
    <t/>
  </si>
  <si>
    <t>Done</t>
  </si>
  <si>
    <t>100 (96%)</t>
  </si>
  <si>
    <t>X</t>
  </si>
  <si>
    <t>No expected effect — An unchanged X cell is PASS</t>
  </si>
  <si>
    <t>Pending</t>
  </si>
  <si>
    <t>3</t>
  </si>
  <si>
    <t>DELTA</t>
  </si>
  <si>
    <t>Required direct effect — Record before/after count and direction</t>
  </si>
  <si>
    <t>Not started</t>
  </si>
  <si>
    <t>1</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</si>
  <si>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</si>
  <si>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</si>
  <si>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</si>
  <si>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</si>
  <si>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</si>
  <si>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</si>
  <si>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</si>
  <si>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</si>
  <si>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</si>
  <si>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</si>
  <si>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</si>
  <si>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</si>
  <si>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</si>
  <si>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</si>
  <si>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</si>
  <si>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</si>
  <si>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</si>
  <si>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</si>
  <si>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</si>
  <si>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</si>
  <si>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</si>
  <si>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</si>
  <si>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</si>
  <si>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</si>
  <si>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</si>
  <si>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</si>
  <si>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</si>
  <si>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</si>
  <si>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</si>
  <si>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</si>
  <si>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</si>
  <si>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</si>
  <si>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</si>
  <si>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</si>
  <si>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</si>
  <si>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</si>
  <si>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</si>
  <si>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</si>
  <si>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</si>
  <si>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2 passed / 4 total (50%) · 90/225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</si>
  <si>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</si>
  <si>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</si>
  <si>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</si>
  <si>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</si>
  <si>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</si>
  <si>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</si>
  <si>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</si>
  <si>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</si>
  <si>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</si>
  <si>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</si>
  <si>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</si>
  <si>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</si>
  <si>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</si>
  <si>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</si>
  <si>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</si>
  <si>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</si>
  <si>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</si>
  <si>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</si>
  <si>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</si>
  <si>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</si>
  <si>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</si>
  <si>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</si>
  <si>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</si>
  <si>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</si>
  <si>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</si>
  <si>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</si>
  <si>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</si>
  <si>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</si>
  <si>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</si>
  <si>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</si>
  <si>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</si>
  <si>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</si>
  <si>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</si>
  <si>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</si>
  <si>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</si>
  <si>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</si>
  <si>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</si>
  <si>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</si>
  <si>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</si>
  <si>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</si>
  <si>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</si>
  <si>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</si>
  <si>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</si>
  <si>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</si>
  <si>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</si>
  <si>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</si>
  <si>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</si>
  <si>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</si>
  <si>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</si>
  <si>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</si>
  <si>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</si>
  <si>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</si>
  <si>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</si>
  <si>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</si>
  <si>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</si>
  <si>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</si>
  <si>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</si>
  <si>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</si>
  <si>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</si>
  <si>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</si>
  <si>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</si>
  <si>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</si>
  <si>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</si>
  <si>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</si>
  <si>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</si>
  <si>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</si>
  <si>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</si>
  <si>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</si>
  <si>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</si>
  <si>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</si>
  <si>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</si>
  <si>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</si>
  <si>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</si>
  <si>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</si>
  <si>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</si>
  <si>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</si>
  <si>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</si>
  <si>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</si>
  <si>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</si>
  <si>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</si>
  <si>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</si>
  <si>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</si>
  <si>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</si>
  <si>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</si>
  <si>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</si>
  <si>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</si>
  <si>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</si>
  <si>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</si>
  <si>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</si>
  <si>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</si>
  <si>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</si>
  <si>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</si>
  <si>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</si>
  <si>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</si>
  <si>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</si>
  <si>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</si>
  <si>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</si>
  <si>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</si>
  <si>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</si>
  <si>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</si>
  <si>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</si>
  <si>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</si>
  <si>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</si>
  <si>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</si>
  <si>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</si>
  <si>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</si>
  <si>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</si>
  <si>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</si>
  <si>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</si>
  <si>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</si>
  <si>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</si>
  <si>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</si>
  <si>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</si>
  <si>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</si>
  <si>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</si>
  <si>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</si>
  <si>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</si>
  <si>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</si>
  <si>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</si>
  <si>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</si>
  <si>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</si>
  <si>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</si>
  <si>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</si>
  <si>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</si>
  <si>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</si>
  <si>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</si>
  <si>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</si>
  <si>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</si>
  <si>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</si>
  <si>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</si>
  <si>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</si>
  <si>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</si>
  <si>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</si>
  <si>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</si>
  <si>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</si>
  <si>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</si>
  <si>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</si>
  <si>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</si>
  <si>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</si>
  <si>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</si>
  <si>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</si>
  <si>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</si>
  <si>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</si>
  <si>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</si>
  <si>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</si>
  <si>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</si>
  <si>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</si>
  <si>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</si>
  <si>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</si>
  <si>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</si>
  <si>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</si>
  <si>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</si>
  <si>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</si>
  <si>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</si>
  <si>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</si>
  <si>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</si>
  <si>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</si>
  <si>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</si>
  <si>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</si>
  <si>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</si>
  <si>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</si>
  <si>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</si>
  <si>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</si>
  <si>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</si>
  <si>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</si>
  <si>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</si>
  <si>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</si>
  <si>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</si>
  <si>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</si>
  <si>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</si>
  <si>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</si>
  <si>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</si>
  <si>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</si>
  <si>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</si>
  <si>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</si>
  <si>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</si>
  <si>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</si>
  <si>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</si>
  <si>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</si>
  <si>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</si>
  <si>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</si>
  <si>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</si>
  <si>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</si>
  <si>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</si>
  <si>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</si>
  <si>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</si>
  <si>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</si>
  <si>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</si>
  <si>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</si>
  <si>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</si>
  <si>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</si>
  <si>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</si>
  <si>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</si>
  <si>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</si>
  <si>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</si>
  <si>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</si>
  <si>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</si>
  <si>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</si>
  <si>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</si>
  <si>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</si>
  <si>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</si>
  <si>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</si>
  <si>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</si>
  <si>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</si>
  <si>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</si>
  <si>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</si>
  <si>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</si>
  <si>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</si>
  <si>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</si>
  <si>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</si>
  <si>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</si>
  <si>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</si>
  <si>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</si>
  <si>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</si>
  <si>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</si>
  <si>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</si>
  <si>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</si>
  <si>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</si>
  <si>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</si>
  <si>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</si>
  <si>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</si>
  <si>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</si>
  <si>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</si>
  <si>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</si>
  <si>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</si>
  <si>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</si>
  <si>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</si>
  <si>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</si>
  <si>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</si>
  <si>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</si>
  <si>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</si>
  <si>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</si>
  <si>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</si>
  <si>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</si>
  <si>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</si>
  <si>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</si>
  <si>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</si>
  <si>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</si>
  <si>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</si>
  <si>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</si>
  <si>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</si>
  <si>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</si>
  <si>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</si>
  <si>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</si>
  <si>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</si>
  <si>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</si>
  <si>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</si>
  <si>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</si>
  <si>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</si>
  <si>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</si>
  <si>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</si>
  <si>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</si>
  <si>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</si>
  <si>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</si>
  <si>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</si>
  <si>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</si>
  <si>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</si>
  <si>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</si>
  <si>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</si>
  <si>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</si>
  <si>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</si>
  <si>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</si>
  <si>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</si>
  <si>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</si>
  <si>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</si>
  <si>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</si>
  <si>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</si>
  <si>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</si>
  <si>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</si>
  <si>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</si>
  <si>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</si>
  <si>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</si>
  <si>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</si>
  <si>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</si>
  <si>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</si>
  <si>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</si>
  <si>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</si>
  <si>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</si>
  <si>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</si>
  <si>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</si>
  <si>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</si>
  <si>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</si>
  <si>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</si>
  <si>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</si>
  <si>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</si>
  <si>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</si>
  <si>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</si>
  <si>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</si>
  <si>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</si>
  <si>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</si>
  <si>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</si>
  <si>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</si>
  <si>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</si>
  <si>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</si>
  <si>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</si>
  <si>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</si>
  <si>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</si>
  <si>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</si>
  <si>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</si>
  <si>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</si>
  <si>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</si>
  <si>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</si>
  <si>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</si>
  <si>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</si>
  <si>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</si>
  <si>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</si>
  <si>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</si>
  <si>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</si>
  <si>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</si>
  <si>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</si>
  <si>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</si>
  <si>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</si>
  <si>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</si>
  <si>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</si>
  <si>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</si>
  <si>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</si>
  <si>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</si>
  <si>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</si>
  <si>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</si>
  <si>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</si>
  <si>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</si>
  <si>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</si>
  <si>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</si>
  <si>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</si>
  <si>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</si>
  <si>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</si>
  <si>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</si>
  <si>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</si>
  <si>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</si>
  <si>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</si>
  <si>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</si>
  <si>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</si>
  <si>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</si>
  <si>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</si>
  <si>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</si>
  <si>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</si>
  <si>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</si>
  <si>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</si>
  <si>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</si>
  <si>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</si>
  <si>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</si>
  <si>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</si>
  <si>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</si>
  <si>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</si>
  <si>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</si>
  <si>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</si>
  <si>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</si>
  <si>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</si>
  <si>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</si>
  <si>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</si>
  <si>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</si>
  <si>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</si>
  <si>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</si>
  <si>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</si>
  <si>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</si>
  <si>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</si>
  <si>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</si>
  <si>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</si>
  <si>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</si>
  <si>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</si>
  <si>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</si>
  <si>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</si>
  <si>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</si>
  <si>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</si>
  <si>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</si>
  <si>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</si>
  <si>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</si>
  <si>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</si>
  <si>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</si>
  <si>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</si>
  <si>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</si>
  <si>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</si>
  <si>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</si>
  <si>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</si>
  <si>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</si>
  <si>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</si>
  <si>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</si>
  <si>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</si>
  <si>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</si>
  <si>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</si>
  <si>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</si>
  <si>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</si>
  <si>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</si>
  <si>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</si>
  <si>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</si>
  <si>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</si>
  <si>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</si>
  <si>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</si>
  <si>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</si>
  <si>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</si>
  <si>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</si>
  <si>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</si>
  <si>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</si>
  <si>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</si>
  <si>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</si>
  <si>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</si>
  <si>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</si>
  <si>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</si>
  <si>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</si>
  <si>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</si>
  <si>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</si>
  <si>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</si>
  <si>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</si>
  <si>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</si>
  <si>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</si>
  <si>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</si>
  <si>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</si>
  <si>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</si>
  <si>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</si>
  <si>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</si>
  <si>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</si>
  <si>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</si>
  <si>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</si>
  <si>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</si>
  <si>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</si>
  <si>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</si>
  <si>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</si>
  <si>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</si>
  <si>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</si>
  <si>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</si>
  <si>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</si>
  <si>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</si>
  <si>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</si>
  <si>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</si>
  <si>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</si>
  <si>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</si>
  <si>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</si>
  <si>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</si>
  <si>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</si>
  <si>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</si>
  <si>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</si>
  <si>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</si>
  <si>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</si>
  <si>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</si>
  <si>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</si>
  <si>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</si>
  <si>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</si>
  <si>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</si>
  <si>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</si>
  <si>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</si>
  <si>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</si>
  <si>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</si>
  <si>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</si>
  <si>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</si>
  <si>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</si>
  <si>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</si>
  <si>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</si>
  <si>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</si>
  <si>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</si>
  <si>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</si>
  <si>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</si>
  <si>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</si>
  <si>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</si>
  <si>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</si>
  <si>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</si>
  <si>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</si>
  <si>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</si>
  <si>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</si>
  <si>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</si>
  <si>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</si>
  <si>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</si>
  <si>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</si>
  <si>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</si>
  <si>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</si>
  <si>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</si>
  <si>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</si>
  <si>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</si>
  <si>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</si>
  <si>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</si>
  <si>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</si>
  <si>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</si>
  <si>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</si>
  <si>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</si>
  <si>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</si>
  <si>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</si>
  <si>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</si>
  <si>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</si>
  <si>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</si>
  <si>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</si>
  <si>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</si>
  <si>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</si>
  <si>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</si>
  <si>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</si>
  <si>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</si>
  <si>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</si>
  <si>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</si>
  <si>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</si>
  <si>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</si>
  <si>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</si>
  <si>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</si>
  <si>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</si>
  <si>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</si>
  <si>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</si>
  <si>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</si>
  <si>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</si>
  <si>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</si>
  <si>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</si>
  <si>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</si>
  <si>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</si>
  <si>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</si>
  <si>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</si>
  <si>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</si>
  <si>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</si>
  <si>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</si>
  <si>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</si>
  <si>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</si>
  <si>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</si>
  <si>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</si>
  <si>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</si>
  <si>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</si>
  <si>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</si>
  <si>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</si>
  <si>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</si>
  <si>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</si>
  <si>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</si>
  <si>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</si>
  <si>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</si>
  <si>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</si>
  <si>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</si>
  <si>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</si>
  <si>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</si>
  <si>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</si>
  <si>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</si>
  <si>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</si>
  <si>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</si>
  <si>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</si>
  <si>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</si>
  <si>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</si>
  <si>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</si>
  <si>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</si>
  <si>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</si>
  <si>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</si>
  <si>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</si>
  <si>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</si>
  <si>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</si>
  <si>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</si>
  <si>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</si>
  <si>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</si>
  <si>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</si>
  <si>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</si>
  <si>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</si>
  <si>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</si>
  <si>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</si>
  <si>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</si>
  <si>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</si>
  <si>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</si>
  <si>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</si>
  <si>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</si>
  <si>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</si>
  <si>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</si>
  <si>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</si>
  <si>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</si>
  <si>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</si>
  <si>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</si>
  <si>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</si>
  <si>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</si>
  <si>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</si>
  <si>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</si>
  <si>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</si>
  <si>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</si>
  <si>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</si>
  <si>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</si>
  <si>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</si>
  <si>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</si>
  <si>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</si>
  <si>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</si>
  <si>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</si>
  <si>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</si>
  <si>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</si>
  <si>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</si>
  <si>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</si>
  <si>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</si>
  <si>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</si>
  <si>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</si>
  <si>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</si>
  <si>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</si>
  <si>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</si>
  <si>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</si>
  <si>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</si>
  <si>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</si>
  <si>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</si>
  <si>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</si>
  <si>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</si>
  <si>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</si>
  <si>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</si>
  <si>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</si>
  <si>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</si>
  <si>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</si>
  <si>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</si>
  <si>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</si>
  <si>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</si>
  <si>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</si>
  <si>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</si>
  <si>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</si>
  <si>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</si>
  <si>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</si>
  <si>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</si>
  <si>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</si>
  <si>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</si>
  <si>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</si>
  <si>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</si>
  <si>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</si>
  <si>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</si>
  <si>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</si>
  <si>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</si>
  <si>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</si>
  <si>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</si>
  <si>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</si>
  <si>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</si>
  <si>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</si>
  <si>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</si>
  <si>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</si>
  <si>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</si>
  <si>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</si>
  <si>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</si>
  <si>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</si>
  <si>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</si>
  <si>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</si>
  <si>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</si>
  <si>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</si>
  <si>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</si>
  <si>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</si>
  <si>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</si>
  <si>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</si>
  <si>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</si>
  <si>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</si>
  <si>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</si>
  <si>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</si>
  <si>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</si>
  <si>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</si>
  <si>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</si>
  <si>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</si>
  <si>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</si>
  <si>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</si>
  <si>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</si>
  <si>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</si>
  <si>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</si>
  <si>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</si>
  <si>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</si>
  <si>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</si>
  <si>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</si>
  <si>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</si>
  <si>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</si>
  <si>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</si>
  <si>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</si>
  <si>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</si>
  <si>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</si>
  <si>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</si>
  <si>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</si>
  <si>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</si>
  <si>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</si>
  <si>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</si>
  <si>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</si>
  <si>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</si>
  <si>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</si>
  <si>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</si>
  <si>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</si>
  <si>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</si>
  <si>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</si>
  <si>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</si>
  <si>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</si>
  <si>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</si>
  <si>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</si>
  <si>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</si>
  <si>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</si>
  <si>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</si>
  <si>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</si>
  <si>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</si>
  <si>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</si>
  <si>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</si>
  <si>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</si>
  <si>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</si>
  <si>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</si>
  <si>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</si>
  <si>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</si>
  <si>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</si>
  <si>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</si>
  <si>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</si>
  <si>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</si>
  <si>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</si>
  <si>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</si>
  <si>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</si>
  <si>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</si>
  <si>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</si>
  <si>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</si>
  <si>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</si>
  <si>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</si>
  <si>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</si>
  <si>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</si>
  <si>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</si>
  <si>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</si>
  <si>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</si>
  <si>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</si>
  <si>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</si>
  <si>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</si>
  <si>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</si>
  <si>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</si>
  <si>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</si>
  <si>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</si>
  <si>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</si>
  <si>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</si>
  <si>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</si>
  <si>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</si>
  <si>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</si>
  <si>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</si>
  <si>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</si>
  <si>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</si>
  <si>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</si>
  <si>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</si>
  <si>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</si>
  <si>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</si>
  <si>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</si>
  <si>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</si>
  <si>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</si>
  <si>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</si>
  <si>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</si>
  <si>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</si>
  <si>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</si>
  <si>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</si>
  <si>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</si>
  <si>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</si>
  <si>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</si>
  <si>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</si>
  <si>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</si>
  <si>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</si>
  <si>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</si>
  <si>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</si>
  <si>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</si>
  <si>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</si>
  <si>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</si>
  <si>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</si>
  <si>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</si>
  <si>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</si>
  <si>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</si>
  <si>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</si>
  <si>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</si>
  <si>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</si>
  <si>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</si>
  <si>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</si>
  <si>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</si>
  <si>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</si>
  <si>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</si>
  <si>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</si>
  <si>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</si>
  <si>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</si>
  <si>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</si>
  <si>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</si>
  <si>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</si>
  <si>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</si>
  <si>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</si>
  <si>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</si>
  <si>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</si>
  <si>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</si>
  <si>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</si>
  <si>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</si>
  <si>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</si>
  <si>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</si>
  <si>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</si>
  <si>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</si>
  <si>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</si>
  <si>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</si>
  <si>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</si>
  <si>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</si>
  <si>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</si>
  <si>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</si>
  <si>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</si>
  <si>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</si>
  <si>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</si>
  <si>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</si>
  <si>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</si>
  <si>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</si>
  <si>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</si>
  <si>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</si>
  <si>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</si>
  <si>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</si>
  <si>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</si>
  <si>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</si>
  <si>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</si>
  <si>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</si>
  <si>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</si>
  <si>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</si>
  <si>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</si>
  <si>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</si>
  <si>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</si>
  <si>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</si>
  <si>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</si>
  <si>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</si>
  <si>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</si>
  <si>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</si>
  <si>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</si>
  <si>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</si>
  <si>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</si>
  <si>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</si>
  <si>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</si>
  <si>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</si>
  <si>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</si>
  <si>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</si>
  <si>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</si>
  <si>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</si>
  <si>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</si>
  <si>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</si>
  <si>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</si>
  <si>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</si>
  <si>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</si>
  <si>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</si>
  <si>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</si>
  <si>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</si>
  <si>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</si>
  <si>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</si>
  <si>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</si>
  <si>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</si>
  <si>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</si>
  <si>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</si>
  <si>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</si>
  <si>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</si>
  <si>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</si>
  <si>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</si>
  <si>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</si>
  <si>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</si>
  <si>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</si>
  <si>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</si>
  <si>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</si>
  <si>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</si>
  <si>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</si>
  <si>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</si>
  <si>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</si>
  <si>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</si>
  <si>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</si>
  <si>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</si>
  <si>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</si>
  <si>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</si>
  <si>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</si>
  <si>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</si>
  <si>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</si>
  <si>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</si>
  <si>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</si>
  <si>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</si>
  <si>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</si>
  <si>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</si>
  <si>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</si>
  <si>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</si>
  <si>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</si>
  <si>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</si>
  <si>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</si>
  <si>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</si>
  <si>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</si>
  <si>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</si>
  <si>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</si>
  <si>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</si>
  <si>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</si>
  <si>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</si>
  <si>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</si>
  <si>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</si>
  <si>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</si>
  <si>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</si>
  <si>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</si>
  <si>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</si>
  <si>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</si>
  <si>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</si>
  <si>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</si>
  <si>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</si>
  <si>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</si>
  <si>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</si>
  <si>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</si>
  <si>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</si>
  <si>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</si>
  <si>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</si>
  <si>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</si>
  <si>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</si>
  <si>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</si>
  <si>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</si>
  <si>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</si>
  <si>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</si>
  <si>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</si>
  <si>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</si>
  <si>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</si>
  <si>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</si>
  <si>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</si>
  <si>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</si>
  <si>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</si>
  <si>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</si>
  <si>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</si>
  <si>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</si>
  <si>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</si>
  <si>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</si>
  <si>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</si>
  <si>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</si>
  <si>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</si>
  <si>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</si>
  <si>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</si>
  <si>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</si>
  <si>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</si>
  <si>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</si>
  <si>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</si>
  <si>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</si>
  <si>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</si>
  <si>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</si>
  <si>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</si>
  <si>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</si>
  <si>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</si>
  <si>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</si>
  <si>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</si>
  <si>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</si>
  <si>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</si>
  <si>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</si>
  <si>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</si>
  <si>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</si>
  <si>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</si>
  <si>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</si>
  <si>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</si>
  <si>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</si>
  <si>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</si>
  <si>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</si>
  <si>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</si>
  <si>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</si>
  <si>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</si>
  <si>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</si>
  <si>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</si>
  <si>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</si>
  <si>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</si>
  <si>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</si>
  <si>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</si>
  <si>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</si>
  <si>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</si>
  <si>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</si>
  <si>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</si>
  <si>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</si>
  <si>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</si>
  <si>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</si>
  <si>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</si>
  <si>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</si>
  <si>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</si>
  <si>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</si>
  <si>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</si>
  <si>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</si>
  <si>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</si>
  <si>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</si>
  <si>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</si>
  <si>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</si>
  <si>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</si>
  <si>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</si>
  <si>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</si>
  <si>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</si>
  <si>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</si>
  <si>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</si>
  <si>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</si>
  <si>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</si>
  <si>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</si>
  <si>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</si>
  <si>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</si>
  <si>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</si>
  <si>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</si>
  <si>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</si>
  <si>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</si>
  <si>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</si>
  <si>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</si>
  <si>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</si>
  <si>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</si>
  <si>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</si>
  <si>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</si>
  <si>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</si>
  <si>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</si>
  <si>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</si>
  <si>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</si>
  <si>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</si>
  <si>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</si>
  <si>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</si>
  <si>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</si>
  <si>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</si>
  <si>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</si>
  <si>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</si>
  <si>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</si>
  <si>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</si>
  <si>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</si>
  <si>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</si>
  <si>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</si>
  <si>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</si>
  <si>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</si>
  <si>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</si>
  <si>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</si>
  <si>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</si>
  <si>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</si>
  <si>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</si>
  <si>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</si>
  <si>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</si>
  <si>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</si>
  <si>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</si>
  <si>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</si>
  <si>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</si>
  <si>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</si>
  <si>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</si>
  <si>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</si>
  <si>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</si>
  <si>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</si>
  <si>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</si>
  <si>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</si>
  <si>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</si>
  <si>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</si>
  <si>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</si>
  <si>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</si>
  <si>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</si>
  <si>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</si>
  <si>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</si>
  <si>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</si>
  <si>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</si>
  <si>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</si>
  <si>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</si>
  <si>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</si>
  <si>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</si>
  <si>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</si>
  <si>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</si>
  <si>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</si>
  <si>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</si>
  <si>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</si>
  <si>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</si>
  <si>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</si>
  <si>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</si>
  <si>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</si>
  <si>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</si>
  <si>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</si>
  <si>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</si>
  <si>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</si>
  <si>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</si>
  <si>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</si>
  <si>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</si>
  <si>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</si>
  <si>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</si>
  <si>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</si>
  <si>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</si>
  <si>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</si>
  <si>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</si>
  <si>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</si>
  <si>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</si>
  <si>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</si>
  <si>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</si>
  <si>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</si>
  <si>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</si>
  <si>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</si>
  <si>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</si>
  <si>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</si>
  <si>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</si>
  <si>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</si>
  <si>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</si>
  <si>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</si>
  <si>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</si>
  <si>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</si>
  <si>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</si>
  <si>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</si>
  <si>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</si>
  <si>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</si>
  <si>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payment and Firebase blocks; verify Firebase activation/entry mode and reuse completed WebView identity evidence</t>
  </si>
  <si>
    <t>DELTA one configuration revision per changed block; DELTA one Firebase subject/user/profile link</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</si>
  <si>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</si>
  <si>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</si>
  <si>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</si>
  <si>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</si>
  <si>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C01 Firebase changed Save/reopen/Auth/Message tests using normal Operator session; C02 activation/entry mode; C03 exact fixture/runtime restoration. HTTPS in Update.</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</si>
  <si>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</si>
  <si>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t>
  </si>
  <si>
    <t>60/145</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</si>
  <si>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</si>
  <si>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</si>
  <si>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</si>
  <si>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</si>
  <si>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</si>
  <si>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</si>
  <si>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</si>
  <si>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</si>
  <si>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</si>
  <si>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</si>
  <si>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</si>
  <si>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</si>
  <si>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</si>
  <si>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Open Updates, apply one prepared valid compatible release, observe its progress and reopen the Operator screen after completion; verify the managed HTTPS lifecycle on the same VMware target and restore both baselines</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</si>
  <si>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</si>
  <si>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</si>
  <si>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</si>
  <si>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DESIGN CAPTURED / NOT RUN</t>
  </si>
  <si>
    <t>Signature, corruption, downgrade, rollback and interrupted-worker branches belong to packaging/update automation</t>
  </si>
  <si>
    <t>User opens designated VMware target; record initial/target versions and recovery baseline, then execute Updates. Separate deployment/smoke/security/efficiency qualification table applies.</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</si>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</sst>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7</v>
      </c>
      <c r="I12" s="161" t="str">
        <f>COUNTIFS($C$16:$C$119,F12,$U$16:$U$119,"Done")&amp;" passed / "&amp;COUNTIF($C$16:$C$119,F12)&amp;" total ("&amp;IF(COUNTIF($C$16:$C$119,F12)=0,"0%",TEXT(COUNTIFS($C$16:$C$119,F12,$U$16:$U$119,"Done")/COUNTIF($C$16:$C$119,F12),"0%"))&amp;") · "&amp;SUMIFS($V$16:$V$119,$C$16:$C$119,F12,$U$16:$U$119,"&lt;&gt;Done")&amp;"/"&amp;SUMIFS($W$16:$W$119,$C$16:$C$119,F12,$U$16:$U$119,"&lt;&gt;Done")</f>
        <v>2 passed / 4 total (50%) · 90/225</v>
      </c>
      <c r="J12" s="162"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42</v>
      </c>
      <c r="D75" s="135" t="s">
        <v>42</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42</v>
      </c>
      <c r="D76" s="135" t="s">
        <v>42</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42</v>
      </c>
      <c r="D77" s="135" t="s">
        <v>42</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42</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42</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42</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42</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42</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42</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42</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42</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42</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42</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42</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42</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48</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48</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48</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48</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48</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48</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39</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39</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39</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39</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39</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45</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155</v>
      </c>
      <c r="C113" s="263" t="s">
        <v>45</v>
      </c>
      <c r="D113" s="135" t="s">
        <v>1065</v>
      </c>
      <c r="E113" s="135" t="s">
        <v>1066</v>
      </c>
      <c r="F113" s="135" t="s">
        <v>1067</v>
      </c>
      <c r="G113" s="135" t="s">
        <v>1068</v>
      </c>
      <c r="H113" s="135" t="s">
        <v>1069</v>
      </c>
      <c r="I113" s="135" t="s">
        <v>1070</v>
      </c>
      <c r="J113" s="135" t="s">
        <v>1071</v>
      </c>
      <c r="K113" s="135" t="s">
        <v>82</v>
      </c>
      <c r="L113" s="135" t="s">
        <v>1</v>
      </c>
      <c r="M113" s="135" t="s">
        <v>1</v>
      </c>
      <c r="N113" s="135" t="s">
        <v>1072</v>
      </c>
      <c r="O113" s="135" t="s">
        <v>1073</v>
      </c>
      <c r="P113" s="135" t="s">
        <v>1074</v>
      </c>
      <c r="Q113" s="135" t="s">
        <v>86</v>
      </c>
      <c r="R113" s="135" t="s">
        <v>1075</v>
      </c>
      <c r="S113" s="135" t="s">
        <v>248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1076</v>
      </c>
      <c r="B114" s="135" t="s">
        <v>155</v>
      </c>
      <c r="C114" s="263" t="s">
        <v>45</v>
      </c>
      <c r="D114" s="135" t="s">
        <v>1077</v>
      </c>
      <c r="E114" s="135" t="s">
        <v>1078</v>
      </c>
      <c r="F114" s="135" t="s">
        <v>1079</v>
      </c>
      <c r="G114" s="135" t="s">
        <v>1080</v>
      </c>
      <c r="H114" s="135" t="s">
        <v>1081</v>
      </c>
      <c r="I114" s="135" t="s">
        <v>1082</v>
      </c>
      <c r="J114" s="135" t="s">
        <v>1083</v>
      </c>
      <c r="K114" s="135" t="s">
        <v>82</v>
      </c>
      <c r="L114" s="135" t="s">
        <v>1</v>
      </c>
      <c r="M114" s="135" t="s">
        <v>1</v>
      </c>
      <c r="N114" s="135" t="s">
        <v>1072</v>
      </c>
      <c r="O114" s="135" t="s">
        <v>1084</v>
      </c>
      <c r="P114" s="135" t="s">
        <v>1085</v>
      </c>
      <c r="Q114" s="135" t="s">
        <v>86</v>
      </c>
      <c r="R114" s="135" t="s">
        <v>1086</v>
      </c>
      <c r="S114" s="135" t="s">
        <v>1087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155</v>
      </c>
      <c r="C115" s="263" t="s">
        <v>45</v>
      </c>
      <c r="D115" s="135" t="s">
        <v>1089</v>
      </c>
      <c r="E115" s="135" t="s">
        <v>1090</v>
      </c>
      <c r="F115" s="135" t="s">
        <v>1091</v>
      </c>
      <c r="G115" s="135" t="s">
        <v>1092</v>
      </c>
      <c r="H115" s="135" t="s">
        <v>1093</v>
      </c>
      <c r="I115" s="135" t="s">
        <v>1094</v>
      </c>
      <c r="J115" s="135" t="s">
        <v>1095</v>
      </c>
      <c r="K115" s="135" t="s">
        <v>86</v>
      </c>
      <c r="L115" s="135" t="s">
        <v>1</v>
      </c>
      <c r="M115" s="135" t="s">
        <v>1</v>
      </c>
      <c r="N115" s="135" t="s">
        <v>1072</v>
      </c>
      <c r="O115" s="135" t="s">
        <v>1096</v>
      </c>
      <c r="P115" s="135" t="s">
        <v>1097</v>
      </c>
      <c r="Q115" s="135" t="s">
        <v>86</v>
      </c>
      <c r="R115" s="135" t="s">
        <v>1098</v>
      </c>
      <c r="S115" s="135" t="s">
        <v>1099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1100</v>
      </c>
      <c r="B116" s="136" t="s">
        <v>155</v>
      </c>
      <c r="C116" s="243" t="s">
        <v>50</v>
      </c>
      <c r="D116" s="136" t="s">
        <v>1101</v>
      </c>
      <c r="E116" s="136" t="s">
        <v>1102</v>
      </c>
      <c r="F116" s="136" t="s">
        <v>4</v>
      </c>
      <c r="G116" s="136" t="s">
        <v>1103</v>
      </c>
      <c r="H116" s="136" t="s">
        <v>4</v>
      </c>
      <c r="I116" s="136" t="s">
        <v>1104</v>
      </c>
      <c r="J116" s="136" t="s">
        <v>1105</v>
      </c>
      <c r="K116" s="136" t="s">
        <v>1106</v>
      </c>
      <c r="L116" s="136" t="s">
        <v>1</v>
      </c>
      <c r="M116" s="136" t="s">
        <v>1</v>
      </c>
      <c r="N116" s="136" t="s">
        <v>1072</v>
      </c>
      <c r="O116" s="136" t="s">
        <v>1107</v>
      </c>
      <c r="P116" s="136" t="s">
        <v>1108</v>
      </c>
      <c r="Q116" s="136" t="s">
        <v>1109</v>
      </c>
      <c r="R116" s="136" t="s">
        <v>1110</v>
      </c>
      <c r="S116" s="136" t="s">
        <v>88</v>
      </c>
      <c r="T116" s="136"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5" t="s">
        <v>1112</v>
      </c>
      <c r="B117" s="135" t="s">
        <v>155</v>
      </c>
      <c r="C117" s="243" t="s">
        <v>50</v>
      </c>
      <c r="D117" s="135" t="s">
        <v>1113</v>
      </c>
      <c r="E117" s="135" t="s">
        <v>1114</v>
      </c>
      <c r="F117" s="135" t="s">
        <v>1115</v>
      </c>
      <c r="G117" s="135" t="s">
        <v>1116</v>
      </c>
      <c r="H117" s="135" t="s">
        <v>1117</v>
      </c>
      <c r="I117" s="135" t="s">
        <v>1118</v>
      </c>
      <c r="J117" s="135" t="s">
        <v>1119</v>
      </c>
      <c r="K117" s="135" t="s">
        <v>86</v>
      </c>
      <c r="L117" s="135" t="s">
        <v>86</v>
      </c>
      <c r="M117" s="135" t="s">
        <v>1</v>
      </c>
      <c r="N117" s="135" t="s">
        <v>1072</v>
      </c>
      <c r="O117" s="135" t="s">
        <v>1120</v>
      </c>
      <c r="P117" s="135" t="s">
        <v>1121</v>
      </c>
      <c r="Q117" s="135" t="s">
        <v>86</v>
      </c>
      <c r="R117" s="135" t="s">
        <v>1122</v>
      </c>
      <c r="S117" s="135" t="s">
        <v>88</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8" t="s">
        <v>1123</v>
      </c>
      <c r="B118" s="138" t="s">
        <v>155</v>
      </c>
      <c r="C118" s="243" t="s">
        <v>50</v>
      </c>
      <c r="D118" s="138" t="s">
        <v>1124</v>
      </c>
      <c r="E118" s="138" t="s">
        <v>1125</v>
      </c>
      <c r="F118" s="138" t="s">
        <v>4</v>
      </c>
      <c r="G118" s="138" t="s">
        <v>1126</v>
      </c>
      <c r="H118" s="138" t="s">
        <v>4</v>
      </c>
      <c r="I118" s="138" t="s">
        <v>1127</v>
      </c>
      <c r="J118" s="138" t="s">
        <v>1128</v>
      </c>
      <c r="K118" s="138" t="s">
        <v>1129</v>
      </c>
      <c r="L118" s="138" t="s">
        <v>1</v>
      </c>
      <c r="M118" s="138" t="s">
        <v>1</v>
      </c>
      <c r="N118" s="138" t="s">
        <v>1</v>
      </c>
      <c r="O118" s="138" t="s">
        <v>1130</v>
      </c>
      <c r="P118" s="138" t="s">
        <v>1131</v>
      </c>
      <c r="Q118" s="138" t="s">
        <v>1</v>
      </c>
      <c r="R118" s="138" t="s">
        <v>1132</v>
      </c>
      <c r="S118" s="138" t="s">
        <v>111</v>
      </c>
      <c r="T118" s="138" t="s">
        <v>1133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5" t="s">
        <v>1134</v>
      </c>
      <c r="B119" s="135" t="s">
        <v>155</v>
      </c>
      <c r="C119" s="243" t="s">
        <v>50</v>
      </c>
      <c r="D119" s="135" t="s">
        <v>1135</v>
      </c>
      <c r="E119" s="135" t="s">
        <v>1136</v>
      </c>
      <c r="F119" s="135" t="s">
        <v>1137</v>
      </c>
      <c r="G119" s="135" t="s">
        <v>1138</v>
      </c>
      <c r="H119" s="135" t="s">
        <v>4</v>
      </c>
      <c r="I119" s="135" t="s">
        <v>1139</v>
      </c>
      <c r="J119" s="135" t="s">
        <v>1140</v>
      </c>
      <c r="K119" s="135" t="s">
        <v>86</v>
      </c>
      <c r="L119" s="135" t="s">
        <v>86</v>
      </c>
      <c r="M119" s="135" t="s">
        <v>1</v>
      </c>
      <c r="N119" s="135" t="s">
        <v>1072</v>
      </c>
      <c r="O119" s="135" t="s">
        <v>1141</v>
      </c>
      <c r="P119" s="135" t="s">
        <v>1142</v>
      </c>
      <c r="Q119" s="135" t="s">
        <v>86</v>
      </c>
      <c r="R119" s="135" t="s">
        <v>1143</v>
      </c>
      <c r="S119" s="135" t="s">
        <v>991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