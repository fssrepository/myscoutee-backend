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<sst xmlns="http://schemas.openxmlformats.org/spreadsheetml/2006/main" count="3240" uniqueCount="1451">
  <si>
    <t>EFFECT / SCOPE MARKERS</t>
  </si>
  <si>
    <t/>
  </si>
  <si>
    <t>Done</t>
  </si>
  <si>
    <t>120 (83%)</t>
  </si>
  <si>
    <t>X</t>
  </si>
  <si>
    <t>No expected effect — An unchanged X cell is PASS</t>
  </si>
  <si>
    <t>Pending</t>
  </si>
  <si>
    <t>0</t>
  </si>
  <si>
    <t>DELTA</t>
  </si>
  <si>
    <t>Required direct effect — Record before/after count and direction</t>
  </si>
  <si>
    <t>Not started</t>
  </si>
  <si>
    <t>25</t>
  </si>
  <si>
    <t>INDIRECT</t>
  </si>
  <si>
    <t>Conditional effect — State the condition and prove it occurred</t>
  </si>
  <si>
    <t>Failed</t>
  </si>
  <si>
    <t>GAP</t>
  </si>
  <si>
    <t>Known observability gap — Record FAIL/GAP separately from domain PASS</t>
  </si>
  <si>
    <t>Total</t>
  </si>
  <si>
    <t>145</t>
  </si>
  <si>
    <t>DOMAIN PRIORITY</t>
  </si>
  <si>
    <t>QA domain</t>
  </si>
  <si>
    <t>Priority</t>
  </si>
  <si>
    <t>Progress / remaining min/max</t>
  </si>
  <si>
    <t>API test</t>
  </si>
  <si>
    <t>15</t>
  </si>
  <si>
    <t>5 passed / 8 total (62%) · 190/385</t>
  </si>
  <si>
    <t>Group</t>
  </si>
  <si>
    <t>8</t>
  </si>
  <si>
    <t>2 passed / 12 total (17%) · 120/285</t>
  </si>
  <si>
    <t>QA infrastructure</t>
  </si>
  <si>
    <t>14</t>
  </si>
  <si>
    <t>2 passed / 2 total (100%) · 0/0</t>
  </si>
  <si>
    <t>Content</t>
  </si>
  <si>
    <t>7</t>
  </si>
  <si>
    <t>3 passed / 4 total (75%) · 10/25</t>
  </si>
  <si>
    <t>Identity &amp; access</t>
  </si>
  <si>
    <t>13</t>
  </si>
  <si>
    <t>9 passed / 10 total (90%) · 10/25</t>
  </si>
  <si>
    <t>Notifications</t>
  </si>
  <si>
    <t>6</t>
  </si>
  <si>
    <t>6 passed / 6 total (100%) · 0/0</t>
  </si>
  <si>
    <t>Event</t>
  </si>
  <si>
    <t>12</t>
  </si>
  <si>
    <t>56 passed / 58 total (97%) · 20/50</t>
  </si>
  <si>
    <t>Administration</t>
  </si>
  <si>
    <t>5</t>
  </si>
  <si>
    <t>4 passed / 6 total (67%) · 20/50</t>
  </si>
  <si>
    <t>Tournament</t>
  </si>
  <si>
    <t>11</t>
  </si>
  <si>
    <t>15 passed / 16 total (94%) · 10/25</t>
  </si>
  <si>
    <t>General UI</t>
  </si>
  <si>
    <t>4</t>
  </si>
  <si>
    <t>0 passed / 2 total (0%) · 70/145</t>
  </si>
  <si>
    <t>Chat</t>
  </si>
  <si>
    <t>10</t>
  </si>
  <si>
    <t>6 passed / 9 total (67%) · 50/110</t>
  </si>
  <si>
    <t>Operator</t>
  </si>
  <si>
    <t>3</t>
  </si>
  <si>
    <t>5 passed / 5 total (100%) · 0/0</t>
  </si>
  <si>
    <t>Asset</t>
  </si>
  <si>
    <t>9</t>
  </si>
  <si>
    <t>7 passed / 7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</si>
  <si>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</si>
  <si>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</si>
  <si>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</si>
  <si>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</si>
  <si>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</si>
  <si>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</si>
  <si>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</si>
  <si>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</si>
  <si>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</si>
  <si>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</si>
  <si>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</si>
  <si>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</si>
  <si>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</si>
  <si>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</si>
  <si>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</si>
  <si>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</si>
  <si>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</si>
  <si>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</si>
  <si>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</si>
  <si>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</si>
  <si>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</si>
  <si>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</si>
  <si>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</si>
  <si>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</si>
  <si>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</si>
  <si>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</si>
  <si>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</si>
  <si>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</si>
  <si>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</si>
  <si>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</si>
  <si>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</si>
  <si>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</si>
  <si>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</si>
  <si>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</si>
  <si>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</si>
  <si>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</si>
  <si>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</si>
  <si>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</si>
  <si>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</si>
  <si>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</si>
  <si>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</si>
  <si>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</si>
  <si>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</si>
  <si>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</si>
  <si>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</si>
  <si>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</si>
  <si>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</si>
  <si>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</si>
  <si>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</si>
  <si>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</si>
  <si>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</si>
  <si>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</si>
  <si>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</si>
  <si>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</si>
  <si>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</si>
  <si>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</si>
  <si>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</si>
  <si>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</si>
  <si>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</si>
  <si>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</si>
  <si>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</si>
  <si>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</si>
  <si>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</si>
  <si>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</si>
  <si>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</si>
  <si>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</si>
  <si>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</si>
  <si>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</si>
  <si>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</si>
  <si>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</si>
  <si>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</si>
  <si>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</si>
  <si>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</si>
  <si>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CLOSED / PASS — recorded dev scope</t>
  </si>
  <si>
    <t>PASS — 7/7 ordered blocks; HTTP/simulator</t>
  </si>
  <si>
    <t>PASS — keys, profile isolation and EN/HU help; external OAuth N/A</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</si>
  <si>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</si>
  <si>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 ordered delegated UI/HTTP campaign7/7 PASS; focused payment backend7/7 and frontend14/14 PASS; six package structural checks PASS; existing build owners verified.</t>
  </si>
  <si>
    <t>Closed. Actual ChatGPT/Claude/Codex installation and conversation acceptance is standalone post-deployment smoke, outside this QA case.</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</si>
  <si>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 | 2026-09-28 CLOSED: ordered blocks1–7 PASS in dev HTTP/simulator plus local key/help scope. Actual entry/admission, paid invitation EUR5, cash EUR7 exclusion, Inspector OAuth callback/private Event, generated manual credentials, denial/profile isolation, failed-write retry and EN/HU help verified. Scoped fixture/session/media reset exact; saved provider card deleted and optional Inspector/managed browsers closed. Full details and limits: guides/qa/evidence/INTEGRATION-API-GROUP-001-20260928.md; ordered JSON alongside. No live vendor installation claimed.</t>
  </si>
  <si>
    <t>P0 85</t>
  </si>
  <si>
    <t>MSC115-CAMPAIGN-API</t>
  </si>
  <si>
    <t>Flow</t>
  </si>
  <si>
    <t>Campaign create through existing API/MCP architecture</t>
  </si>
  <si>
    <t>1. Use the existing integration authorization in the Work profile and create a Campaign with the supported create capability. | 2. Check it appears as the same model in Campaigns and respects actor/group ownership. A different group identity must not create or modify it on behalf of the owner. | 3. Listing remains outside the requested public capability. Verify existing event/group create calls retain their contracts.</t>
  </si>
  <si>
    <t>See guides/plans/MULTI_GROUP_PRODUCT_DIRECTION_2026_10.md; code/build checks do not establish manual PASS.</t>
  </si>
  <si>
    <t>Actors: Authorized Work member API/MCP identity. Follow guides/qa/checklists/MSC-115_WORK_COMMUNITY_PAIR_QA.md and the numbered scenario.</t>
  </si>
  <si>
    <t>Prepared 2026-10-05 from user requirements. No browser actions or live data mutation performed. Preserve other completed campaign checkpoints. | 2026-10-06 conversation reconciliation: MSC-115 checklist updated; full flow remains NOT RUN.</t>
  </si>
  <si>
    <t>P1</t>
  </si>
  <si>
    <t>10/25</t>
  </si>
  <si>
    <t>INTEGRATION-ACCESS-001</t>
  </si>
  <si>
    <t>Feature extension</t>
  </si>
  <si>
    <t>API/MCP access packs</t>
  </si>
  <si>
    <t>MSC-116 contextual three-pack selectors; atomic parent save; HTTP/local parity; OAuth/discovery downgrade; domain access and personal-decision exclusion</t>
  </si>
  <si>
    <t>Existing operation and error evidence only</t>
  </si>
  <si>
    <t>See stable checklist</t>
  </si>
  <si>
    <t>NOT RUN — extension pending</t>
  </si>
  <si>
    <t>Focused regression source prepared; execution deferred by user. 2026-10-07 Help-only watcher-AOT check PASS: enabled parent/child contexts, EN/HU in Dating/Work/Community, bounded loads and cleanup; scoped/local/Mongo seed parity PASS. Permission enforcement remains untested here.</t>
  </si>
  <si>
    <t>Run checklists/api/INTEGRATION-ACCESS-001.md with candidate backend, frontend, Java client 1.5.0 and MCP 1.4.0.</t>
  </si>
  <si>
    <t>MSC-116. Watcher compilation and schema generation are not behavioral QA. Existing guide/API PASS does not cover this extension. | 2026-10-07: fixed missing profile.integration-access enabled-surface registration and Work/Community child guide content; existing parent shield and level/Apply/Close steps reused. guides/qa/evidence/general/EXPLANATION-GUIDE-001-20261007.md. Section 4 now names the manual Help checks. Manual status unchanged.</t>
  </si>
  <si>
    <t>90/180</t>
  </si>
  <si>
    <t>MCP-EVENTS-001</t>
  </si>
  <si>
    <t>MCP Events and OAuth users</t>
  </si>
  <si>
    <t>MSC-116 durable signed subscriptions; independent user grants; virtual-thread throttling and bounded queue</t>
  </si>
  <si>
    <t>Queue status; sanitized protocol error categories</t>
  </si>
  <si>
    <t>Existing integration-webhooks worker</t>
  </si>
  <si>
    <t>EN/HU MCP guide; host subscription flow</t>
  </si>
  <si>
    <t>N/A — external callbacks require backend</t>
  </si>
  <si>
    <t>Java/Go regression source prepared; execution deferred by user.</t>
  </si>
  <si>
    <t>Run checklists/api/MCP-EVENTS-001.md against candidate backend and MCP 1.5.0.</t>
  </si>
  <si>
    <t>Source/build evidence only; no live ChatGPT callback or load test yet.</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</si>
  <si>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</si>
  <si>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</si>
  <si>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</si>
  <si>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</si>
  <si>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</si>
  <si>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</si>
  <si>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</si>
  <si>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</si>
  <si>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</si>
  <si>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</si>
  <si>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</si>
  <si>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</si>
  <si>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</si>
  <si>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</si>
  <si>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</si>
  <si>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</si>
  <si>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</si>
  <si>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</si>
  <si>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</si>
  <si>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</si>
  <si>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</si>
  <si>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</si>
  <si>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</si>
  <si>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</si>
  <si>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</si>
  <si>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</si>
  <si>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</si>
  <si>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</si>
  <si>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</si>
  <si>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</si>
  <si>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</si>
  <si>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</si>
  <si>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</si>
  <si>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</si>
  <si>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</si>
  <si>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</si>
  <si>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</si>
  <si>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</si>
  <si>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</si>
  <si>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</si>
  <si>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</si>
  <si>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</si>
  <si>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</si>
  <si>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</si>
  <si>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 | Later user-authorized fresh anonymous browser evidence: guides/qa/evidence/general/EXPLANATION-GUIDE-001-20261007.md, landing follow-up. No full manual case replay, acceptance/registration or fixture reset; historical status preserved.</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</si>
  <si>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</si>
  <si>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</si>
  <si>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</si>
  <si>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</si>
  <si>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</si>
  <si>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</si>
  <si>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</si>
  <si>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</si>
  <si>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</si>
  <si>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</si>
  <si>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</si>
  <si>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</si>
  <si>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</si>
  <si>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</si>
  <si>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</si>
  <si>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</si>
  <si>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</si>
  <si>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</si>
  <si>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</si>
  <si>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</si>
  <si>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</si>
  <si>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</si>
  <si>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</si>
  <si>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</si>
  <si>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</si>
  <si>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</si>
  <si>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</si>
  <si>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</si>
  <si>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</si>
  <si>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</si>
  <si>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</si>
  <si>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</si>
  <si>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</si>
  <si>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</si>
  <si>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</si>
  <si>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</si>
  <si>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</si>
  <si>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</si>
  <si>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</si>
  <si>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</si>
  <si>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</si>
  <si>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</si>
  <si>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</si>
  <si>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</si>
  <si>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</si>
  <si>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</si>
  <si>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</si>
  <si>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</si>
  <si>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</si>
  <si>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</si>
  <si>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</si>
  <si>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</si>
  <si>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</si>
  <si>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</si>
  <si>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</si>
  <si>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</si>
  <si>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</si>
  <si>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</si>
  <si>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</si>
  <si>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</si>
  <si>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Configured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</si>
  <si>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</si>
  <si>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 permission retry</t>
  </si>
  <si>
    <t>DELTA normal authenticated session and provider outcomes</t>
  </si>
  <si>
    <t>No demo substitution for real provider authentication; no cross-account grant or pending-coordinate leakage</t>
  </si>
  <si>
    <t>CLOSED / PASS</t>
  </si>
  <si>
    <t>N/A</t>
  </si>
  <si>
    <t>Supporting tests:63 focused entry/Setup/location tests PASS, including demo admission;20 menu tests PASS including HU double-translation regression. These do not replace configured-provider/device evidence. | Corrected permission-grant timer:38 focused Setup/location tests PASS; production build63e45751e41b-20260928075329 deployed.</t>
  </si>
  <si>
    <t>Closed.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</si>
  <si>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 | 2026-09-28: user delegated full-flow QA on their Android phone. VMware production runtime1.3.0 prepared; final DEB upgrade remains pending. Production parity audit found/fixed packaged session-limit/Integration URL forwarding and retained help-v3 migration; see guides/qualification/evidence/PROD_PARITY_20260928.md. No checklist PASS inferred. User explicitly requests separate iOS block7 IGNORED because no iPhone/iPad; blocks1–6 can close this case independently. IGNORED is not a claim that iOS is unsupported. | 2026-09-28: production UI build0f723f2d23a0-20260928044638 running on VMware. Physical required Setup→Update→Close→Google login observed; user second Google account reached registration, initial Mongo absence query omitted firebaseUid and is not valid fresh-record evidence. Full1.1 remains incomplete. See PROD_PARITY_20260928.md. | Current continuation2026-09-28: registration completed; authoritative profile HTTP200, Mongo point matches request, pending point cleared, IndexedDB checked independently. Children repair production build050359 deployed;1.2 user verification pending. Former block4 merged into1; reporting is4, Android5, iOS6 IGNORED. See PROD_PARITY_20260928.md for baseline limitation and current evidence. | User confirmed Children label repair on phone (“jo lett a gyerek”); remaining1.2 assertions stay open. | 2026-09-28 current order: Firebase1 retained, no completed-check replay; machine2 active, desktop OAuth3, Android4 last. iOS removed from active scope by user. Saved-point login and location retry observed; controls restored. UI06450 deployed, backend JAR matches. Disposable help importer/migration PASS, configured HU/EN HTTP200; MCP/full boundary pending. See parity evidence. | Final user clarification: machine1 first, OAuth2, single mobile3 block retaining Firebase3.1; skip completed Firebase assertions. HU/EN canonical HTTP and MCP17-topic reads PASS. Private outsider8 direct requests denied403/404, existing chat controls verified separately; DB unchanged and scoped fixture restored. OAuth discovery and5 initial invalid-request probes PASS; grant-dependent cases pending. GitHub chooser needs signed-in session. | OAuth2.1: official Inspector on physical phone connected with existing real Firebase session, correct base-profile discovery and successful account-owned event read. No injected grant. Desktop unused client removed; phone client captured, pending revocation/cleanup. User requires all remaining browser actions on phone in numbered order. | OAuth2.2 reconnect, cancellation(no grant), retry and protocol negatives PASS; expired-code deadline prepared by scoped fixture.2.3 normal phone logout: OAuth/API200 and old browser401. Await user sign-in for explicit revocation. Three Inspector clients and one QA API key retained in harness; cleanup pending. See DEPLOY_OAUTH_20260928.json. | OAuth2.1–2.4 PASS/CLOSED: normal phone logout retained independent OAuth/API access200 and rejected old browser401; explicit ordinary endpoint revocations then rejected both credentials401. Three captured clients and one QA key exactly restored, zero remaining. Inspector stopped, owned tabs/callback6274 and private credentials removed; original8443 transport and real account/Event retained. Next: finish audit of1.1–1.4 before3, per user. | 1.4 PASS: authenticated actual GitHub chooser and all three Bug/Feature/Question forms opened on physical Android; concise fields match versioned templates. No issue submitted. See DEPLOY_GITHUB_20260928.json. Blocks1.2/1.3 and2 remain complete;1.1 retains verified importer/migration/HTTP/MCP scope and documented standalone-deployment limitation, with no restart per user. | 2026-09-28 CLOSED / PASS. Exact fixture reset complete. Next work: VMware DEB1.3.0 upgrade.</t>
  </si>
  <si>
    <t>P2 60</t>
  </si>
  <si>
    <t>MSC115-LANDING</t>
  </si>
  <si>
    <t>Shared landing and demo selection</t>
  </si>
  <si>
    <t>1. Open the normal entry URL: Dating is selected. Switch to Work and Community using the existing header AppMenu at desktop and mobile width. | 2. Check the unchanged page structure and MyScoutee logo; check mode-specific heading, slideshow (including the fourth explanation image), articles, footer and guide step. Follow-us links are the same in all three modes, including a fresh local landing before opening the demo picker. This public load creates no demo users or operator record; saved operator overrides, including an empty social-link list, remain authoritative. Returning to a mode reuses its loaded content. | 3. Open the demo picker for each mode. Confirm membership-based availability, including people who belong to more than one base group. Cards show normal name/profile metadata without overlapping group labels, and rows align at the top. Login still resolves the account/profile through the existing flow. | 4. Check UK in supported areas. Seeded users have plausible covered-area coordinates; only the designated location-prompt demo actors request location.</t>
  </si>
  <si>
    <t>See guides/plans/MULTI_GROUP_PRODUCT_DIRECTION_2026_10.md; code/build checks do not establish manual PASS. | 2026-10-07: compiled main-group identity/global paging checks and read-only HTTP paging/sync PASS; guides/qa/evidence/work-community/MAIN-GROUPS-20261007.md.</t>
  </si>
  <si>
    <t>Website consent once across modes/groups; eight full EN/HU articles and unique images; green/multicolor theme; social icons/retry; aligned Read more; stable login/logout route, translated labels and ring. | Main-group landing label/icon/color after login; Groups base cards once at the entire filtered list start before pagination, never repeated per mobile page; private identity and counters retained.</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</si>
  <si>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</si>
  <si>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</si>
  <si>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</si>
  <si>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</si>
  <si>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</si>
  <si>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</si>
  <si>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</si>
  <si>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</si>
  <si>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</si>
  <si>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</si>
  <si>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</si>
  <si>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</si>
  <si>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</si>
  <si>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</si>
  <si>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</si>
  <si>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</si>
  <si>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</si>
  <si>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</si>
  <si>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</si>
  <si>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</si>
  <si>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</si>
  <si>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</si>
  <si>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</si>
  <si>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</si>
  <si>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</si>
  <si>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</si>
  <si>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</si>
  <si>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</si>
  <si>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</si>
  <si>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</si>
  <si>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</si>
  <si>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</si>
  <si>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</si>
  <si>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</si>
  <si>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</si>
  <si>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</si>
  <si>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</si>
  <si>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</si>
  <si>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</si>
  <si>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</si>
  <si>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</si>
  <si>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</si>
  <si>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</si>
  <si>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</si>
  <si>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</si>
  <si>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</si>
  <si>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</si>
  <si>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</si>
  <si>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</si>
  <si>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</si>
  <si>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</si>
  <si>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</si>
  <si>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</si>
  <si>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</si>
  <si>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</si>
  <si>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</si>
  <si>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</si>
  <si>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</si>
  <si>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</si>
  <si>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</si>
  <si>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</si>
  <si>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</si>
  <si>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</si>
  <si>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</si>
  <si>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</si>
  <si>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</si>
  <si>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</si>
  <si>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</si>
  <si>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</si>
  <si>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</si>
  <si>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</si>
  <si>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</si>
  <si>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</si>
  <si>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</si>
  <si>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</si>
  <si>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</si>
  <si>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</si>
  <si>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</si>
  <si>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</si>
  <si>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</si>
  <si>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</si>
  <si>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</si>
  <si>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</si>
  <si>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</si>
  <si>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</si>
  <si>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</si>
  <si>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</si>
  <si>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</si>
  <si>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</si>
  <si>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</si>
  <si>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</si>
  <si>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</si>
  <si>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</si>
  <si>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</si>
  <si>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</si>
  <si>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</si>
  <si>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</si>
  <si>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</si>
  <si>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</si>
  <si>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</si>
  <si>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</si>
  <si>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</si>
  <si>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</si>
  <si>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</si>
  <si>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</si>
  <si>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</si>
  <si>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</si>
  <si>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</si>
  <si>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</si>
  <si>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</si>
  <si>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</si>
  <si>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</si>
  <si>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</si>
  <si>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</si>
  <si>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</si>
  <si>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</si>
  <si>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</si>
  <si>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</si>
  <si>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</si>
  <si>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</si>
  <si>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</si>
  <si>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</si>
  <si>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</si>
  <si>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</si>
  <si>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</si>
  <si>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</si>
  <si>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</si>
  <si>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</si>
  <si>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</si>
  <si>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</si>
  <si>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</si>
  <si>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</si>
  <si>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</si>
  <si>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</si>
  <si>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</si>
  <si>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</si>
  <si>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</si>
  <si>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</si>
  <si>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</si>
  <si>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</si>
  <si>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</si>
  <si>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</si>
  <si>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</si>
  <si>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</si>
  <si>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</si>
  <si>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</si>
  <si>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</si>
  <si>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</si>
  <si>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</si>
  <si>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</si>
  <si>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</si>
  <si>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</si>
  <si>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</si>
  <si>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</si>
  <si>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</si>
  <si>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</si>
  <si>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</si>
  <si>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</si>
  <si>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</si>
  <si>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</si>
  <si>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</si>
  <si>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</si>
  <si>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</si>
  <si>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</si>
  <si>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</si>
  <si>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</si>
  <si>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</si>
  <si>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</si>
  <si>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</si>
  <si>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</si>
  <si>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</si>
  <si>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</si>
  <si>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</si>
  <si>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</si>
  <si>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</si>
  <si>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</si>
  <si>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</si>
  <si>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</si>
  <si>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</si>
  <si>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</si>
  <si>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</si>
  <si>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</si>
  <si>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</si>
  <si>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</si>
  <si>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</si>
  <si>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</si>
  <si>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</si>
  <si>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</si>
  <si>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</si>
  <si>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</si>
  <si>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</si>
  <si>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</si>
  <si>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</si>
  <si>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</si>
  <si>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</si>
  <si>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</si>
  <si>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</si>
  <si>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</si>
  <si>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</si>
  <si>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</si>
  <si>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</si>
  <si>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</si>
  <si>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</si>
  <si>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</si>
  <si>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</si>
  <si>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</si>
  <si>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</si>
  <si>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</si>
  <si>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</si>
  <si>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</si>
  <si>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</si>
  <si>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</si>
  <si>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</si>
  <si>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</si>
  <si>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</si>
  <si>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</si>
  <si>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</si>
  <si>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</si>
  <si>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</si>
  <si>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</si>
  <si>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</si>
  <si>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</si>
  <si>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</si>
  <si>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</si>
  <si>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</si>
  <si>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</si>
  <si>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</si>
  <si>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</si>
  <si>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</si>
  <si>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</si>
  <si>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</si>
  <si>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</si>
  <si>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</si>
  <si>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</si>
  <si>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</si>
  <si>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</si>
  <si>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</si>
  <si>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</si>
  <si>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</si>
  <si>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</si>
  <si>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</si>
  <si>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</si>
  <si>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</si>
  <si>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</si>
  <si>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</si>
  <si>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</si>
  <si>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</si>
  <si>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</si>
  <si>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</si>
  <si>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</si>
  <si>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</si>
  <si>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</si>
  <si>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</si>
  <si>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</si>
  <si>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</si>
  <si>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</si>
  <si>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</si>
  <si>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</si>
  <si>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</si>
  <si>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</si>
  <si>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</si>
  <si>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</si>
  <si>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</si>
  <si>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</si>
  <si>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</si>
  <si>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</si>
  <si>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</si>
  <si>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</si>
  <si>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</si>
  <si>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</si>
  <si>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</si>
  <si>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</si>
  <si>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</si>
  <si>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</si>
  <si>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</si>
  <si>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</si>
  <si>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</si>
  <si>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</si>
  <si>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</si>
  <si>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</si>
  <si>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</si>
  <si>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</si>
  <si>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</si>
  <si>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</si>
  <si>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</si>
  <si>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</si>
  <si>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</si>
  <si>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</si>
  <si>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</si>
  <si>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</si>
  <si>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</si>
  <si>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</si>
  <si>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</si>
  <si>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</si>
  <si>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</si>
  <si>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</si>
  <si>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</si>
  <si>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</si>
  <si>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</si>
  <si>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</si>
  <si>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</si>
  <si>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</si>
  <si>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</si>
  <si>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</si>
  <si>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</si>
  <si>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</si>
  <si>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</si>
  <si>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</si>
  <si>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</si>
  <si>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</si>
  <si>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</si>
  <si>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</si>
  <si>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</si>
  <si>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</si>
  <si>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</si>
  <si>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</si>
  <si>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</si>
  <si>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</si>
  <si>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</si>
  <si>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</si>
  <si>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</si>
  <si>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</si>
  <si>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</si>
  <si>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</si>
  <si>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</si>
  <si>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</si>
  <si>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</si>
  <si>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</si>
  <si>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</si>
  <si>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</si>
  <si>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</si>
  <si>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</si>
  <si>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</si>
  <si>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</si>
  <si>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</si>
  <si>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</si>
  <si>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</si>
  <si>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</si>
  <si>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</si>
  <si>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</si>
  <si>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</si>
  <si>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</si>
  <si>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</si>
  <si>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</si>
  <si>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</si>
  <si>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</si>
  <si>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</si>
  <si>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</si>
  <si>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</si>
  <si>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</si>
  <si>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</si>
  <si>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</si>
  <si>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</si>
  <si>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</si>
  <si>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</si>
  <si>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</si>
  <si>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</si>
  <si>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</si>
  <si>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</si>
  <si>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</si>
  <si>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</si>
  <si>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</si>
  <si>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</si>
  <si>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</si>
  <si>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</si>
  <si>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</si>
  <si>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</si>
  <si>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</si>
  <si>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</si>
  <si>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</si>
  <si>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</si>
  <si>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</si>
  <si>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</si>
  <si>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</si>
  <si>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</si>
  <si>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</si>
  <si>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</si>
  <si>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</si>
  <si>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</si>
  <si>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</si>
  <si>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</si>
  <si>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</si>
  <si>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</si>
  <si>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</si>
  <si>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</si>
  <si>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</si>
  <si>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</si>
  <si>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</si>
  <si>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</si>
  <si>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</si>
  <si>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</si>
  <si>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</si>
  <si>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</si>
  <si>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</si>
  <si>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</si>
  <si>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</si>
  <si>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</si>
  <si>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</si>
  <si>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</si>
  <si>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</si>
  <si>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</si>
  <si>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</si>
  <si>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</si>
  <si>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</si>
  <si>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</si>
  <si>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</si>
  <si>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</si>
  <si>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</si>
  <si>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</si>
  <si>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</si>
  <si>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</si>
  <si>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</si>
  <si>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</si>
  <si>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</si>
  <si>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</si>
  <si>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</si>
  <si>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</si>
  <si>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</si>
  <si>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</si>
  <si>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</si>
  <si>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</si>
  <si>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</si>
  <si>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</si>
  <si>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</si>
  <si>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</si>
  <si>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</si>
  <si>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</si>
  <si>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</si>
  <si>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</si>
  <si>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</si>
  <si>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</si>
  <si>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</si>
  <si>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</si>
  <si>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</si>
  <si>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</si>
  <si>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</si>
  <si>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</si>
  <si>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</si>
  <si>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</si>
  <si>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</si>
  <si>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</si>
  <si>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</si>
  <si>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</si>
  <si>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</si>
  <si>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</si>
  <si>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</si>
  <si>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</si>
  <si>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</si>
  <si>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</si>
  <si>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</si>
  <si>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</si>
  <si>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</si>
  <si>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</si>
  <si>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</si>
  <si>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</si>
  <si>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</si>
  <si>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</si>
  <si>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</si>
  <si>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</si>
  <si>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</si>
  <si>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</si>
  <si>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</si>
  <si>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</si>
  <si>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</si>
  <si>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</si>
  <si>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</si>
  <si>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</si>
  <si>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</si>
  <si>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</si>
  <si>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</si>
  <si>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</si>
  <si>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</si>
  <si>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</si>
  <si>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</si>
  <si>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</si>
  <si>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</si>
  <si>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</si>
  <si>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</si>
  <si>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</si>
  <si>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</si>
  <si>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</si>
  <si>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</si>
  <si>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</si>
  <si>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</si>
  <si>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</si>
  <si>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</si>
  <si>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</si>
  <si>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</si>
  <si>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</si>
  <si>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</si>
  <si>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</si>
  <si>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</si>
  <si>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</si>
  <si>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</si>
  <si>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</si>
  <si>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</si>
  <si>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</si>
  <si>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</si>
  <si>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</si>
  <si>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</si>
  <si>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</si>
  <si>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</si>
  <si>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</si>
  <si>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</si>
  <si>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</si>
  <si>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</si>
  <si>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</si>
  <si>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</si>
  <si>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</si>
  <si>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</si>
  <si>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</si>
  <si>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</si>
  <si>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</si>
  <si>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</si>
  <si>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</si>
  <si>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</si>
  <si>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</si>
  <si>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</si>
  <si>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</si>
  <si>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</si>
  <si>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</si>
  <si>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</si>
  <si>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</si>
  <si>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</si>
  <si>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</si>
  <si>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</si>
  <si>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</si>
  <si>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</si>
  <si>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</si>
  <si>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</si>
  <si>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</si>
  <si>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</si>
  <si>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</si>
  <si>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</si>
  <si>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</si>
  <si>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</si>
  <si>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</si>
  <si>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</si>
  <si>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</si>
  <si>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</si>
  <si>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</si>
  <si>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</si>
  <si>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</si>
  <si>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</si>
  <si>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</si>
  <si>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</si>
  <si>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</si>
  <si>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</si>
  <si>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</si>
  <si>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</si>
  <si>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</si>
  <si>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</si>
  <si>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</si>
  <si>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</si>
  <si>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</si>
  <si>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</si>
  <si>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</si>
  <si>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</si>
  <si>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</si>
  <si>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EVENT-PAST-BADGES-001</t>
  </si>
  <si>
    <t>Regression follow-up</t>
  </si>
  <si>
    <t>Time-bound activity badges</t>
  </si>
  <si>
    <t>Stored Event badges before/after expiry, subsequent write-side recount and repeated worker; Rates excluded</t>
  </si>
  <si>
    <t>Close past events; Followed expiry; batch implementation retained</t>
  </si>
  <si>
    <t>Event dropdown All binding; Event scopes, Tickets and Followed time boundaries</t>
  </si>
  <si>
    <t>PASS / CLOSED (server expiry regression)</t>
  </si>
  <si>
    <t>PARTIAL</t>
  </si>
  <si>
    <t>2026-09-30</t>
  </si>
  <si>
    <t>20/20 focused Java tests; existing dev scheduler and real HTTP watch/unwatch; start fallback and real 90-second end boundary; exact fixture reset.</t>
  </si>
  <si>
    <t>None in the requested server expiry/recount scope. Frontend-local and new Ticket/Followed end-to-end coverage are not claimed.</t>
  </si>
  <si>
    <t>2026-09-30 focused closure: real HTTP All/Hosting2 before end; existing expiry worker1 afterward; genuine watch/unwatch recount remains1; repeated scheduled pass0 with unchanged event/control/full activity counters. Start-only fallback/future control also passed. Job first total2 is expired source1 plus existing friendship projection1. Java tests13+7 PASS; test-only compilation with backend stopped serially and restored. Original expiry batch implementation unchanged; no new Past job. Exact fixture reset and zero owned leftovers;12 retained manual markers preserved. See guides/qa/evidence/event/EVENT-PAST-BADGES-001-20260930.md and JSON. Local PARTIAL retains the unrun local-adapter boundary.</t>
  </si>
  <si>
    <t>MSC115-WORK-EVENT</t>
  </si>
  <si>
    <t>Campaign-scoped invitation, capacity and related filters</t>
  </si>
  <si>
    <t>1. Create an event and select a Campaign through the existing selector-style control. Check capacity and priority-based invitation behavior. | 2. Open Events, select a Campaign filter and verify its title/subtitle, paging and displayed events. Clear the filter to return to all events. | 3. Check the Campaign filter in event feedback. Campaign chats use their own bucket; a whole-chat-list Campaign filter is deferred. Verify event creation, invitation, acceptance/removal and feedback notifications reach other affected participants only. | 4. Check that the scheduled random event generator does not create Work rooms.</t>
  </si>
  <si>
    <t>Actors: Work event organizer and candidates. Follow guides/qa/checklists/MSC-115_WORK_COMMUNITY_PAIR_QA.md and the numbered scenario.</t>
  </si>
  <si>
    <t>MSC115-PAYMENT</t>
  </si>
  <si>
    <t>Group-scoped history, member basket and manual transfer</t>
  </si>
  <si>
    <t>1. Open Payment history. The member control and expense/income totals share the second header row. The member button shows its avatar/count when selected and ends with a chevron; no selection shows All. Select one member with +, then confirm an empty basket to return to All. Check paging and both directions. | 2. Record cash received and bank transfer received from another member with amount/currency/note. Cash/transfer menu items and selected trigger use contextual icons/colors. Check matching historical entries, contextual method badge and payer-only notification. | 3. Retry the same save; check one receipt. Delete or request/approve a permitted manual refund and verify both histories/counters. No provider gateway is invoked for manual cash/transfer. | 4. Switch profile/group and verify filter/context isolation. Global profile totals are not replaced by the selected member subtotal. Alex’s local demo cards/payments match canonical demo amounts/dates and real counterparties.</t>
  </si>
  <si>
    <t>Actors: Two members in each of Dating, Work and Community. Follow guides/qa/checklists/MSC-115_WORK_COMMUNITY_PAIR_QA.md and the numbered scenario.</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</si>
  <si>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</si>
  <si>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</si>
  <si>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</si>
  <si>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</si>
  <si>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</si>
  <si>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</si>
  <si>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</si>
  <si>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</si>
  <si>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</si>
  <si>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</si>
  <si>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</si>
  <si>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</si>
  <si>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</si>
  <si>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</si>
  <si>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</si>
  <si>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</si>
  <si>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</si>
  <si>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</si>
  <si>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</si>
  <si>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</si>
  <si>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</si>
  <si>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</si>
  <si>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</si>
  <si>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</si>
  <si>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</si>
  <si>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</si>
  <si>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</si>
  <si>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</si>
  <si>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</si>
  <si>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</si>
  <si>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</si>
  <si>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</si>
  <si>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</si>
  <si>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</si>
  <si>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</si>
  <si>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</si>
  <si>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</si>
  <si>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</si>
  <si>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</si>
  <si>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</si>
  <si>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</si>
  <si>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</si>
  <si>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</si>
  <si>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</si>
  <si>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</si>
  <si>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</si>
  <si>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</si>
  <si>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</si>
  <si>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</si>
  <si>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</si>
  <si>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</si>
  <si>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</si>
  <si>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</si>
  <si>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</si>
  <si>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</si>
  <si>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</si>
  <si>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</si>
  <si>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</si>
  <si>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</si>
  <si>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</si>
  <si>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</si>
  <si>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</si>
  <si>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</si>
  <si>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</si>
  <si>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</si>
  <si>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</si>
  <si>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</si>
  <si>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</si>
  <si>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</si>
  <si>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</si>
  <si>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</si>
  <si>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</si>
  <si>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</si>
  <si>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</si>
  <si>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</si>
  <si>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</si>
  <si>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</si>
  <si>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</si>
  <si>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</si>
  <si>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</si>
  <si>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</si>
  <si>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</si>
  <si>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</si>
  <si>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</si>
  <si>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</si>
  <si>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</si>
  <si>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</si>
  <si>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</si>
  <si>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</si>
  <si>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</si>
  <si>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</si>
  <si>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</si>
  <si>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</si>
  <si>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</si>
  <si>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</si>
  <si>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</si>
  <si>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</si>
  <si>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</si>
  <si>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</si>
  <si>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</si>
  <si>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</si>
  <si>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</si>
  <si>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</si>
  <si>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</si>
  <si>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</si>
  <si>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</si>
  <si>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</si>
  <si>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</si>
  <si>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</si>
  <si>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</si>
  <si>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</si>
  <si>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</si>
  <si>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</si>
  <si>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</si>
  <si>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</si>
  <si>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</si>
  <si>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</si>
  <si>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</si>
  <si>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</si>
  <si>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</si>
  <si>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</si>
  <si>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</si>
  <si>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</si>
  <si>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</si>
  <si>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</si>
  <si>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</si>
  <si>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</si>
  <si>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</si>
  <si>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</si>
  <si>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</si>
  <si>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</si>
  <si>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</si>
  <si>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</si>
  <si>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</si>
  <si>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</si>
  <si>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</si>
  <si>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</si>
  <si>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</si>
  <si>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</si>
  <si>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</si>
  <si>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</si>
  <si>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</si>
  <si>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</si>
  <si>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</si>
  <si>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</si>
  <si>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</si>
  <si>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</si>
  <si>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</si>
  <si>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MSC115-MIXING</t>
  </si>
  <si>
    <t>Priority-off Mingle and Tournament</t>
  </si>
  <si>
    <t>1. Create/operate Mingle or a Tournament in a private Community workspace using the existing controls. | 2. Check participant-only random mixing without affinity weighting, retained capacity/history rules and no automatic random-room scheduler for the Community base mode. | 3. As a participating manager start/advance manually: no own-action notification. Automatic phase changes notify affected participants. Compare the unchanged priority behavior in a Dating workspace.</t>
  </si>
  <si>
    <t>Actors: Private Community manager; participants; Dating comparison group. Follow guides/qa/checklists/MSC-115_WORK_COMMUNITY_PAIR_QA.md and the numbered scenario.</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</si>
  <si>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</si>
  <si>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</si>
  <si>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</si>
  <si>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</si>
  <si>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</si>
  <si>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</si>
  <si>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</si>
  <si>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</si>
  <si>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</si>
  <si>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</si>
  <si>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</si>
  <si>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</si>
  <si>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</si>
  <si>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</si>
  <si>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</si>
  <si>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</si>
  <si>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</si>
  <si>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</si>
  <si>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</si>
  <si>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</si>
  <si>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</si>
  <si>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</si>
  <si>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</si>
  <si>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</si>
  <si>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</si>
  <si>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</si>
  <si>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</si>
  <si>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</si>
  <si>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</si>
  <si>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</si>
  <si>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</si>
  <si>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</si>
  <si>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</si>
  <si>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</si>
  <si>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</si>
  <si>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</si>
  <si>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</si>
  <si>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</si>
  <si>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</si>
  <si>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</si>
  <si>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</si>
  <si>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</si>
  <si>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</si>
  <si>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</si>
  <si>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</si>
  <si>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</si>
  <si>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</si>
  <si>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</si>
  <si>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</si>
  <si>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</si>
  <si>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</si>
  <si>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</si>
  <si>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</si>
  <si>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</si>
  <si>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</si>
  <si>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</si>
  <si>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</si>
  <si>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</si>
  <si>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</si>
  <si>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MSC115-WORK-CHAT</t>
  </si>
  <si>
    <t>Campaign questions and event group chat</t>
  </si>
  <si>
    <t>1. Before a saved positive rating, verify the Campaign question action requires rating first. Rate, then open campaign Details through the Home eye or a campaign block in the aggregated Ratings history and choose Ask the organizer. | 2. Check the independent Campaign chat bucket, correct organizer, recipient-only new-message notification and unread badge. Reopening/retrying does not duplicate the chat or message. | 3. Create the corresponding real event: its group conversation uses the existing event chat owner and is separate from the direct Campaign question.</t>
  </si>
  <si>
    <t>Actors: Campaign organizer and positively rating participant. Follow guides/qa/checklists/MSC-115_WORK_COMMUNITY_PAIR_QA.md and the numbered scenario.</t>
  </si>
  <si>
    <t>MSC115-CASE-CHAT</t>
  </si>
  <si>
    <t>Shared case channel and permission changes</t>
  </si>
  <si>
    <t>1. Open the case chat from each permitted actor and inspect the Case bucket. Send a message; only other current chat participants get notification/unread increments. | 2. Mark read and reopen. Existing messages and other members’ unread counts survive case membership synchronization. | 3. Decline/remove the provider and check both HTTP and an already-open websocket against current case access. No private group membership is created. | 4. Chat Tasks opens only the target board, without an underlying Cases list or its list/counter requests. | 5. Close directly to chat; normal overview-to-board navigation retains its overview. | 6. Failed/denied detail shows a closable error without opening a Cases list; permitted retry works.</t>
  </si>
  <si>
    <t>Actors: Manager; affected resident; invited provider. Follow guides/qa/checklists/MSC-115_WORK_COMMUNITY_PAIR_QA.md, MSC115-CASE-CHAT steps 1-6. Trace only requests caused by the Tasks click; one target detail, no Cases list or scheduled-task counter prefetch. CHAT-CALL-001 step 34 links this existing owner.</t>
  </si>
  <si>
    <t>Prepared 2026-10-05 from user requirements. No browser actions or live data mutation performed. Preserve other completed campaign checkpoints. | 2026-10-06 conversation reconciliation: MSC-115 checklist updated; full flow remains NOT RUN. | 2026-10-07 guide expansion only: Tasks-button direct-board/close/error checks added from MSC-117 regression; no new manual run.</t>
  </si>
  <si>
    <t>CHAT-CALL-001</t>
  </si>
  <si>
    <t>Dedicated checkpoint MSC-117</t>
  </si>
  <si>
    <t>Chat WebRTC group calls</t>
  </si>
  <si>
    <t>CHAT-CALL-001 steps 1-34: owned STUN direct calls; synchronized media controls; admin mute and coordinator handover; native participant paging and video RTP pause/resume with uninterrupted audio; recent speakers; physical self-audio; chat-header regressions</t>
  </si>
  <si>
    <t>X: signaling is not a saved chat message</t>
  </si>
  <si>
    <t>DELTA live STUN health via existing WebSocket</t>
  </si>
  <si>
    <t>Immediate phone audio; optional camera; full-size tiles; shared 2x2 mobile/up-to-3x2 laptop native stepper; only visible video streams, all audio retained; standard app-menu recent-speaker switch; individual receive-video/mute/volume controls synced with tiles; compact upward volume panel; mirrored unavailable phone</t>
  </si>
  <si>
    <t>UNSUPPORTED: server WebSocket required</t>
  </si>
  <si>
    <t>PASS: 3 real WASM MLS, 2 PCM/FFT, 2 authenticated WebSocket tests; encrypted video control replay PASS; 4 watcher-AOT runtime checks for viewport/sender/SmartList/layout-reactivity PASS; existing watchers compile; all 50 call keys per language match live API</t>
  </si>
  <si>
    <t>Follow guides/qa/checklists/general/CHAT-CALL-001.md steps 1-34. Revalidate the three-actor baseline after dev/demo reset; prepare at least seven distinct participants for full desktop pages. Record per-peer audio/video RTP deltas; use the linked MSC115-CASE-CHAT steps 4-6 for direct Tasks navigation and request counts.</t>
  </si>
  <si>
    <t>MSC-117 https://github.com/fssrepository/myscoutee-roadmap/issues/155; guides/qa/evidence/CHAT-CALL-001-2026-10-06.json; isolated Alice admin/Bob/Carol fixture ready; browser checklist not executed by Codex | 2026-10-07 guide expansion only: 34 numbered steps; obsolete visible verification-code assertions removed; physical echo isolation and linked Tasks regression added. Earlier fixture-ready evidence is historical; revalidate after dev/demo reset. No new manual run.</t>
  </si>
  <si>
    <t>30/60</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</si>
  <si>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</si>
  <si>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</si>
  <si>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</si>
  <si>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</si>
  <si>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</si>
  <si>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</si>
  <si>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</si>
  <si>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</si>
  <si>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</si>
  <si>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</si>
  <si>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</si>
  <si>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</si>
  <si>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</si>
  <si>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</si>
  <si>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</si>
  <si>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</si>
  <si>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</si>
  <si>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</si>
  <si>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</si>
  <si>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</si>
  <si>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</si>
  <si>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</si>
  <si>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</si>
  <si>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</si>
  <si>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</si>
  <si>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</si>
  <si>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</si>
  <si>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</si>
  <si>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</si>
  <si>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</si>
  <si>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</si>
  <si>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</si>
  <si>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</si>
  <si>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</si>
  <si>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</si>
  <si>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</si>
  <si>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</si>
  <si>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</si>
  <si>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</si>
  <si>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</si>
  <si>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</si>
  <si>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</si>
  <si>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</si>
  <si>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</si>
  <si>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</si>
  <si>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</si>
  <si>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</si>
  <si>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</si>
  <si>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</si>
  <si>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</si>
  <si>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</si>
  <si>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</si>
  <si>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</si>
  <si>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</si>
  <si>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</si>
  <si>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</si>
  <si>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</si>
  <si>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</si>
  <si>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</si>
  <si>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</si>
  <si>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</si>
  <si>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</si>
  <si>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</si>
  <si>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</si>
  <si>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</si>
  <si>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</si>
  <si>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</si>
  <si>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</si>
  <si>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</si>
  <si>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</si>
  <si>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</si>
  <si>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</si>
  <si>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</si>
  <si>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</si>
  <si>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</si>
  <si>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</si>
  <si>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</si>
  <si>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</si>
  <si>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</si>
  <si>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</si>
  <si>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</si>
  <si>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</si>
  <si>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</si>
  <si>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</si>
  <si>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2026-09-27</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</si>
  <si>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</si>
  <si>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</si>
  <si>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</si>
  <si>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</si>
  <si>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</si>
  <si>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</si>
  <si>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</si>
  <si>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</si>
  <si>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</si>
  <si>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</si>
  <si>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</si>
  <si>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</si>
  <si>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MSC115-INVITE</t>
  </si>
  <si>
    <t>Shared links, workspace registration and promotion</t>
  </si>
  <si>
    <t>1. Create a Work private-group invite and a Community private-group invite using the existing invite action. Open each link in a clean prepared session. | 2. Check the relevant landing mode, then register/claim. Verify membership in the invited workspace and its base group, with the correct active profile. | 3. Switch to a Dating group from a Community account: its Dating behavior remains independent. Check joining an available base group is explicit and does not require approval. Promotional cards remain a later refinement.</t>
  </si>
  <si>
    <t>Actors: Group manager; signed-out invitee. Follow guides/qa/checklists/MSC-115_WORK_COMMUNITY_PAIR_QA.md and the numbered scenario.</t>
  </si>
  <si>
    <t>MSC115-WORK-CAMPAIGN</t>
  </si>
  <si>
    <t>Campaign authoring and discovery</t>
  </si>
  <si>
    <t>1. Open Campaigns next to Groups; create a draft through + with opportunity type, category, capacity, location, relevant filters and optional image. | 2. Save, reopen, publish, edit, unpublish, trash and restore using existing FormFlow/SmartList patterns. Observe write results without a full unrelated list reload. | 3. Check Work Home InfoCard text/images and three-dot read-only Campaign/author views while the rating bar is visible. Discovery follows opportunity/category and geographic criteria; private drafts stay private. Check the shared Dating-style frame, loading, paging and full-height empty state.</t>
  </si>
  <si>
    <t>Actors: Work member as organizer; another Work member as participant. Follow guides/qa/checklists/MSC-115_WORK_COMMUNITY_PAIR_QA.md and the numbered scenario.</t>
  </si>
  <si>
    <t>MSC115-WORK-RATING</t>
  </si>
  <si>
    <t>Person ratings with optional Campaign context</t>
  </si>
  <si>
    <t>1. Rate two campaigns of the same author. Inspect the Ratings list: it displays people, with aggregate person rating when no Campaign filter is selected. | 2. Before the time control, open the Campaign basket popup. Select one item with +, which changes to a checkmark; inspect/remove the item in the header basket and confirm with the header checkmark. Selecting another replaces the single selection; closing cancels; confirming an empty basket returns to the aggregate view. The second header line names the selected Campaign; list paging and counters use that scope. | 3. Revise one rating. Check the corresponding write and aggregate query, including the opposite participant view. An unchanged retry must not create another notification. | 4. Use an unfiltered event for aggregate sympathy selection and a Campaign-selected event for campaign-specific selection; do not create horizontal channels or fake campaign events.</t>
  </si>
  <si>
    <t>Owned Campaign menu → Ratings; no chooser in Activities; subtitle order; 8+9=8.5 write-side AVG and scoped scores; event priorities; per-card granular snapshot; history eye and paging.</t>
  </si>
  <si>
    <t>MSC115-SERVICE</t>
  </si>
  <si>
    <t>Community service sheet and priority discovery</t>
  </si>
  <si>
    <t>1. In base Community open the service InfoCard Home. Its header has category and Ratings controls; neither Your services nor the provisional Filters/distance popup is present. Check category selection, location-based ordering, and the two three-dot actions opening the full read-only service sheet and provider profile, including while the rating bar is visible. Empty results retain the Dating-style full-height frame/message; loading and paging use the same shared SmartList behavior. | 2. Open Your services from the sidebar Community block, not Cases or Home. Create/edit/publish/draft/trash/restore a sheet; category is on its form, without a separate category selector in the owned list. Check contextual cards/menus, a single sticky date header, + on the second row below Close, and labeled desktop List/Week/Month views. Week/Month show provider appointments. Configure staff, availability and existing pricing/slot inputs. | 3. Rate the provider through a service. Multiple services from that provider use the existing person priority. Publishing a sheet alone sends no unsolicited notification. | 4. Confirm a draft, deleted/inactive provider or another person’s private image is not exposed through discovery.</t>
  </si>
  <si>
    <t>Actors: Anna as provider; Alex as customer; another eligible staff member. Follow guides/qa/checklists/MSC-115_WORK_COMMUNITY_PAIR_QA.md and the numbered scenario.</t>
  </si>
  <si>
    <t>MSC115-CASE</t>
  </si>
  <si>
    <t>Shared Cases lifecycle and member access</t>
  </si>
  <si>
    <t>1. Create a case from Cases +, select the private community and a case type, then All or selected affected members with the existing basket picker. | 2. Check daily descending InfoCard groups with one sticky header, type-based card/menu colors, bottom-right contextual status badge, and the black affected-count button containing the number and chevron only. Click it to open the existing read-only member popup. Inspect status/type red unread counters across all pages, the aggregate base-group Cases badge and convenient private-group entry. | 3. Open the same case as another affected member and as a manager of multiple communities. Unrelated members cannot read it. | 4. Check lifecycle-appropriate three-dot actions: Start only while open; complete/cancel while active; reopen after completion/cancellation/deletion; no duplicate delete on deleted cases. Edit/close/reopen using these supported actions. Check targeted list/counter updates and notifications to affected others; the human actor receives none.</t>
  </si>
  <si>
    <t>Actors: Alex; Maya; external provider Anna. Follow guides/qa/checklists/MSC-115_WORK_COMMUNITY_PAIR_QA.md and the numbered scenario.</t>
  </si>
  <si>
    <t>MSC115-CASE-PROVIDER</t>
  </si>
  <si>
    <t>Recommendations, provider invitations and quotations</t>
  </si>
  <si>
    <t>1. As a member recommend a published service/provider. In the provider picker, + toggles to a checkmark; choosing another replaces the selection. Inspect/remove through the header basket; confirm applies and closing cancels. As manager inspect the recommendation and invite the chosen provider/staff member. | 2. As provider see the shared case in aggregate Community Cases, accept/decline and submit a quotation. As manager accept/reject the quotation. | 3. Check invitation/response/offer/decision notifications and their correct case destination. Repeating a provider invitation must preserve an accepted assignment. | 4. An external provider must not gain private-group navigation or announcement access. A declined invitation retains permitted case history but removes live case-chat access.</t>
  </si>
  <si>
    <t>Actors: Community member; manager; external provider. Follow guides/qa/checklists/MSC-115_WORK_COMMUNITY_PAIR_QA.md and the numbered scenario.</t>
  </si>
  <si>
    <t>MSC115-SCHEDULE</t>
  </si>
  <si>
    <t>Scheduled task and 45-day case reminder</t>
  </si>
  <si>
    <t>1. From the Cases header open Scheduled tasks and create a due date with All/selected members. Check the affected count in its SingleRow. | 2. At just before due minus 45 days, the scoped job creates nothing. At the boundary it creates one shared case and reminds all affected users, including an affected task creator. | 3. Rerun the same occurrence and simulate a delivery retry through the prepared test mechanism: no second case/reminder. Recurrence advances only after enqueueing. | 4. Check month/year recurrence and short-month dates. Edit/disable the task as permitted; Asset editor has no utility scheduling fields.</t>
  </si>
  <si>
    <t>Actors: Manager; affected residents; selected provider when applicable. Follow guides/qa/checklists/MSC-115_WORK_COMMUNITY_PAIR_QA.md and the numbered scenario.</t>
  </si>
  <si>
    <t>MSC115-APPOINTMENT</t>
  </si>
  <si>
    <t>Shared case appointments with existing slot picker</t>
  </si>
  <si>
    <t>1. Invite and accept the case provider/service, then open the actual existing slot picker from the case. Check day/week/month availability, templates and date overrides. | 2. Book a slot. Try an overlapping slot for that worker from another case/customer: conflict is rejected. Another worker’s capacity remains independent. | 3. Cancel a future appointment and verify availability is restored; retry save/cancel without duplicate rows or notifications. | 4. Inspect the provider’s aggregate calendar, customer and case labels, pricing snapshot and case link. Changing/unpublishing a service preserves prior bookings/audit; no fake asset/event or card charge is created.</t>
  </si>
  <si>
    <t>Actors: Accepted case provider; two customers; second staff member. Follow guides/qa/checklists/MSC-115_WORK_COMMUNITY_PAIR_QA.md and the numbered scenario.</t>
  </si>
  <si>
    <t>MSC115-VOTING</t>
  </si>
  <si>
    <t>Apartment-weighted final voting and results</t>
  </si>
  <si>
    <t>1. Configure apartment voting rights with one accepted assigned voter and positive weight. No Asset editor change or registration block is introduced. | 2. Publish a vote and cast each authorized ballot. Verify the first-publication rights snapshot, one final ballot per unit and denial of a replacement vote. | 3. Inspect member/admin results: correct weighted totals/counts without revealing others’ individual ballots. Unassigned residents cannot cast a unit ballot. | 4. Extend the deadline to reopen the published vote while retaining prior ballots. At expiry the Community-only job closes once and notifies participants; a cast vote notifies managers except its actor.</t>
  </si>
  <si>
    <t>Actors: Admin; two assigned voters; unassigned resident. Follow guides/qa/checklists/MSC-115_WORK_COMMUNITY_PAIR_QA.md and the numbered scenario.</t>
  </si>
  <si>
    <t>SERVICE-FEEDBACK-UI-001</t>
  </si>
  <si>
    <t>Service feedback UI</t>
  </si>
  <si>
    <t>MSC-116 service image and event FormFlow switch/radio choices; no text input; shared badge; EN/HU guide extension</t>
  </si>
  <si>
    <t>Focused regression source prepared; execution deferred by user.</t>
  </si>
  <si>
    <t>Run checklists/general/SERVICE-FEEDBACK-UI-001.md with approved feedback fixture in HTTP/local modes.</t>
  </si>
  <si>
    <t>MSC-116. Watcher compilation and schema generation are not behavioral QA. Existing guide/API PASS does not cover this extension.</t>
  </si>
  <si>
    <t>P1 80</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</si>
  <si>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</si>
  <si>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</si>
  <si>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</si>
  <si>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</si>
  <si>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</si>
  <si>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</si>
  <si>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</si>
  <si>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</si>
  <si>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</si>
  <si>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</si>
  <si>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</si>
  <si>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</si>
  <si>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</si>
  <si>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</si>
  <si>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</si>
  <si>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</si>
  <si>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</si>
  <si>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</si>
  <si>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</si>
  <si>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</si>
  <si>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</si>
  <si>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</si>
  <si>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</si>
  <si>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</si>
  <si>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MSC115-ANNOUNCEMENT</t>
  </si>
  <si>
    <t>Private Community Home and document editing</t>
  </si>
  <si>
    <t>1. Open private Community Home: newest-first SingleRow announcements grouped by day replace the rating stack, with a single sticky date header. Voting replaces Ratings in the sidebar Activities block; Your services remains in the Community block. | 2. As admin create a minimal draft with text and optional PDF/text/office attachments, then publish/edit/unpublish/trash/restore through three-dot actions and buckets. | 3. Check member visibility and color/action distinction for voting vs ordinary announcements. Members cannot publish directly; Feedback opens the existing group-admin chat. | 4. Test attachment download as a current member and denied outsider/former member. Unpublished documents remain admin/owner-only; normal feedback opening sends no notification.</t>
  </si>
  <si>
    <t>Actors: Private Community admin; accepted resident; outsider. Follow guides/qa/checklists/MSC-115_WORK_COMMUNITY_PAIR_QA.md and the numbered scenario.</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</si>
  <si>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</si>
  <si>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</si>
  <si>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</si>
  <si>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</si>
  <si>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</si>
  <si>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</si>
  <si>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</si>
  <si>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</si>
  <si>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</si>
  <si>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</si>
  <si>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</si>
  <si>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</si>
  <si>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</si>
  <si>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</si>
  <si>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</si>
  <si>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</si>
  <si>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</si>
  <si>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</si>
  <si>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</si>
  <si>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</si>
  <si>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</si>
  <si>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</si>
  <si>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</si>
  <si>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</si>
  <si>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</si>
  <si>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</si>
  <si>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</si>
  <si>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</si>
  <si>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</si>
  <si>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</si>
  <si>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</si>
  <si>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</si>
  <si>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</si>
  <si>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</si>
  <si>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</si>
  <si>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</si>
  <si>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</si>
  <si>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</si>
  <si>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</si>
  <si>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</si>
  <si>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</si>
  <si>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</si>
  <si>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</si>
  <si>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</si>
  <si>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</si>
  <si>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</si>
  <si>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</si>
  <si>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</si>
  <si>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</si>
  <si>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</si>
  <si>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</si>
  <si>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</si>
  <si>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</si>
  <si>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</si>
  <si>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</si>
  <si>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</si>
  <si>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</si>
  <si>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</si>
  <si>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</si>
  <si>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</si>
  <si>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</si>
  <si>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</si>
  <si>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</si>
  <si>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</si>
  <si>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</si>
  <si>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</si>
  <si>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</si>
  <si>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</si>
  <si>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</si>
  <si>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</si>
  <si>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</si>
  <si>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</si>
  <si>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</si>
  <si>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</si>
  <si>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</si>
  <si>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</si>
  <si>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</si>
  <si>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</si>
  <si>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</si>
  <si>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</si>
  <si>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</si>
  <si>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</si>
  <si>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</si>
  <si>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</si>
  <si>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</si>
  <si>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</si>
  <si>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</si>
  <si>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</si>
  <si>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</si>
  <si>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</si>
  <si>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</si>
  <si>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</si>
  <si>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</si>
  <si>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</si>
  <si>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</si>
  <si>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</si>
  <si>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</si>
  <si>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</si>
  <si>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</si>
  <si>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</si>
  <si>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</si>
  <si>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</si>
  <si>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</si>
  <si>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</si>
  <si>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</si>
  <si>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</si>
  <si>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</si>
  <si>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</si>
  <si>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MSC115-ADMIN</t>
  </si>
  <si>
    <t>App-admin scope and aggregate badges</t>
  </si>
  <si>
    <t>1. Switch Dating → Work → Community above the avatar. The menu structure stays consistent and all opened surfaces use the selected base group. | 2. Compare the selector red count with the existing menu counters; inspect moderation, reports, feedback, chat, content/articles, parameters, stats, metrics and graph in each scope. | 3. Change a scoped content item or parameter and return to another base group: its data is unchanged. A report retains the actor/action/event and optional group context without granting private-workspace membership. | 4. Open payment test tools from each scope and inspect their existing authorization link/context. Operator remains deployment-wide.</t>
  </si>
  <si>
    <t>Actors: Ava; a second admin profile if needed. Follow guides/qa/checklists/MSC-115_WORK_COMMUNITY_PAIR_QA.md and the numbered scenario. | Main-group landing label/icon/color after login; Groups base cards once at the entire filtered list start before pagination, never repeated per mobile page; private identity and counters retained.</t>
  </si>
  <si>
    <t>MSC115-JOBS</t>
  </si>
  <si>
    <t>Per-base-group job ownership and execution</t>
  </si>
  <si>
    <t>1. Open Jobs in every base group. Confirm independent seeded definitions, enabled state, timing and run history. | 2. Run an available scoped job and inspect only that scope’s results, progress, counters and history. Do not enable absent/inapplicable random-room jobs in Work or Community. | 3. Inspect Community scheduled-case and vote-close jobs. Confirm shared notification/exchange/processing definitions have separate group items and that an unseeded job does not execute for that group.</t>
  </si>
  <si>
    <t>Actors: Ava. Follow guides/qa/checklists/MSC-115_WORK_COMMUNITY_PAIR_QA.md and the numbered scenario.</t>
  </si>
  <si>
    <t>EXPLANATION-GUIDE-001</t>
  </si>
  <si>
    <t>Application explanation guides</t>
  </si>
  <si>
    <t>Dynamic compact tours: 73 contexts / 1194 conditional fields; EN/HU; desktop/mobile; WebRTC call/volume; one-step first-visit guide-button introduction; shared launcher overlap checks; one-step consent Accept guide</t>
  </si>
  <si>
    <t>Available target counts; popup/menu/scroll; granular editors; slider and Save; floating guide; public landing; repeated pair targets</t>
  </si>
  <si>
    <t>REOPENED — Work/Community, WebRTC Help and first-visit introduction</t>
  </si>
  <si>
    <t>2026-10-07: EN/HU catalog/i18n and guide-field seed parity; revision/section parity for chats, event.chat, chat.call, chat.call.volume and landing.guide across Dating/Work/Community and all three Mongo seeds. Existing watcher AOT call/guide context and intro lifecycle checks PASS. Public intro HTTP EN/HU x 3 modes PASS; private call context denial 404 PASS. Browser tour NOT RUN. Follow-up: watcher AOT launcher geometry (1500 cases, 400 Rates rechecks) and versioned introduction lifecycle/text parity PASS. See guides/qa/evidence/general/EXPLANATION-GUIDE-001-20261007.md. Consent follow-up: watcher AOT directive/service/Accept target PASS; 200 target checks reuse one index scan. Live public consent HTTP EN/HU x 3 modes PASS; private-context 404 preserved. | 2026-10-07 isolated CDP regression PASS (EN desktop / 390x844 mobile): dismissed consent stays closed on group switch; correct images on first selection; Login reopens consent; one stable consent Help step with translated label; duplicate Privacy summary removed. SW 20/20 PASS; EN/HU live seed/translation parity PASS. | Mobile header follow-up: 24 isolated CDP cases PASS (EN/HU x 320/360/390/1236px x 3 groups): full label/caret, one-line Login/Belépés, no header overlap. Translation .7 live/source/seed parity PASS. | 2026-10-07 shared missing-guide feedback: watcher-AOT DOM regression PASS for persistent centered EN/HU message, cold/cached/empty cases, X/Escape/Back/launcher/shade dismissal, Next/Back/Done and 200 viewport notifications with zero rescans.</t>
  </si>
  <si>
    <t>Run the changed Work/Community guide surfaces, then the WebRTC Help-popup and first-visit introduction follow-ups in EXPLANATION-GUIDE-001, EN/HU at 390x844 and 1280x900. Verify existing responsive placement, one intro step, consent independence, call/volume context cleanup and separately usable guide/bell targets. Record launcher overlap whenever observed in another UI case. Check top-edge/multi-obstacle drag clearance, unchanged 56/96px Rates anchor, red-X dismissal, persisted OFF/ON recovery and concise intro fitting within five lines. Run the consent Accept-button guide section: no flash, one target, intro restoration, unchanged consent and loading/read-only suppression.</t>
  </si>
  <si>
    <t>45 contexts / 963 fields. Existing recorded scope retained. Added landing: 64 steps per viewport; feedback: 39 per viewport; Rates arrow-only, shared double-panel highlights and editable badge passed at mobile/desktop. EN/HU local/demo/e2e/prod seed parity. Landing visit visibility, internal default ON/preserved OFF, fresh-browser consent and shared guide/notification clearance above rating actions/profile eyes passed mobile/desktop. Mobile-only launcher clearance; unchanged desktop positioning; pair divider hover/tap/drag and fixed photo scale at 0/50/100% passed Home/Rates browser and Android Rates over ADB. Mobile pair image fit unified to contain on Home/Activity Rates; both targeted browser checks passed, desktop preserved. Guide screenshots removed from Git. No final form submission. Full local persistence and native WebView not claimed. guides/qa/evidence/general/EXPLANATION-GUIDE-001-20260930.md Final Android Home rail stability, mobile/desktop guide card continuity and filter badge save/reload/restore passed. No screenshots committed. Earlier Android fullscreen/drag lag was confirmed; the subsequent retained-panel and image-scroll fixes below were accepted and close that follow-up. No universal performance PASS is claimed. Follow-up: one retained list row rebuilt instead of six; one DTO snapshot per card; hidden controls excluded from launcher measurement. Native menu/guide visibility and raised list badge clearance passed. Small warm RAF-proxy medians: fullscreen 293 to 254ms, list 161 to 108ms; these preliminary measurements are superseded by the final user-accepted retained-panel result below. Final user-accepted retained-panel change: one shared loaded collection; persistent list/fullscreen DOM; z-order-only presentation; inactive new-image gating; no warm card rebuilds or switch scroll shift; saved-score paging identity preserved. Warm fullscreen median207.9→127.7ms; list103→128.1ms (dev two-RAF proxy, no universal performance claim). Rates list-scroll launchers fixed: native100-frame check0/0px movement versus48/56px before. Follow-up: panel-bottom launcher anchor56px list/96px fullscreen; native scroll0/0px. Whole-card scroll preview/adaptive prefetch withdrawn. Image-only handling preserves visible photos; only offscreen/passed photos suspend, returning once from cache. Fast-scroll requests/spinners0; sampled visible-image flickers0; focused tests15/15. See phone-image-scroll.json. Mobile photo badges/eye/image indicators follow per-image suspension; individual/pair native swipe90frames each passed; user accepted. Release1.3.2: both guide branches consolidated/master merged; GHCR frontend/backend images; Netcup migration010 retained-data check;8 healthy containers; publicHTTP13/13 and landing guide10/10 plus private-context denial passed. See RELEASE_1.3.2_20260930.json. Launcher follow-up: desktop icons remain with menus; guide above shade; bell layering unchanged; mobile menus hide both icons without hiding tour;1280/390px regression passed and user accepted.; Accepted launcher follow-up republished1.3.2: nginx-only Netcup update,13/13 HTTP PASS,8 healthy containers,7 unchanged. Final ledger closure 2026-09-30: PASS / CLOSED for the accepted guide scope and follow-ups; no remaining guide oracle. Local PARTIAL records the untested persistence boundary, not an open guide defect. 2026-10-01 scoped granular-rating addendum: Home/Activity list/fullscreen CDP at1280/390; no-backdrop popup, equal-width bar, mobile menu launcher hiding, integer details, profile-count-derived main step, exact6.75 save/reload and affinity precision, EN/HU guide/i18n parity. Existing PASS/CLOSED retained; see granular-rating-checks.json and rating-step-checks.json in the linked evidence. | 2026-10-06: user explicitly reopens for expanded scope. September PASS remains historical evidence, not current completion. | 2026-10-07: Added 17 call + 7 volume catalog fields, phone steps in chats/event.chat and the one-step landing.guide intro; workspace-specific EN/HU content seeded. Existing shared guide engine/launcher reused. Watcher frontend build and backend hot-deploy PASS; check-chat-call-runtime.mjs PASS including nested guide/context/language/destruction checks. Compiled Guide first-visit/dismissal/known-visitor/transition checks PASS; consent and saved guide preference unchanged. Public intro HTTP 6/6 plus private-context denial PASS. Targeted audit-seeds.py --context chats --context event.chat --context chat.call --context chat.call.volume --context landing.guide PASS; i18n audit and sync-work-seeds.js --check PASS. Full revision audit is not a PASS: pre-existing home.game rating-details and payment.history counterparty steps are absent from global HTTP revisions; left outside this change. At that earlier checkpoint, launcher component and placeCard positioning were identical to HEAD after the positioning edits were withdrawn. No browser actions, fixture staging or full guide click-through performed. September evidence remains historical; new manual status NOT RUN. | 2026-10-07 authorized follow-up: launcher-to-launcher clearance repaired using registered references; Rates stable panel anchors and Help card placement preserved. Bounded geometry/lifecycle checks PASS; single-step HU163/EN166 introduction explains drag, red-X hide and Side menu Explanations OFF/ON. QA CSV line endings normalized. Evidence: guides/qa/evidence/general/EXPLANATION-GUIDE-001-20261007.md. Manual browser status remains NOT RUN. | 2026-10-07 consent follow-up: landing.consent one-step Accept binding; canonical source and all Mongo seeds synchronized. Introduction now explicitly names the notification bell (HU156/EN155). i18n version 2026.10.07.5. Development checks PASS; browser manual NOT RUN. | Later user-authorized fresh anonymous browser evidence: guides/qa/evidence/general/EXPLANATION-GUIDE-001-20261007.md, landing follow-up. No full manual case replay, acceptance/registration or fixture reset; historical status preserved. | Article/no-guide follow-up: shared guide feedback now remains centered until dismissed instead of flashing closed. Per-surface checklist step 9 added. Focused JSDOM evidence only; manual campaign status unchanged. guides/qa/evidence/general/EXPLANATION-GUIDE-001-20261007.md. | 2026-10-07 operator/app-admin audit: GAP, no dedicated surface registrations/catalog fields/revisions; operator launcher excluded; Explanations toggle excluded for both privileged roles. Common avatar-menu guide is not role-surface coverage. See evidence/general/EXPLANATION-GUIDE-001-20261007.md#operator--app-admin-wiring-audit.</t>
  </si>
  <si>
    <t>60/120</t>
  </si>
  <si>
    <t>MSC115-GUIDES</t>
  </si>
  <si>
    <t>Context guides and shared-surface continuity</t>
  </si>
  <si>
    <t>1. Open the guide at landing/Home mode switch, Campaign list/editor, service Home/list/editor/calendar, Cases/tasks/editors/appointments, private Home/Voting/rights and payment history/receipt. | 2. Check the explanation targets the visible control and describes the current group’s behavior in English and Hungarian. Lazy-opened popups get their own registered context. | 3. Switch modes while popups/requests are active. Check stale responses and selections do not populate another profile, no duplicate HTTP clients are used and badges clear according to existing read actions.</t>
  </si>
  <si>
    <t>Expanded EXPLANATION-GUIDE-001 shared execution; 28 revised contexts, all new controls and EN/HU, preserve historical PASS evidence.</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</si>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</sst>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1">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
      <patternFill patternType="solid">
        <fgColor rgb="FFD9EAD3"/>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xf numFmtId="164" fontId="0" fillId="40" borderId="0" xfId="0" applyFont="false" applyFill="true" applyBorder="false" applyAlignment="true" applyProtection="false">
      <alignment vertical="top" wrapText="1"/>
    </xf>
    <xf numFmtId="164" fontId="0" fillId="40" borderId="1" xfId="0" applyFont="false" applyFill="true" applyBorder="true" applyAlignment="true" applyProtection="false">
      <alignment vertical="top" wrapText="1"/>
    </xf>
    <xf numFmtId="164" fontId="0" fillId="40" borderId="2" xfId="0" applyFont="false" applyFill="true" applyBorder="true" applyAlignment="true" applyProtection="false">
      <alignment vertical="top" wrapText="1"/>
    </xf>
    <xf numFmtId="164" fontId="0" fillId="40" borderId="9" xfId="0" applyFont="false" applyFill="true" applyBorder="true" applyAlignment="true" applyProtection="false">
      <alignment vertical="top" wrapText="1"/>
    </xf>
    <xf numFmtId="164" fontId="0" fillId="40" borderId="4" xfId="0" applyFont="false" applyFill="true" applyBorder="true" applyAlignment="true" applyProtection="false">
      <alignment vertical="top" wrapText="1"/>
    </xf>
    <xf numFmtId="164" fontId="0" fillId="40" borderId="3" xfId="0" applyFont="false" applyFill="true" applyBorder="true" applyAlignment="true" applyProtection="false">
      <alignment vertical="top" wrapText="1"/>
    </xf>
    <xf numFmtId="164" fontId="0" fillId="40" borderId="7" xfId="0" applyFont="false" applyFill="true" applyBorder="true" applyAlignment="true" applyProtection="false">
      <alignment vertical="top" wrapText="1"/>
    </xf>
    <xf numFmtId="164" fontId="0" fillId="40" borderId="5" xfId="0" applyFont="false" applyFill="true" applyBorder="true" applyAlignment="true" applyProtection="false">
      <alignment vertical="top" wrapText="1"/>
    </xf>
    <xf numFmtId="164" fontId="0" fillId="40"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6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COUNTIF(U18:U162,"Done")&amp;" ("&amp;IF(COUNTA(A18:A162)=0,"0%",TEXT(COUNTIF(U18:U162,"Done")/COUNTA(A18:A162),"0%"))&amp;")"</f>
        <v>120 (83%)</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COUNTIF(U18:U162,"Pending")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COUNTIF(U18:U162,"Not started")</f>
        <v>25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COUNTIF(U18:U162,"Failed")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COUNTA(A18:A162)</f>
        <v>145</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136" t="str">
        <f>COUNTIFS($C$18:$C$162,A8,$U$18:$U$162,"Done")&amp;" passed / "&amp;COUNTIF($C$18:$C$162,A8)&amp;" total ("&amp;IF(COUNTIF($C$18:$C$162,A8)=0,"0%",TEXT(COUNTIFS($C$18:$C$162,A8,$U$18:$U$162,"Done")/COUNTIF($C$18:$C$162,A8),"0%"))&amp;") · "&amp;SUMIFS($V$18:$V$162,$C$18:$C$162,A8,$U$18:$U$162,"&lt;&gt;Done")&amp;"/"&amp;SUMIFS($W$18:$W$162,$C$18:$C$162,A8,$U$18:$U$162,"&lt;&gt;Done")</f>
        <v>5 passed / 8 total (62%) · 190/385</v>
      </c>
      <c r="E8" s="159" t="s">
        <v>1</v>
      </c>
      <c r="F8" s="535" t="s">
        <v>26</v>
      </c>
      <c r="G8" s="531" t="s">
        <v>1</v>
      </c>
      <c r="H8" s="531" t="s">
        <v>27</v>
      </c>
      <c r="I8" s="451" t="str">
        <f>COUNTIFS($C$18:$C$162,F8,$U$18:$U$162,"Done")&amp;" passed / "&amp;COUNTIF($C$18:$C$162,F8)&amp;" total ("&amp;IF(COUNTIF($C$18:$C$162,F8)=0,"0%",TEXT(COUNTIFS($C$18:$C$162,F8,$U$18:$U$162,"Done")/COUNTIF($C$18:$C$162,F8),"0%"))&amp;") · "&amp;SUMIFS($V$18:$V$162,$C$18:$C$162,F8,$U$18:$U$162,"&lt;&gt;Done")&amp;"/"&amp;SUMIFS($W$18:$W$162,$C$18:$C$162,F8,$U$18:$U$162,"&lt;&gt;Done")</f>
        <v>2 passed / 12 total (17%) · 120/285</v>
      </c>
      <c r="J8" s="470"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COUNTIFS($C$18:$C$162,A9,$U$18:$U$162,"Done")&amp;" passed / "&amp;COUNTIF($C$18:$C$162,A9)&amp;" total ("&amp;IF(COUNTIF($C$18:$C$162,A9)=0,"0%",TEXT(COUNTIFS($C$18:$C$162,A9,$U$18:$U$162,"Done")/COUNTIF($C$18:$C$162,A9),"0%"))&amp;") · "&amp;SUMIFS($V$18:$V$162,$C$18:$C$162,A9,$U$18:$U$162,"&lt;&gt;Done")&amp;"/"&amp;SUMIFS($W$18:$W$162,$C$18:$C$162,A9,$U$18:$U$162,"&lt;&gt;Done")</f>
        <v>2 passed / 2 total (100%) · 0/0</v>
      </c>
      <c r="E9" s="151" t="s">
        <v>1</v>
      </c>
      <c r="F9" s="349" t="s">
        <v>32</v>
      </c>
      <c r="G9" s="261" t="s">
        <v>1</v>
      </c>
      <c r="H9" s="261" t="s">
        <v>33</v>
      </c>
      <c r="I9" s="450" t="str">
        <f>COUNTIFS($C$18:$C$162,F9,$U$18:$U$162,"Done")&amp;" passed / "&amp;COUNTIF($C$18:$C$162,F9)&amp;" total ("&amp;IF(COUNTIF($C$18:$C$162,F9)=0,"0%",TEXT(COUNTIFS($C$18:$C$162,F9,$U$18:$U$162,"Done")/COUNTIF($C$18:$C$162,F9),"0%"))&amp;") · "&amp;SUMIFS($V$18:$V$162,$C$18:$C$162,F9,$U$18:$U$162,"&lt;&gt;Done")&amp;"/"&amp;SUMIFS($W$18:$W$162,$C$18:$C$162,F9,$U$18:$U$162,"&lt;&gt;Done")</f>
        <v>3 passed / 4 total (75%) · 10/25</v>
      </c>
      <c r="J9" s="462"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35</v>
      </c>
      <c r="B10" s="253" t="s">
        <v>1</v>
      </c>
      <c r="C10" s="253" t="s">
        <v>36</v>
      </c>
      <c r="D10" s="450" t="str">
        <f>COUNTIFS($C$18:$C$162,A10,$U$18:$U$162,"Done")&amp;" passed / "&amp;COUNTIF($C$18:$C$162,A10)&amp;" total ("&amp;IF(COUNTIF($C$18:$C$162,A10)=0,"0%",TEXT(COUNTIFS($C$18:$C$162,A10,$U$18:$U$162,"Done")/COUNTIF($C$18:$C$162,A10),"0%"))&amp;") · "&amp;SUMIFS($V$18:$V$162,$C$18:$C$162,A10,$U$18:$U$162,"&lt;&gt;Done")&amp;"/"&amp;SUMIFS($W$18:$W$162,$C$18:$C$162,A10,$U$18:$U$162,"&lt;&gt;Done")</f>
        <v>9 passed / 10 total (90%) · 10/25</v>
      </c>
      <c r="E10" s="462" t="s">
        <v>1</v>
      </c>
      <c r="F10" s="301" t="s">
        <v>38</v>
      </c>
      <c r="G10" s="255" t="s">
        <v>1</v>
      </c>
      <c r="H10" s="255" t="s">
        <v>39</v>
      </c>
      <c r="I10" s="135" t="str">
        <f>COUNTIFS($C$18:$C$162,F10,$U$18:$U$162,"Done")&amp;" passed / "&amp;COUNTIF($C$18:$C$162,F10)&amp;" total ("&amp;IF(COUNTIF($C$18:$C$162,F10)=0,"0%",TEXT(COUNTIFS($C$18:$C$162,F10,$U$18:$U$162,"Done")/COUNTIF($C$18:$C$162,F10),"0%"))&amp;") · "&amp;SUMIFS($V$18:$V$162,$C$18:$C$162,F10,$U$18:$U$162,"&lt;&gt;Done")&amp;"/"&amp;SUMIFS($W$18:$W$162,$C$18:$C$162,F10,$U$18:$U$162,"&lt;&gt;Done")</f>
        <v>6 passed / 6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41</v>
      </c>
      <c r="B11" s="256" t="s">
        <v>1</v>
      </c>
      <c r="C11" s="256" t="s">
        <v>42</v>
      </c>
      <c r="D11" s="450" t="str">
        <f>COUNTIFS($C$18:$C$162,A11,$U$18:$U$162,"Done")&amp;" passed / "&amp;COUNTIF($C$18:$C$162,A11)&amp;" total ("&amp;IF(COUNTIF($C$18:$C$162,A11)=0,"0%",TEXT(COUNTIFS($C$18:$C$162,A11,$U$18:$U$162,"Done")/COUNTIF($C$18:$C$162,A11),"0%"))&amp;") · "&amp;SUMIFS($V$18:$V$162,$C$18:$C$162,A11,$U$18:$U$162,"&lt;&gt;Done")&amp;"/"&amp;SUMIFS($W$18:$W$162,$C$18:$C$162,A11,$U$18:$U$162,"&lt;&gt;Done")</f>
        <v>56 passed / 58 total (97%) · 20/50</v>
      </c>
      <c r="E11" s="462" t="s">
        <v>1</v>
      </c>
      <c r="F11" s="365" t="s">
        <v>44</v>
      </c>
      <c r="G11" s="263" t="s">
        <v>1</v>
      </c>
      <c r="H11" s="263" t="s">
        <v>45</v>
      </c>
      <c r="I11" s="136" t="str">
        <f>COUNTIFS($C$18:$C$162,F11,$U$18:$U$162,"Done")&amp;" passed / "&amp;COUNTIF($C$18:$C$162,F11)&amp;" total ("&amp;IF(COUNTIF($C$18:$C$162,F11)=0,"0%",TEXT(COUNTIFS($C$18:$C$162,F11,$U$18:$U$162,"Done")/COUNTIF($C$18:$C$162,F11),"0%"))&amp;") · "&amp;SUMIFS($V$18:$V$162,$C$18:$C$162,F11,$U$18:$U$162,"&lt;&gt;Done")&amp;"/"&amp;SUMIFS($W$18:$W$162,$C$18:$C$162,F11,$U$18:$U$162,"&lt;&gt;Done")</f>
        <v>4 passed / 6 total (67%) · 20/50</v>
      </c>
      <c r="J11" s="159"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47</v>
      </c>
      <c r="B12" s="257" t="s">
        <v>1</v>
      </c>
      <c r="C12" s="257" t="s">
        <v>48</v>
      </c>
      <c r="D12" s="450" t="str">
        <f>COUNTIFS($C$18:$C$162,A12,$U$18:$U$162,"Done")&amp;" passed / "&amp;COUNTIF($C$18:$C$162,A12)&amp;" total ("&amp;IF(COUNTIF($C$18:$C$162,A12)=0,"0%",TEXT(COUNTIFS($C$18:$C$162,A12,$U$18:$U$162,"Done")/COUNTIF($C$18:$C$162,A12),"0%"))&amp;") · "&amp;SUMIFS($V$18:$V$162,$C$18:$C$162,A12,$U$18:$U$162,"&lt;&gt;Done")&amp;"/"&amp;SUMIFS($W$18:$W$162,$C$18:$C$162,A12,$U$18:$U$162,"&lt;&gt;Done")</f>
        <v>15 passed / 16 total (94%) · 10/25</v>
      </c>
      <c r="E12" s="462" t="s">
        <v>1</v>
      </c>
      <c r="F12" s="544" t="s">
        <v>50</v>
      </c>
      <c r="G12" s="540" t="s">
        <v>1</v>
      </c>
      <c r="H12" s="540" t="s">
        <v>51</v>
      </c>
      <c r="I12" s="138" t="str">
        <f>COUNTIFS($C$18:$C$162,F12,$U$18:$U$162,"Done")&amp;" passed / "&amp;COUNTIF($C$18:$C$162,F12)&amp;" total ("&amp;IF(COUNTIF($C$18:$C$162,F12)=0,"0%",TEXT(COUNTIFS($C$18:$C$162,F12,$U$18:$U$162,"Done")/COUNTIF($C$18:$C$162,F12),"0%"))&amp;") · "&amp;SUMIFS($V$18:$V$162,$C$18:$C$162,F12,$U$18:$U$162,"&lt;&gt;Done")&amp;"/"&amp;SUMIFS($W$18:$W$162,$C$18:$C$162,F12,$U$18:$U$162,"&lt;&gt;Done")</f>
        <v>0 passed / 2 total (0%) · 70/145</v>
      </c>
      <c r="J12" s="175"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5" t="s">
        <v>53</v>
      </c>
      <c r="B13" s="258" t="s">
        <v>1</v>
      </c>
      <c r="C13" s="258" t="s">
        <v>54</v>
      </c>
      <c r="D13" s="136" t="str">
        <f>COUNTIFS($C$18:$C$162,A13,$U$18:$U$162,"Done")&amp;" passed / "&amp;COUNTIF($C$18:$C$162,A13)&amp;" total ("&amp;IF(COUNTIF($C$18:$C$162,A13)=0,"0%",TEXT(COUNTIFS($C$18:$C$162,A13,$U$18:$U$162,"Done")/COUNTIF($C$18:$C$162,A13),"0%"))&amp;") · "&amp;SUMIFS($V$18:$V$162,$C$18:$C$162,A13,$U$18:$U$162,"&lt;&gt;Done")&amp;"/"&amp;SUMIFS($W$18:$W$162,$C$18:$C$162,A13,$U$18:$U$162,"&lt;&gt;Done")</f>
        <v>6 passed / 9 total (67%) · 50/110</v>
      </c>
      <c r="E13" s="159" t="s">
        <v>1</v>
      </c>
      <c r="F13" s="247" t="s">
        <v>56</v>
      </c>
      <c r="G13" s="243" t="s">
        <v>1</v>
      </c>
      <c r="H13" s="243" t="s">
        <v>57</v>
      </c>
      <c r="I13" s="135" t="str">
        <f>COUNTIFS($C$18:$C$162,F13,$U$18:$U$162,"Done")&amp;" passed / "&amp;COUNTIF($C$18:$C$162,F13)&amp;" total ("&amp;IF(COUNTIF($C$18:$C$162,F13)=0,"0%",TEXT(COUNTIFS($C$18:$C$162,F13,$U$18:$U$162,"Done")/COUNTIF($C$18:$C$162,F13),"0%"))&amp;") · "&amp;SUMIFS($V$18:$V$162,$C$18:$C$162,F13,$U$18:$U$162,"&lt;&gt;Done")&amp;"/"&amp;SUMIFS($W$18:$W$162,$C$18:$C$162,F13,$U$18:$U$162,"&lt;&gt;Done")</f>
        <v>5 passed / 5 total (100%) · 0/0</v>
      </c>
      <c r="J13" s="151" t="s">
        <v>1</v>
      </c>
      <c r="K13" s="136" t="s">
        <v>1</v>
      </c>
      <c r="L13" s="136" t="s">
        <v>1</v>
      </c>
      <c r="M13" s="136" t="s">
        <v>1</v>
      </c>
      <c r="N13" s="136" t="s">
        <v>1</v>
      </c>
      <c r="O13" s="136" t="s">
        <v>1</v>
      </c>
      <c r="P13" s="136" t="s">
        <v>1</v>
      </c>
      <c r="Q13" s="136" t="s">
        <v>1</v>
      </c>
      <c r="R13" s="136" t="s">
        <v>1</v>
      </c>
      <c r="S13" s="136" t="s">
        <v>1</v>
      </c>
      <c r="T13" s="136" t="s">
        <v>1</v>
      </c>
    </row>
    <row r="14" customFormat="false" ht="15" hidden="false" customHeight="false" outlineLevel="0" collapsed="false">
      <c r="A14" s="335" t="s">
        <v>59</v>
      </c>
      <c r="B14" s="336" t="s">
        <v>1</v>
      </c>
      <c r="C14" s="336" t="s">
        <v>60</v>
      </c>
      <c r="D14" s="153" t="str">
        <f>COUNTIFS($C$18:$C$162,A14,$U$18:$U$162,"Done")&amp;" passed / "&amp;COUNTIF($C$18:$C$162,A14)&amp;" total ("&amp;IF(COUNTIF($C$18:$C$162,A14)=0,"0%",TEXT(COUNTIFS($C$18:$C$162,A14,$U$18:$U$162,"Done")/COUNTIF($C$18:$C$162,A14),"0%"))&amp;") · "&amp;SUMIFS($V$18:$V$162,$C$18:$C$162,A14,$U$18:$U$162,"&lt;&gt;Done")&amp;"/"&amp;SUMIFS($W$18:$W$162,$C$18:$C$162,A14,$U$18:$U$162,"&lt;&gt;Done")</f>
        <v>7 passed / 7 total (100%) · 0/0</v>
      </c>
      <c r="E14" s="154" t="s">
        <v>1</v>
      </c>
      <c r="F14" s="160" t="s">
        <v>1</v>
      </c>
      <c r="G14" s="161" t="s">
        <v>1</v>
      </c>
      <c r="H14" s="161" t="s">
        <v>1</v>
      </c>
      <c r="I14" s="241" t="s">
        <v>1</v>
      </c>
      <c r="J14" s="242" t="s">
        <v>1</v>
      </c>
      <c r="K14" s="136" t="s">
        <v>1</v>
      </c>
      <c r="L14" s="136" t="s">
        <v>1</v>
      </c>
      <c r="M14" s="136" t="s">
        <v>1</v>
      </c>
      <c r="N14" s="136" t="s">
        <v>1</v>
      </c>
      <c r="O14" s="136" t="s">
        <v>1</v>
      </c>
      <c r="P14" s="136" t="s">
        <v>1</v>
      </c>
      <c r="Q14" s="136" t="s">
        <v>1</v>
      </c>
      <c r="R14" s="136" t="s">
        <v>1</v>
      </c>
      <c r="S14" s="136" t="s">
        <v>1</v>
      </c>
      <c r="T14" s="136" t="s">
        <v>1</v>
      </c>
    </row>
    <row r="15" customFormat="false" ht="20" hidden="false" customHeight="true" outlineLevel="0" collapsed="false">
      <c r="A15" s="145" t="s">
        <v>62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c r="T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63</v>
      </c>
      <c r="M16" s="143" t="s">
        <v>1</v>
      </c>
      <c r="N16" s="146" t="s">
        <v>1</v>
      </c>
      <c r="O16" s="146" t="s">
        <v>1</v>
      </c>
      <c r="P16" s="146" t="s">
        <v>1</v>
      </c>
      <c r="Q16" s="146" t="s">
        <v>1</v>
      </c>
      <c r="R16" s="146" t="s">
        <v>1</v>
      </c>
      <c r="S16" s="146" t="s">
        <v>1</v>
      </c>
      <c r="T16" s="146" t="s">
        <v>1</v>
      </c>
    </row>
    <row r="17" customFormat="false" ht="15" hidden="false" customHeight="false" outlineLevel="0" collapsed="false">
      <c r="A17" s="143" t="s">
        <v>64</v>
      </c>
      <c r="B17" s="143" t="s">
        <v>65</v>
      </c>
      <c r="C17" s="143" t="s">
        <v>20</v>
      </c>
      <c r="D17" s="143" t="s">
        <v>66</v>
      </c>
      <c r="E17" s="143" t="s">
        <v>67</v>
      </c>
      <c r="F17" s="143" t="s">
        <v>68</v>
      </c>
      <c r="G17" s="143" t="s">
        <v>69</v>
      </c>
      <c r="H17" s="143" t="s">
        <v>70</v>
      </c>
      <c r="I17" s="143" t="s">
        <v>71</v>
      </c>
      <c r="J17" s="143" t="s">
        <v>72</v>
      </c>
      <c r="K17" s="143" t="s">
        <v>73</v>
      </c>
      <c r="L17" s="143" t="s">
        <v>74</v>
      </c>
      <c r="M17" s="143" t="s">
        <v>75</v>
      </c>
      <c r="N17" s="143" t="s">
        <v>76</v>
      </c>
      <c r="O17" s="143" t="s">
        <v>77</v>
      </c>
      <c r="P17" s="143" t="s">
        <v>78</v>
      </c>
      <c r="Q17" s="143" t="s">
        <v>79</v>
      </c>
      <c r="R17" s="143" t="s">
        <v>80</v>
      </c>
      <c r="S17" s="143" t="s">
        <v>81</v>
      </c>
      <c r="T17" s="143" t="s">
        <v>82</v>
      </c>
    </row>
    <row r="18" customFormat="false" ht="15" hidden="false" customHeight="false" outlineLevel="0" collapsed="false">
      <c r="A18" s="135" t="s">
        <v>83</v>
      </c>
      <c r="B18" s="135" t="s">
        <v>84</v>
      </c>
      <c r="C18" s="254" t="s">
        <v>23</v>
      </c>
      <c r="D18" s="135" t="s">
        <v>85</v>
      </c>
      <c r="E18" s="135" t="s">
        <v>86</v>
      </c>
      <c r="F18" s="135" t="s">
        <v>4</v>
      </c>
      <c r="G18" s="135" t="s">
        <v>87</v>
      </c>
      <c r="H18" s="135" t="s">
        <v>4</v>
      </c>
      <c r="I18" s="135" t="s">
        <v>4</v>
      </c>
      <c r="J18" s="135" t="s">
        <v>88</v>
      </c>
      <c r="K18" s="135" t="s">
        <v>89</v>
      </c>
      <c r="L18" s="135" t="s">
        <v>90</v>
      </c>
      <c r="M18" s="135" t="s">
        <v>1</v>
      </c>
      <c r="N18" s="135" t="s">
        <v>91</v>
      </c>
      <c r="O18" s="135" t="s">
        <v>92</v>
      </c>
      <c r="P18" s="135" t="s">
        <v>93</v>
      </c>
      <c r="Q18" s="135" t="s">
        <v>90</v>
      </c>
      <c r="R18" s="135" t="s">
        <v>94</v>
      </c>
      <c r="S18" s="135" t="s">
        <v>95</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96</v>
      </c>
      <c r="B19" s="135" t="s">
        <v>84</v>
      </c>
      <c r="C19" s="254" t="s">
        <v>23</v>
      </c>
      <c r="D19" s="135" t="s">
        <v>97</v>
      </c>
      <c r="E19" s="135" t="s">
        <v>98</v>
      </c>
      <c r="F19" s="135" t="s">
        <v>4</v>
      </c>
      <c r="G19" s="135" t="s">
        <v>4</v>
      </c>
      <c r="H19" s="135" t="s">
        <v>4</v>
      </c>
      <c r="I19" s="135" t="s">
        <v>4</v>
      </c>
      <c r="J19" s="135" t="s">
        <v>99</v>
      </c>
      <c r="K19" s="135" t="s">
        <v>100</v>
      </c>
      <c r="L19" s="135" t="s">
        <v>90</v>
      </c>
      <c r="M19" s="135" t="s">
        <v>101</v>
      </c>
      <c r="N19" s="135" t="s">
        <v>91</v>
      </c>
      <c r="O19" s="135" t="s">
        <v>102</v>
      </c>
      <c r="P19" s="135" t="s">
        <v>103</v>
      </c>
      <c r="Q19" s="135" t="s">
        <v>90</v>
      </c>
      <c r="R19" s="135" t="s">
        <v>104</v>
      </c>
      <c r="S19" s="135" t="s">
        <v>95</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105</v>
      </c>
      <c r="B20" s="135" t="s">
        <v>106</v>
      </c>
      <c r="C20" s="254" t="s">
        <v>23</v>
      </c>
      <c r="D20" s="135" t="s">
        <v>107</v>
      </c>
      <c r="E20" s="135" t="s">
        <v>108</v>
      </c>
      <c r="F20" s="135" t="s">
        <v>4</v>
      </c>
      <c r="G20" s="135" t="s">
        <v>109</v>
      </c>
      <c r="H20" s="135" t="s">
        <v>4</v>
      </c>
      <c r="I20" s="135" t="s">
        <v>4</v>
      </c>
      <c r="J20" s="135" t="s">
        <v>110</v>
      </c>
      <c r="K20" s="135" t="s">
        <v>90</v>
      </c>
      <c r="L20" s="135" t="s">
        <v>90</v>
      </c>
      <c r="M20" s="135" t="s">
        <v>101</v>
      </c>
      <c r="N20" s="135" t="s">
        <v>111</v>
      </c>
      <c r="O20" s="135" t="s">
        <v>112</v>
      </c>
      <c r="P20" s="135" t="s">
        <v>113</v>
      </c>
      <c r="Q20" s="135" t="s">
        <v>90</v>
      </c>
      <c r="R20" s="135" t="s">
        <v>114</v>
      </c>
      <c r="S20" s="135" t="s">
        <v>115</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5" t="s">
        <v>116</v>
      </c>
      <c r="B21" s="135" t="s">
        <v>106</v>
      </c>
      <c r="C21" s="254" t="s">
        <v>23</v>
      </c>
      <c r="D21" s="135" t="s">
        <v>117</v>
      </c>
      <c r="E21" s="135" t="s">
        <v>118</v>
      </c>
      <c r="F21" s="135" t="s">
        <v>4</v>
      </c>
      <c r="G21" s="135" t="s">
        <v>119</v>
      </c>
      <c r="H21" s="135" t="s">
        <v>4</v>
      </c>
      <c r="I21" s="135" t="s">
        <v>4</v>
      </c>
      <c r="J21" s="135" t="s">
        <v>120</v>
      </c>
      <c r="K21" s="135" t="s">
        <v>90</v>
      </c>
      <c r="L21" s="135" t="s">
        <v>90</v>
      </c>
      <c r="M21" s="135" t="s">
        <v>90</v>
      </c>
      <c r="N21" s="135" t="s">
        <v>121</v>
      </c>
      <c r="O21" s="135" t="s">
        <v>122</v>
      </c>
      <c r="P21" s="135" t="s">
        <v>123</v>
      </c>
      <c r="Q21" s="135" t="s">
        <v>90</v>
      </c>
      <c r="R21" s="135" t="s">
        <v>124</v>
      </c>
      <c r="S21" s="135" t="s">
        <v>125</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5" hidden="false" customHeight="false" outlineLevel="0" collapsed="false">
      <c r="A22" s="135" t="s">
        <v>126</v>
      </c>
      <c r="B22" s="135" t="s">
        <v>127</v>
      </c>
      <c r="C22" s="254" t="s">
        <v>23</v>
      </c>
      <c r="D22" s="135" t="s">
        <v>128</v>
      </c>
      <c r="E22" s="135" t="s">
        <v>129</v>
      </c>
      <c r="F22" s="135" t="s">
        <v>130</v>
      </c>
      <c r="G22" s="135" t="s">
        <v>131</v>
      </c>
      <c r="H22" s="135" t="s">
        <v>132</v>
      </c>
      <c r="I22" s="135" t="s">
        <v>133</v>
      </c>
      <c r="J22" s="135" t="s">
        <v>134</v>
      </c>
      <c r="K22" s="135" t="s">
        <v>135</v>
      </c>
      <c r="L22" s="135" t="s">
        <v>136</v>
      </c>
      <c r="M22" s="135" t="s">
        <v>137</v>
      </c>
      <c r="N22" s="135" t="s">
        <v>138</v>
      </c>
      <c r="O22" s="135" t="s">
        <v>139</v>
      </c>
      <c r="P22" s="135" t="s">
        <v>140</v>
      </c>
      <c r="Q22" s="135" t="s">
        <v>90</v>
      </c>
      <c r="R22" s="135" t="s">
        <v>141</v>
      </c>
      <c r="S22" s="135" t="s">
        <v>142</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8" t="s">
        <v>143</v>
      </c>
      <c r="B23" s="138" t="s">
        <v>144</v>
      </c>
      <c r="C23" s="254" t="s">
        <v>23</v>
      </c>
      <c r="D23" s="138" t="s">
        <v>145</v>
      </c>
      <c r="E23" s="138" t="s">
        <v>146</v>
      </c>
      <c r="F23" s="138" t="s">
        <v>1</v>
      </c>
      <c r="G23" s="138" t="s">
        <v>1</v>
      </c>
      <c r="H23" s="138" t="s">
        <v>1</v>
      </c>
      <c r="I23" s="138" t="s">
        <v>1</v>
      </c>
      <c r="J23" s="138" t="s">
        <v>1</v>
      </c>
      <c r="K23" s="138" t="s">
        <v>101</v>
      </c>
      <c r="L23" s="138" t="s">
        <v>101</v>
      </c>
      <c r="M23" s="138" t="s">
        <v>101</v>
      </c>
      <c r="N23" s="138" t="s">
        <v>1</v>
      </c>
      <c r="O23" s="138" t="s">
        <v>147</v>
      </c>
      <c r="P23" s="138" t="s">
        <v>148</v>
      </c>
      <c r="Q23" s="138" t="s">
        <v>101</v>
      </c>
      <c r="R23" s="138" t="s">
        <v>149</v>
      </c>
      <c r="S23" s="138" t="s">
        <v>150</v>
      </c>
      <c r="T23" s="138" t="s">
        <v>151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Not started</v>
      </c>
      <c r="V23" s="146">
        <f>IF(T23="","",VALUE(LEFT(T23,SEARCH("/",T23)-1)))</f>
        <v>10</v>
      </c>
      <c r="W23" s="146">
        <f>IF(T23="","",VALUE(MID(T23,SEARCH("/",T23)+1,LEN(T23))))</f>
        <v>25</v>
      </c>
    </row>
    <row r="24" customFormat="false" ht="15" hidden="false" customHeight="false" outlineLevel="0" collapsed="false">
      <c r="A24" s="138" t="s">
        <v>152</v>
      </c>
      <c r="B24" s="138" t="s">
        <v>153</v>
      </c>
      <c r="C24" s="254" t="s">
        <v>23</v>
      </c>
      <c r="D24" s="138" t="s">
        <v>154</v>
      </c>
      <c r="E24" s="138" t="s">
        <v>155</v>
      </c>
      <c r="F24" s="138" t="s">
        <v>4</v>
      </c>
      <c r="G24" s="138" t="s">
        <v>156</v>
      </c>
      <c r="H24" s="138" t="s">
        <v>4</v>
      </c>
      <c r="I24" s="138" t="s">
        <v>4</v>
      </c>
      <c r="J24" s="138" t="s">
        <v>157</v>
      </c>
      <c r="K24" s="138" t="s">
        <v>158</v>
      </c>
      <c r="L24" s="138" t="s">
        <v>101</v>
      </c>
      <c r="M24" s="138" t="s">
        <v>101</v>
      </c>
      <c r="N24" s="138" t="s">
        <v>1</v>
      </c>
      <c r="O24" s="138" t="s">
        <v>159</v>
      </c>
      <c r="P24" s="138" t="s">
        <v>160</v>
      </c>
      <c r="Q24" s="138" t="s">
        <v>101</v>
      </c>
      <c r="R24" s="138" t="s">
        <v>161</v>
      </c>
      <c r="S24" s="138" t="s">
        <v>95</v>
      </c>
      <c r="T24" s="138" t="s">
        <v>162</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Not started</v>
      </c>
      <c r="V24" s="146">
        <f>IF(T24="","",VALUE(LEFT(T24,SEARCH("/",T24)-1)))</f>
        <v>90</v>
      </c>
      <c r="W24" s="146">
        <f>IF(T24="","",VALUE(MID(T24,SEARCH("/",T24)+1,LEN(T24))))</f>
        <v>180</v>
      </c>
    </row>
    <row r="25" customFormat="false" ht="15" hidden="false" customHeight="false" outlineLevel="0" collapsed="false">
      <c r="A25" s="138" t="s">
        <v>163</v>
      </c>
      <c r="B25" s="138" t="s">
        <v>153</v>
      </c>
      <c r="C25" s="254" t="s">
        <v>23</v>
      </c>
      <c r="D25" s="138" t="s">
        <v>164</v>
      </c>
      <c r="E25" s="138" t="s">
        <v>165</v>
      </c>
      <c r="F25" s="138" t="s">
        <v>4</v>
      </c>
      <c r="G25" s="138" t="s">
        <v>166</v>
      </c>
      <c r="H25" s="138" t="s">
        <v>4</v>
      </c>
      <c r="I25" s="138" t="s">
        <v>167</v>
      </c>
      <c r="J25" s="138" t="s">
        <v>168</v>
      </c>
      <c r="K25" s="138" t="s">
        <v>158</v>
      </c>
      <c r="L25" s="138" t="s">
        <v>101</v>
      </c>
      <c r="M25" s="138" t="s">
        <v>169</v>
      </c>
      <c r="N25" s="138" t="s">
        <v>1</v>
      </c>
      <c r="O25" s="138" t="s">
        <v>170</v>
      </c>
      <c r="P25" s="138" t="s">
        <v>171</v>
      </c>
      <c r="Q25" s="138" t="s">
        <v>101</v>
      </c>
      <c r="R25" s="138" t="s">
        <v>172</v>
      </c>
      <c r="S25" s="138" t="s">
        <v>95</v>
      </c>
      <c r="T25" s="138" t="s">
        <v>162</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Not started</v>
      </c>
      <c r="V25" s="146">
        <f>IF(T25="","",VALUE(LEFT(T25,SEARCH("/",T25)-1)))</f>
        <v>90</v>
      </c>
      <c r="W25" s="146">
        <f>IF(T25="","",VALUE(MID(T25,SEARCH("/",T25)+1,LEN(T25))))</f>
        <v>180</v>
      </c>
    </row>
    <row r="26" customFormat="false" ht="15" hidden="false" customHeight="false" outlineLevel="0" collapsed="false">
      <c r="A26" s="135" t="s">
        <v>173</v>
      </c>
      <c r="B26" s="135" t="s">
        <v>174</v>
      </c>
      <c r="C26" s="252" t="s">
        <v>29</v>
      </c>
      <c r="D26" s="135" t="s">
        <v>175</v>
      </c>
      <c r="E26" s="135" t="s">
        <v>176</v>
      </c>
      <c r="F26" s="135" t="s">
        <v>177</v>
      </c>
      <c r="G26" s="135" t="s">
        <v>178</v>
      </c>
      <c r="H26" s="135" t="s">
        <v>179</v>
      </c>
      <c r="I26" s="135" t="s">
        <v>180</v>
      </c>
      <c r="J26" s="135" t="s">
        <v>181</v>
      </c>
      <c r="K26" s="135" t="s">
        <v>182</v>
      </c>
      <c r="L26" s="135" t="s">
        <v>1</v>
      </c>
      <c r="M26" s="135" t="s">
        <v>1</v>
      </c>
      <c r="N26" s="135" t="s">
        <v>183</v>
      </c>
      <c r="O26" s="135" t="s">
        <v>184</v>
      </c>
      <c r="P26" s="135" t="s">
        <v>185</v>
      </c>
      <c r="Q26" s="135" t="s">
        <v>90</v>
      </c>
      <c r="R26" s="135" t="s">
        <v>186</v>
      </c>
      <c r="S26" s="135" t="s">
        <v>95</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187</v>
      </c>
      <c r="B27" s="135" t="s">
        <v>188</v>
      </c>
      <c r="C27" s="252" t="s">
        <v>29</v>
      </c>
      <c r="D27" s="135" t="s">
        <v>189</v>
      </c>
      <c r="E27" s="135" t="s">
        <v>190</v>
      </c>
      <c r="F27" s="135" t="s">
        <v>4</v>
      </c>
      <c r="G27" s="135" t="s">
        <v>4</v>
      </c>
      <c r="H27" s="135" t="s">
        <v>4</v>
      </c>
      <c r="I27" s="135" t="s">
        <v>4</v>
      </c>
      <c r="J27" s="135" t="s">
        <v>191</v>
      </c>
      <c r="K27" s="135" t="s">
        <v>182</v>
      </c>
      <c r="L27" s="135" t="s">
        <v>1</v>
      </c>
      <c r="M27" s="135" t="s">
        <v>1</v>
      </c>
      <c r="N27" s="135" t="s">
        <v>183</v>
      </c>
      <c r="O27" s="135" t="s">
        <v>192</v>
      </c>
      <c r="P27" s="135" t="s">
        <v>193</v>
      </c>
      <c r="Q27" s="135" t="s">
        <v>90</v>
      </c>
      <c r="R27" s="135" t="s">
        <v>194</v>
      </c>
      <c r="S27" s="135" t="s">
        <v>195</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196</v>
      </c>
      <c r="B28" s="135" t="s">
        <v>197</v>
      </c>
      <c r="C28" s="253" t="s">
        <v>35</v>
      </c>
      <c r="D28" s="135" t="s">
        <v>198</v>
      </c>
      <c r="E28" s="135" t="s">
        <v>199</v>
      </c>
      <c r="F28" s="135" t="s">
        <v>200</v>
      </c>
      <c r="G28" s="135" t="s">
        <v>201</v>
      </c>
      <c r="H28" s="135" t="s">
        <v>202</v>
      </c>
      <c r="I28" s="135" t="s">
        <v>4</v>
      </c>
      <c r="J28" s="135" t="s">
        <v>203</v>
      </c>
      <c r="K28" s="135" t="s">
        <v>204</v>
      </c>
      <c r="L28" s="135" t="s">
        <v>1</v>
      </c>
      <c r="M28" s="135" t="s">
        <v>1</v>
      </c>
      <c r="N28" s="135" t="s">
        <v>205</v>
      </c>
      <c r="O28" s="135" t="s">
        <v>206</v>
      </c>
      <c r="P28" s="135" t="s">
        <v>207</v>
      </c>
      <c r="Q28" s="135" t="s">
        <v>90</v>
      </c>
      <c r="R28" s="135" t="s">
        <v>208</v>
      </c>
      <c r="S28" s="135" t="s">
        <v>209</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210</v>
      </c>
      <c r="B29" s="135" t="s">
        <v>197</v>
      </c>
      <c r="C29" s="253" t="s">
        <v>35</v>
      </c>
      <c r="D29" s="135" t="s">
        <v>211</v>
      </c>
      <c r="E29" s="135" t="s">
        <v>212</v>
      </c>
      <c r="F29" s="135" t="s">
        <v>4</v>
      </c>
      <c r="G29" s="135" t="s">
        <v>213</v>
      </c>
      <c r="H29" s="135" t="s">
        <v>4</v>
      </c>
      <c r="I29" s="135" t="s">
        <v>4</v>
      </c>
      <c r="J29" s="135" t="s">
        <v>214</v>
      </c>
      <c r="K29" s="135" t="s">
        <v>204</v>
      </c>
      <c r="L29" s="135" t="s">
        <v>1</v>
      </c>
      <c r="M29" s="135" t="s">
        <v>1</v>
      </c>
      <c r="N29" s="135" t="s">
        <v>205</v>
      </c>
      <c r="O29" s="135" t="s">
        <v>215</v>
      </c>
      <c r="P29" s="135" t="s">
        <v>216</v>
      </c>
      <c r="Q29" s="135" t="s">
        <v>90</v>
      </c>
      <c r="R29" s="135" t="s">
        <v>217</v>
      </c>
      <c r="S29" s="135" t="s">
        <v>95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218</v>
      </c>
      <c r="B30" s="135" t="s">
        <v>197</v>
      </c>
      <c r="C30" s="253" t="s">
        <v>35</v>
      </c>
      <c r="D30" s="135" t="s">
        <v>211</v>
      </c>
      <c r="E30" s="135" t="s">
        <v>219</v>
      </c>
      <c r="F30" s="135" t="s">
        <v>4</v>
      </c>
      <c r="G30" s="135" t="s">
        <v>220</v>
      </c>
      <c r="H30" s="135" t="s">
        <v>4</v>
      </c>
      <c r="I30" s="135" t="s">
        <v>4</v>
      </c>
      <c r="J30" s="135" t="s">
        <v>221</v>
      </c>
      <c r="K30" s="135" t="s">
        <v>204</v>
      </c>
      <c r="L30" s="135" t="s">
        <v>1</v>
      </c>
      <c r="M30" s="135" t="s">
        <v>1</v>
      </c>
      <c r="N30" s="135" t="s">
        <v>205</v>
      </c>
      <c r="O30" s="135" t="s">
        <v>222</v>
      </c>
      <c r="P30" s="135" t="s">
        <v>223</v>
      </c>
      <c r="Q30" s="135" t="s">
        <v>90</v>
      </c>
      <c r="R30" s="135" t="s">
        <v>224</v>
      </c>
      <c r="S30" s="135" t="s">
        <v>95</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225</v>
      </c>
      <c r="B31" s="135" t="s">
        <v>197</v>
      </c>
      <c r="C31" s="253" t="s">
        <v>35</v>
      </c>
      <c r="D31" s="135" t="s">
        <v>211</v>
      </c>
      <c r="E31" s="135" t="s">
        <v>226</v>
      </c>
      <c r="F31" s="135" t="s">
        <v>4</v>
      </c>
      <c r="G31" s="135" t="s">
        <v>227</v>
      </c>
      <c r="H31" s="135" t="s">
        <v>4</v>
      </c>
      <c r="I31" s="135" t="s">
        <v>4</v>
      </c>
      <c r="J31" s="135" t="s">
        <v>228</v>
      </c>
      <c r="K31" s="135" t="s">
        <v>182</v>
      </c>
      <c r="L31" s="135" t="s">
        <v>1</v>
      </c>
      <c r="M31" s="135" t="s">
        <v>1</v>
      </c>
      <c r="N31" s="135" t="s">
        <v>205</v>
      </c>
      <c r="O31" s="135" t="s">
        <v>229</v>
      </c>
      <c r="P31" s="135" t="s">
        <v>230</v>
      </c>
      <c r="Q31" s="135" t="s">
        <v>90</v>
      </c>
      <c r="R31" s="135" t="s">
        <v>231</v>
      </c>
      <c r="S31" s="135" t="s">
        <v>95</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232</v>
      </c>
      <c r="B32" s="135" t="s">
        <v>233</v>
      </c>
      <c r="C32" s="253" t="s">
        <v>35</v>
      </c>
      <c r="D32" s="135" t="s">
        <v>234</v>
      </c>
      <c r="E32" s="135" t="s">
        <v>235</v>
      </c>
      <c r="F32" s="135" t="s">
        <v>236</v>
      </c>
      <c r="G32" s="135" t="s">
        <v>237</v>
      </c>
      <c r="H32" s="135" t="s">
        <v>4</v>
      </c>
      <c r="I32" s="135" t="s">
        <v>4</v>
      </c>
      <c r="J32" s="135" t="s">
        <v>238</v>
      </c>
      <c r="K32" s="135" t="s">
        <v>182</v>
      </c>
      <c r="L32" s="135" t="s">
        <v>1</v>
      </c>
      <c r="M32" s="135" t="s">
        <v>1</v>
      </c>
      <c r="N32" s="135" t="s">
        <v>239</v>
      </c>
      <c r="O32" s="135" t="s">
        <v>240</v>
      </c>
      <c r="P32" s="135" t="s">
        <v>241</v>
      </c>
      <c r="Q32" s="135" t="s">
        <v>90</v>
      </c>
      <c r="R32" s="135" t="s">
        <v>242</v>
      </c>
      <c r="S32" s="135" t="s">
        <v>95</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243</v>
      </c>
      <c r="B33" s="135" t="s">
        <v>233</v>
      </c>
      <c r="C33" s="253" t="s">
        <v>35</v>
      </c>
      <c r="D33" s="135" t="s">
        <v>244</v>
      </c>
      <c r="E33" s="135" t="s">
        <v>245</v>
      </c>
      <c r="F33" s="135" t="s">
        <v>4</v>
      </c>
      <c r="G33" s="135" t="s">
        <v>246</v>
      </c>
      <c r="H33" s="135" t="s">
        <v>4</v>
      </c>
      <c r="I33" s="135" t="s">
        <v>4</v>
      </c>
      <c r="J33" s="135" t="s">
        <v>247</v>
      </c>
      <c r="K33" s="135" t="s">
        <v>182</v>
      </c>
      <c r="L33" s="135" t="s">
        <v>1</v>
      </c>
      <c r="M33" s="135" t="s">
        <v>1</v>
      </c>
      <c r="N33" s="135" t="s">
        <v>248</v>
      </c>
      <c r="O33" s="135" t="s">
        <v>249</v>
      </c>
      <c r="P33" s="135" t="s">
        <v>250</v>
      </c>
      <c r="Q33" s="135" t="s">
        <v>90</v>
      </c>
      <c r="R33" s="135" t="s">
        <v>251</v>
      </c>
      <c r="S33" s="135" t="s">
        <v>95</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252</v>
      </c>
      <c r="B34" s="135" t="s">
        <v>253</v>
      </c>
      <c r="C34" s="253" t="s">
        <v>35</v>
      </c>
      <c r="D34" s="135" t="s">
        <v>254</v>
      </c>
      <c r="E34" s="135" t="s">
        <v>255</v>
      </c>
      <c r="F34" s="135" t="s">
        <v>256</v>
      </c>
      <c r="G34" s="135" t="s">
        <v>257</v>
      </c>
      <c r="H34" s="135" t="s">
        <v>4</v>
      </c>
      <c r="I34" s="135" t="s">
        <v>258</v>
      </c>
      <c r="J34" s="135" t="s">
        <v>259</v>
      </c>
      <c r="K34" s="135" t="s">
        <v>260</v>
      </c>
      <c r="L34" s="135" t="s">
        <v>1</v>
      </c>
      <c r="M34" s="135" t="s">
        <v>1</v>
      </c>
      <c r="N34" s="135" t="s">
        <v>261</v>
      </c>
      <c r="O34" s="135" t="s">
        <v>262</v>
      </c>
      <c r="P34" s="135" t="s">
        <v>263</v>
      </c>
      <c r="Q34" s="135" t="s">
        <v>90</v>
      </c>
      <c r="R34" s="135" t="s">
        <v>264</v>
      </c>
      <c r="S34" s="135" t="s">
        <v>265</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266</v>
      </c>
      <c r="B35" s="135" t="s">
        <v>267</v>
      </c>
      <c r="C35" s="253" t="s">
        <v>35</v>
      </c>
      <c r="D35" s="135" t="s">
        <v>268</v>
      </c>
      <c r="E35" s="135" t="s">
        <v>269</v>
      </c>
      <c r="F35" s="135" t="s">
        <v>270</v>
      </c>
      <c r="G35" s="135" t="s">
        <v>271</v>
      </c>
      <c r="H35" s="135" t="s">
        <v>272</v>
      </c>
      <c r="I35" s="135" t="s">
        <v>8</v>
      </c>
      <c r="J35" s="135" t="s">
        <v>273</v>
      </c>
      <c r="K35" s="135" t="s">
        <v>260</v>
      </c>
      <c r="L35" s="135" t="s">
        <v>1</v>
      </c>
      <c r="M35" s="135" t="s">
        <v>1</v>
      </c>
      <c r="N35" s="135" t="s">
        <v>261</v>
      </c>
      <c r="O35" s="135" t="s">
        <v>274</v>
      </c>
      <c r="P35" s="135" t="s">
        <v>275</v>
      </c>
      <c r="Q35" s="135" t="s">
        <v>90</v>
      </c>
      <c r="R35" s="135" t="s">
        <v>276</v>
      </c>
      <c r="S35" s="135" t="s">
        <v>209</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277</v>
      </c>
      <c r="B36" s="135" t="s">
        <v>278</v>
      </c>
      <c r="C36" s="253" t="s">
        <v>35</v>
      </c>
      <c r="D36" s="135" t="s">
        <v>279</v>
      </c>
      <c r="E36" s="135" t="s">
        <v>280</v>
      </c>
      <c r="F36" s="135" t="s">
        <v>4</v>
      </c>
      <c r="G36" s="135" t="s">
        <v>281</v>
      </c>
      <c r="H36" s="135" t="s">
        <v>4</v>
      </c>
      <c r="I36" s="135" t="s">
        <v>4</v>
      </c>
      <c r="J36" s="135" t="s">
        <v>282</v>
      </c>
      <c r="K36" s="135" t="s">
        <v>283</v>
      </c>
      <c r="L36" s="135" t="s">
        <v>101</v>
      </c>
      <c r="M36" s="135" t="s">
        <v>284</v>
      </c>
      <c r="N36" s="135" t="s">
        <v>138</v>
      </c>
      <c r="O36" s="135" t="s">
        <v>285</v>
      </c>
      <c r="P36" s="135" t="s">
        <v>286</v>
      </c>
      <c r="Q36" s="135" t="s">
        <v>90</v>
      </c>
      <c r="R36" s="135" t="s">
        <v>287</v>
      </c>
      <c r="S36" s="135" t="s">
        <v>288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8" t="s">
        <v>289</v>
      </c>
      <c r="B37" s="138" t="s">
        <v>144</v>
      </c>
      <c r="C37" s="253" t="s">
        <v>35</v>
      </c>
      <c r="D37" s="138" t="s">
        <v>290</v>
      </c>
      <c r="E37" s="138" t="s">
        <v>291</v>
      </c>
      <c r="F37" s="138" t="s">
        <v>1</v>
      </c>
      <c r="G37" s="138" t="s">
        <v>1</v>
      </c>
      <c r="H37" s="138" t="s">
        <v>1</v>
      </c>
      <c r="I37" s="138" t="s">
        <v>1</v>
      </c>
      <c r="J37" s="138" t="s">
        <v>1</v>
      </c>
      <c r="K37" s="138" t="s">
        <v>101</v>
      </c>
      <c r="L37" s="138" t="s">
        <v>101</v>
      </c>
      <c r="M37" s="138" t="s">
        <v>101</v>
      </c>
      <c r="N37" s="138" t="s">
        <v>1</v>
      </c>
      <c r="O37" s="138" t="s">
        <v>292</v>
      </c>
      <c r="P37" s="138" t="s">
        <v>293</v>
      </c>
      <c r="Q37" s="138" t="s">
        <v>101</v>
      </c>
      <c r="R37" s="138" t="s">
        <v>149</v>
      </c>
      <c r="S37" s="138" t="s">
        <v>150</v>
      </c>
      <c r="T37" s="138" t="s">
        <v>151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Not started</v>
      </c>
      <c r="V37" s="146">
        <f>IF(T37="","",VALUE(LEFT(T37,SEARCH("/",T37)-1)))</f>
        <v>10</v>
      </c>
      <c r="W37" s="146">
        <f>IF(T37="","",VALUE(MID(T37,SEARCH("/",T37)+1,LEN(T37))))</f>
        <v>25</v>
      </c>
    </row>
    <row r="38" customFormat="false" ht="15" hidden="false" customHeight="false" outlineLevel="0" collapsed="false">
      <c r="A38" s="135" t="s">
        <v>294</v>
      </c>
      <c r="B38" s="135" t="s">
        <v>84</v>
      </c>
      <c r="C38" s="256" t="s">
        <v>41</v>
      </c>
      <c r="D38" s="135" t="s">
        <v>295</v>
      </c>
      <c r="E38" s="135" t="s">
        <v>296</v>
      </c>
      <c r="F38" s="135" t="s">
        <v>4</v>
      </c>
      <c r="G38" s="135" t="s">
        <v>4</v>
      </c>
      <c r="H38" s="135" t="s">
        <v>4</v>
      </c>
      <c r="I38" s="135" t="s">
        <v>4</v>
      </c>
      <c r="J38" s="135" t="s">
        <v>297</v>
      </c>
      <c r="K38" s="135" t="s">
        <v>100</v>
      </c>
      <c r="L38" s="135" t="s">
        <v>90</v>
      </c>
      <c r="M38" s="135" t="s">
        <v>298</v>
      </c>
      <c r="N38" s="135" t="s">
        <v>91</v>
      </c>
      <c r="O38" s="135" t="s">
        <v>299</v>
      </c>
      <c r="P38" s="135" t="s">
        <v>300</v>
      </c>
      <c r="Q38" s="135" t="s">
        <v>90</v>
      </c>
      <c r="R38" s="135" t="s">
        <v>301</v>
      </c>
      <c r="S38" s="135" t="s">
        <v>95</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302</v>
      </c>
      <c r="B39" s="135" t="s">
        <v>84</v>
      </c>
      <c r="C39" s="256" t="s">
        <v>41</v>
      </c>
      <c r="D39" s="135" t="s">
        <v>303</v>
      </c>
      <c r="E39" s="135" t="s">
        <v>304</v>
      </c>
      <c r="F39" s="135" t="s">
        <v>4</v>
      </c>
      <c r="G39" s="135" t="s">
        <v>4</v>
      </c>
      <c r="H39" s="135" t="s">
        <v>4</v>
      </c>
      <c r="I39" s="135" t="s">
        <v>4</v>
      </c>
      <c r="J39" s="135" t="s">
        <v>297</v>
      </c>
      <c r="K39" s="135" t="s">
        <v>100</v>
      </c>
      <c r="L39" s="135" t="s">
        <v>90</v>
      </c>
      <c r="M39" s="135" t="s">
        <v>298</v>
      </c>
      <c r="N39" s="135" t="s">
        <v>91</v>
      </c>
      <c r="O39" s="135" t="s">
        <v>305</v>
      </c>
      <c r="P39" s="135" t="s">
        <v>306</v>
      </c>
      <c r="Q39" s="135" t="s">
        <v>90</v>
      </c>
      <c r="R39" s="135" t="s">
        <v>307</v>
      </c>
      <c r="S39" s="135" t="s">
        <v>95</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308</v>
      </c>
      <c r="B40" s="135" t="s">
        <v>309</v>
      </c>
      <c r="C40" s="256" t="s">
        <v>41</v>
      </c>
      <c r="D40" s="135" t="s">
        <v>310</v>
      </c>
      <c r="E40" s="135" t="s">
        <v>311</v>
      </c>
      <c r="F40" s="135" t="s">
        <v>4</v>
      </c>
      <c r="G40" s="135" t="s">
        <v>312</v>
      </c>
      <c r="H40" s="135" t="s">
        <v>313</v>
      </c>
      <c r="I40" s="135" t="s">
        <v>314</v>
      </c>
      <c r="J40" s="135" t="s">
        <v>315</v>
      </c>
      <c r="K40" s="135" t="s">
        <v>316</v>
      </c>
      <c r="L40" s="135" t="s">
        <v>90</v>
      </c>
      <c r="M40" s="135" t="s">
        <v>317</v>
      </c>
      <c r="N40" s="135" t="s">
        <v>91</v>
      </c>
      <c r="O40" s="135" t="s">
        <v>318</v>
      </c>
      <c r="P40" s="135" t="s">
        <v>319</v>
      </c>
      <c r="Q40" s="135" t="s">
        <v>90</v>
      </c>
      <c r="R40" s="135" t="s">
        <v>320</v>
      </c>
      <c r="S40" s="135" t="s">
        <v>209</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321</v>
      </c>
      <c r="B41" s="135" t="s">
        <v>322</v>
      </c>
      <c r="C41" s="256" t="s">
        <v>41</v>
      </c>
      <c r="D41" s="135" t="s">
        <v>323</v>
      </c>
      <c r="E41" s="135" t="s">
        <v>324</v>
      </c>
      <c r="F41" s="135" t="s">
        <v>325</v>
      </c>
      <c r="G41" s="135" t="s">
        <v>326</v>
      </c>
      <c r="H41" s="135" t="s">
        <v>327</v>
      </c>
      <c r="I41" s="135" t="s">
        <v>328</v>
      </c>
      <c r="J41" s="135" t="s">
        <v>329</v>
      </c>
      <c r="K41" s="135" t="s">
        <v>330</v>
      </c>
      <c r="L41" s="135" t="s">
        <v>331</v>
      </c>
      <c r="M41" s="135" t="s">
        <v>101</v>
      </c>
      <c r="N41" s="135" t="s">
        <v>91</v>
      </c>
      <c r="O41" s="135" t="s">
        <v>332</v>
      </c>
      <c r="P41" s="135" t="s">
        <v>333</v>
      </c>
      <c r="Q41" s="135" t="s">
        <v>90</v>
      </c>
      <c r="R41" s="135" t="s">
        <v>334</v>
      </c>
      <c r="S41" s="135" t="s">
        <v>335</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336</v>
      </c>
      <c r="B42" s="135" t="s">
        <v>337</v>
      </c>
      <c r="C42" s="256" t="s">
        <v>41</v>
      </c>
      <c r="D42" s="135" t="s">
        <v>338</v>
      </c>
      <c r="E42" s="135" t="s">
        <v>339</v>
      </c>
      <c r="F42" s="135" t="s">
        <v>340</v>
      </c>
      <c r="G42" s="135" t="s">
        <v>341</v>
      </c>
      <c r="H42" s="135" t="s">
        <v>342</v>
      </c>
      <c r="I42" s="135" t="s">
        <v>343</v>
      </c>
      <c r="J42" s="135" t="s">
        <v>344</v>
      </c>
      <c r="K42" s="135" t="s">
        <v>345</v>
      </c>
      <c r="L42" s="135" t="s">
        <v>1</v>
      </c>
      <c r="M42" s="135" t="s">
        <v>1</v>
      </c>
      <c r="N42" s="135" t="s">
        <v>346</v>
      </c>
      <c r="O42" s="135" t="s">
        <v>347</v>
      </c>
      <c r="P42" s="135" t="s">
        <v>348</v>
      </c>
      <c r="Q42" s="135" t="s">
        <v>90</v>
      </c>
      <c r="R42" s="135" t="s">
        <v>349</v>
      </c>
      <c r="S42" s="135" t="s">
        <v>195</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350</v>
      </c>
      <c r="B43" s="135" t="s">
        <v>351</v>
      </c>
      <c r="C43" s="256" t="s">
        <v>41</v>
      </c>
      <c r="D43" s="135" t="s">
        <v>352</v>
      </c>
      <c r="E43" s="135" t="s">
        <v>353</v>
      </c>
      <c r="F43" s="135" t="s">
        <v>354</v>
      </c>
      <c r="G43" s="135" t="s">
        <v>355</v>
      </c>
      <c r="H43" s="135" t="s">
        <v>356</v>
      </c>
      <c r="I43" s="135" t="s">
        <v>357</v>
      </c>
      <c r="J43" s="135" t="s">
        <v>358</v>
      </c>
      <c r="K43" s="135" t="s">
        <v>345</v>
      </c>
      <c r="L43" s="135" t="s">
        <v>1</v>
      </c>
      <c r="M43" s="135" t="s">
        <v>1</v>
      </c>
      <c r="N43" s="135" t="s">
        <v>346</v>
      </c>
      <c r="O43" s="135" t="s">
        <v>359</v>
      </c>
      <c r="P43" s="135" t="s">
        <v>360</v>
      </c>
      <c r="Q43" s="135" t="s">
        <v>90</v>
      </c>
      <c r="R43" s="135" t="s">
        <v>361</v>
      </c>
      <c r="S43" s="135" t="s">
        <v>209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362</v>
      </c>
      <c r="B44" s="135" t="s">
        <v>337</v>
      </c>
      <c r="C44" s="256" t="s">
        <v>41</v>
      </c>
      <c r="D44" s="135" t="s">
        <v>338</v>
      </c>
      <c r="E44" s="135" t="s">
        <v>363</v>
      </c>
      <c r="F44" s="135" t="s">
        <v>364</v>
      </c>
      <c r="G44" s="135" t="s">
        <v>365</v>
      </c>
      <c r="H44" s="135" t="s">
        <v>342</v>
      </c>
      <c r="I44" s="135" t="s">
        <v>366</v>
      </c>
      <c r="J44" s="135" t="s">
        <v>367</v>
      </c>
      <c r="K44" s="135" t="s">
        <v>345</v>
      </c>
      <c r="L44" s="135" t="s">
        <v>1</v>
      </c>
      <c r="M44" s="135" t="s">
        <v>1</v>
      </c>
      <c r="N44" s="135" t="s">
        <v>346</v>
      </c>
      <c r="O44" s="135" t="s">
        <v>368</v>
      </c>
      <c r="P44" s="135" t="s">
        <v>369</v>
      </c>
      <c r="Q44" s="135" t="s">
        <v>90</v>
      </c>
      <c r="R44" s="135" t="s">
        <v>370</v>
      </c>
      <c r="S44" s="135" t="s">
        <v>371</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372</v>
      </c>
      <c r="B45" s="135" t="s">
        <v>373</v>
      </c>
      <c r="C45" s="256" t="s">
        <v>41</v>
      </c>
      <c r="D45" s="135" t="s">
        <v>374</v>
      </c>
      <c r="E45" s="135" t="s">
        <v>375</v>
      </c>
      <c r="F45" s="135" t="s">
        <v>4</v>
      </c>
      <c r="G45" s="135" t="s">
        <v>376</v>
      </c>
      <c r="H45" s="135" t="s">
        <v>4</v>
      </c>
      <c r="I45" s="135" t="s">
        <v>377</v>
      </c>
      <c r="J45" s="135" t="s">
        <v>378</v>
      </c>
      <c r="K45" s="135" t="s">
        <v>182</v>
      </c>
      <c r="L45" s="135" t="s">
        <v>1</v>
      </c>
      <c r="M45" s="135" t="s">
        <v>1</v>
      </c>
      <c r="N45" s="135" t="s">
        <v>205</v>
      </c>
      <c r="O45" s="135" t="s">
        <v>379</v>
      </c>
      <c r="P45" s="135" t="s">
        <v>380</v>
      </c>
      <c r="Q45" s="135" t="s">
        <v>90</v>
      </c>
      <c r="R45" s="135" t="s">
        <v>381</v>
      </c>
      <c r="S45" s="135" t="s">
        <v>382</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383</v>
      </c>
      <c r="B46" s="135" t="s">
        <v>384</v>
      </c>
      <c r="C46" s="256" t="s">
        <v>41</v>
      </c>
      <c r="D46" s="135" t="s">
        <v>385</v>
      </c>
      <c r="E46" s="135" t="s">
        <v>386</v>
      </c>
      <c r="F46" s="135" t="s">
        <v>364</v>
      </c>
      <c r="G46" s="135" t="s">
        <v>387</v>
      </c>
      <c r="H46" s="135" t="s">
        <v>4</v>
      </c>
      <c r="I46" s="135" t="s">
        <v>388</v>
      </c>
      <c r="J46" s="135" t="s">
        <v>389</v>
      </c>
      <c r="K46" s="135" t="s">
        <v>390</v>
      </c>
      <c r="L46" s="135" t="s">
        <v>1</v>
      </c>
      <c r="M46" s="135" t="s">
        <v>1</v>
      </c>
      <c r="N46" s="135" t="s">
        <v>205</v>
      </c>
      <c r="O46" s="135" t="s">
        <v>391</v>
      </c>
      <c r="P46" s="135" t="s">
        <v>392</v>
      </c>
      <c r="Q46" s="135" t="s">
        <v>90</v>
      </c>
      <c r="R46" s="135" t="s">
        <v>393</v>
      </c>
      <c r="S46" s="135" t="s">
        <v>95</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394</v>
      </c>
      <c r="B47" s="135" t="s">
        <v>337</v>
      </c>
      <c r="C47" s="256" t="s">
        <v>41</v>
      </c>
      <c r="D47" s="135" t="s">
        <v>395</v>
      </c>
      <c r="E47" s="135" t="s">
        <v>396</v>
      </c>
      <c r="F47" s="135" t="s">
        <v>397</v>
      </c>
      <c r="G47" s="135" t="s">
        <v>398</v>
      </c>
      <c r="H47" s="135" t="s">
        <v>399</v>
      </c>
      <c r="I47" s="135" t="s">
        <v>400</v>
      </c>
      <c r="J47" s="135" t="s">
        <v>401</v>
      </c>
      <c r="K47" s="135" t="s">
        <v>345</v>
      </c>
      <c r="L47" s="135" t="s">
        <v>1</v>
      </c>
      <c r="M47" s="135" t="s">
        <v>1</v>
      </c>
      <c r="N47" s="135" t="s">
        <v>346</v>
      </c>
      <c r="O47" s="135" t="s">
        <v>402</v>
      </c>
      <c r="P47" s="135" t="s">
        <v>403</v>
      </c>
      <c r="Q47" s="135" t="s">
        <v>90</v>
      </c>
      <c r="R47" s="135" t="s">
        <v>404</v>
      </c>
      <c r="S47" s="135" t="s">
        <v>405</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406</v>
      </c>
      <c r="B48" s="135" t="s">
        <v>407</v>
      </c>
      <c r="C48" s="256" t="s">
        <v>41</v>
      </c>
      <c r="D48" s="135" t="s">
        <v>408</v>
      </c>
      <c r="E48" s="135" t="s">
        <v>409</v>
      </c>
      <c r="F48" s="135" t="s">
        <v>4</v>
      </c>
      <c r="G48" s="135" t="s">
        <v>410</v>
      </c>
      <c r="H48" s="135" t="s">
        <v>4</v>
      </c>
      <c r="I48" s="135" t="s">
        <v>411</v>
      </c>
      <c r="J48" s="135" t="s">
        <v>412</v>
      </c>
      <c r="K48" s="135" t="s">
        <v>413</v>
      </c>
      <c r="L48" s="135" t="s">
        <v>1</v>
      </c>
      <c r="M48" s="135" t="s">
        <v>1</v>
      </c>
      <c r="N48" s="135" t="s">
        <v>346</v>
      </c>
      <c r="O48" s="135" t="s">
        <v>414</v>
      </c>
      <c r="P48" s="135" t="s">
        <v>415</v>
      </c>
      <c r="Q48" s="135" t="s">
        <v>90</v>
      </c>
      <c r="R48" s="135" t="s">
        <v>416</v>
      </c>
      <c r="S48" s="135" t="s">
        <v>417</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418</v>
      </c>
      <c r="B49" s="135" t="s">
        <v>419</v>
      </c>
      <c r="C49" s="256" t="s">
        <v>41</v>
      </c>
      <c r="D49" s="135" t="s">
        <v>420</v>
      </c>
      <c r="E49" s="135" t="s">
        <v>421</v>
      </c>
      <c r="F49" s="135" t="s">
        <v>422</v>
      </c>
      <c r="G49" s="135" t="s">
        <v>423</v>
      </c>
      <c r="H49" s="135" t="s">
        <v>424</v>
      </c>
      <c r="I49" s="135" t="s">
        <v>425</v>
      </c>
      <c r="J49" s="135" t="s">
        <v>426</v>
      </c>
      <c r="K49" s="135" t="s">
        <v>390</v>
      </c>
      <c r="L49" s="135" t="s">
        <v>1</v>
      </c>
      <c r="M49" s="135" t="s">
        <v>1</v>
      </c>
      <c r="N49" s="135" t="s">
        <v>346</v>
      </c>
      <c r="O49" s="135" t="s">
        <v>427</v>
      </c>
      <c r="P49" s="135" t="s">
        <v>428</v>
      </c>
      <c r="Q49" s="135" t="s">
        <v>90</v>
      </c>
      <c r="R49" s="135" t="s">
        <v>429</v>
      </c>
      <c r="S49" s="135" t="s">
        <v>335</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430</v>
      </c>
      <c r="B50" s="135" t="s">
        <v>351</v>
      </c>
      <c r="C50" s="256" t="s">
        <v>41</v>
      </c>
      <c r="D50" s="135" t="s">
        <v>431</v>
      </c>
      <c r="E50" s="135" t="s">
        <v>432</v>
      </c>
      <c r="F50" s="135" t="s">
        <v>4</v>
      </c>
      <c r="G50" s="135" t="s">
        <v>433</v>
      </c>
      <c r="H50" s="135" t="s">
        <v>4</v>
      </c>
      <c r="I50" s="135" t="s">
        <v>4</v>
      </c>
      <c r="J50" s="135" t="s">
        <v>434</v>
      </c>
      <c r="K50" s="135" t="s">
        <v>390</v>
      </c>
      <c r="L50" s="135" t="s">
        <v>1</v>
      </c>
      <c r="M50" s="135" t="s">
        <v>1</v>
      </c>
      <c r="N50" s="135" t="s">
        <v>346</v>
      </c>
      <c r="O50" s="135" t="s">
        <v>435</v>
      </c>
      <c r="P50" s="135" t="s">
        <v>436</v>
      </c>
      <c r="Q50" s="135" t="s">
        <v>90</v>
      </c>
      <c r="R50" s="135" t="s">
        <v>437</v>
      </c>
      <c r="S50" s="135" t="s">
        <v>438</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439</v>
      </c>
      <c r="B51" s="135" t="s">
        <v>253</v>
      </c>
      <c r="C51" s="256" t="s">
        <v>41</v>
      </c>
      <c r="D51" s="135" t="s">
        <v>440</v>
      </c>
      <c r="E51" s="135" t="s">
        <v>441</v>
      </c>
      <c r="F51" s="135" t="s">
        <v>442</v>
      </c>
      <c r="G51" s="135" t="s">
        <v>443</v>
      </c>
      <c r="H51" s="135" t="s">
        <v>444</v>
      </c>
      <c r="I51" s="135" t="s">
        <v>445</v>
      </c>
      <c r="J51" s="135" t="s">
        <v>446</v>
      </c>
      <c r="K51" s="135" t="s">
        <v>390</v>
      </c>
      <c r="L51" s="135" t="s">
        <v>1</v>
      </c>
      <c r="M51" s="135" t="s">
        <v>1</v>
      </c>
      <c r="N51" s="135" t="s">
        <v>447</v>
      </c>
      <c r="O51" s="135" t="s">
        <v>448</v>
      </c>
      <c r="P51" s="135" t="s">
        <v>449</v>
      </c>
      <c r="Q51" s="135" t="s">
        <v>90</v>
      </c>
      <c r="R51" s="135" t="s">
        <v>450</v>
      </c>
      <c r="S51" s="135" t="s">
        <v>209</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451</v>
      </c>
      <c r="B52" s="135" t="s">
        <v>253</v>
      </c>
      <c r="C52" s="256" t="s">
        <v>41</v>
      </c>
      <c r="D52" s="135" t="s">
        <v>452</v>
      </c>
      <c r="E52" s="135" t="s">
        <v>453</v>
      </c>
      <c r="F52" s="135" t="s">
        <v>454</v>
      </c>
      <c r="G52" s="135" t="s">
        <v>455</v>
      </c>
      <c r="H52" s="135" t="s">
        <v>456</v>
      </c>
      <c r="I52" s="135" t="s">
        <v>457</v>
      </c>
      <c r="J52" s="135" t="s">
        <v>458</v>
      </c>
      <c r="K52" s="135" t="s">
        <v>459</v>
      </c>
      <c r="L52" s="135" t="s">
        <v>1</v>
      </c>
      <c r="M52" s="135" t="s">
        <v>1</v>
      </c>
      <c r="N52" s="135" t="s">
        <v>460</v>
      </c>
      <c r="O52" s="135" t="s">
        <v>461</v>
      </c>
      <c r="P52" s="135" t="s">
        <v>462</v>
      </c>
      <c r="Q52" s="135" t="s">
        <v>90</v>
      </c>
      <c r="R52" s="135" t="s">
        <v>463</v>
      </c>
      <c r="S52" s="135" t="s">
        <v>95</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464</v>
      </c>
      <c r="B53" s="135" t="s">
        <v>337</v>
      </c>
      <c r="C53" s="256" t="s">
        <v>41</v>
      </c>
      <c r="D53" s="135" t="s">
        <v>465</v>
      </c>
      <c r="E53" s="135" t="s">
        <v>466</v>
      </c>
      <c r="F53" s="135" t="s">
        <v>467</v>
      </c>
      <c r="G53" s="135" t="s">
        <v>365</v>
      </c>
      <c r="H53" s="135" t="s">
        <v>342</v>
      </c>
      <c r="I53" s="135" t="s">
        <v>468</v>
      </c>
      <c r="J53" s="135" t="s">
        <v>469</v>
      </c>
      <c r="K53" s="135" t="s">
        <v>345</v>
      </c>
      <c r="L53" s="135" t="s">
        <v>1</v>
      </c>
      <c r="M53" s="135" t="s">
        <v>1</v>
      </c>
      <c r="N53" s="135" t="s">
        <v>346</v>
      </c>
      <c r="O53" s="135" t="s">
        <v>470</v>
      </c>
      <c r="P53" s="135" t="s">
        <v>471</v>
      </c>
      <c r="Q53" s="135" t="s">
        <v>90</v>
      </c>
      <c r="R53" s="135" t="s">
        <v>472</v>
      </c>
      <c r="S53" s="135" t="s">
        <v>473</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474</v>
      </c>
      <c r="B54" s="135" t="s">
        <v>337</v>
      </c>
      <c r="C54" s="256" t="s">
        <v>41</v>
      </c>
      <c r="D54" s="135" t="s">
        <v>465</v>
      </c>
      <c r="E54" s="135" t="s">
        <v>475</v>
      </c>
      <c r="F54" s="135" t="s">
        <v>476</v>
      </c>
      <c r="G54" s="135" t="s">
        <v>477</v>
      </c>
      <c r="H54" s="135" t="s">
        <v>342</v>
      </c>
      <c r="I54" s="135" t="s">
        <v>478</v>
      </c>
      <c r="J54" s="135" t="s">
        <v>479</v>
      </c>
      <c r="K54" s="135" t="s">
        <v>480</v>
      </c>
      <c r="L54" s="135" t="s">
        <v>1</v>
      </c>
      <c r="M54" s="135" t="s">
        <v>1</v>
      </c>
      <c r="N54" s="135" t="s">
        <v>205</v>
      </c>
      <c r="O54" s="135" t="s">
        <v>481</v>
      </c>
      <c r="P54" s="135" t="s">
        <v>482</v>
      </c>
      <c r="Q54" s="135" t="s">
        <v>90</v>
      </c>
      <c r="R54" s="135" t="s">
        <v>483</v>
      </c>
      <c r="S54" s="135" t="s">
        <v>484</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485</v>
      </c>
      <c r="B55" s="135" t="s">
        <v>337</v>
      </c>
      <c r="C55" s="256" t="s">
        <v>41</v>
      </c>
      <c r="D55" s="135" t="s">
        <v>465</v>
      </c>
      <c r="E55" s="135" t="s">
        <v>486</v>
      </c>
      <c r="F55" s="135" t="s">
        <v>487</v>
      </c>
      <c r="G55" s="135" t="s">
        <v>488</v>
      </c>
      <c r="H55" s="135" t="s">
        <v>342</v>
      </c>
      <c r="I55" s="135" t="s">
        <v>489</v>
      </c>
      <c r="J55" s="135" t="s">
        <v>490</v>
      </c>
      <c r="K55" s="135" t="s">
        <v>345</v>
      </c>
      <c r="L55" s="135" t="s">
        <v>1</v>
      </c>
      <c r="M55" s="135" t="s">
        <v>1</v>
      </c>
      <c r="N55" s="135" t="s">
        <v>239</v>
      </c>
      <c r="O55" s="135" t="s">
        <v>491</v>
      </c>
      <c r="P55" s="135" t="s">
        <v>492</v>
      </c>
      <c r="Q55" s="135" t="s">
        <v>90</v>
      </c>
      <c r="R55" s="135" t="s">
        <v>493</v>
      </c>
      <c r="S55" s="135" t="s">
        <v>405</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494</v>
      </c>
      <c r="B56" s="135" t="s">
        <v>337</v>
      </c>
      <c r="C56" s="256" t="s">
        <v>41</v>
      </c>
      <c r="D56" s="135" t="s">
        <v>495</v>
      </c>
      <c r="E56" s="135" t="s">
        <v>496</v>
      </c>
      <c r="F56" s="135" t="s">
        <v>497</v>
      </c>
      <c r="G56" s="135" t="s">
        <v>498</v>
      </c>
      <c r="H56" s="135" t="s">
        <v>499</v>
      </c>
      <c r="I56" s="135" t="s">
        <v>500</v>
      </c>
      <c r="J56" s="135" t="s">
        <v>501</v>
      </c>
      <c r="K56" s="135" t="s">
        <v>345</v>
      </c>
      <c r="L56" s="135" t="s">
        <v>1</v>
      </c>
      <c r="M56" s="135" t="s">
        <v>1</v>
      </c>
      <c r="N56" s="135" t="s">
        <v>239</v>
      </c>
      <c r="O56" s="135" t="s">
        <v>502</v>
      </c>
      <c r="P56" s="135" t="s">
        <v>503</v>
      </c>
      <c r="Q56" s="135" t="s">
        <v>90</v>
      </c>
      <c r="R56" s="135" t="s">
        <v>504</v>
      </c>
      <c r="S56" s="135" t="s">
        <v>484</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505</v>
      </c>
      <c r="B57" s="135" t="s">
        <v>337</v>
      </c>
      <c r="C57" s="256" t="s">
        <v>41</v>
      </c>
      <c r="D57" s="135" t="s">
        <v>506</v>
      </c>
      <c r="E57" s="135" t="s">
        <v>507</v>
      </c>
      <c r="F57" s="135" t="s">
        <v>4</v>
      </c>
      <c r="G57" s="135" t="s">
        <v>4</v>
      </c>
      <c r="H57" s="135" t="s">
        <v>4</v>
      </c>
      <c r="I57" s="135" t="s">
        <v>4</v>
      </c>
      <c r="J57" s="135" t="s">
        <v>508</v>
      </c>
      <c r="K57" s="135" t="s">
        <v>345</v>
      </c>
      <c r="L57" s="135" t="s">
        <v>1</v>
      </c>
      <c r="M57" s="135" t="s">
        <v>1</v>
      </c>
      <c r="N57" s="135" t="s">
        <v>239</v>
      </c>
      <c r="O57" s="135" t="s">
        <v>509</v>
      </c>
      <c r="P57" s="135" t="s">
        <v>510</v>
      </c>
      <c r="Q57" s="135" t="s">
        <v>90</v>
      </c>
      <c r="R57" s="135" t="s">
        <v>511</v>
      </c>
      <c r="S57" s="135" t="s">
        <v>512</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513</v>
      </c>
      <c r="B58" s="135" t="s">
        <v>337</v>
      </c>
      <c r="C58" s="256" t="s">
        <v>41</v>
      </c>
      <c r="D58" s="135" t="s">
        <v>514</v>
      </c>
      <c r="E58" s="135" t="s">
        <v>515</v>
      </c>
      <c r="F58" s="135" t="s">
        <v>516</v>
      </c>
      <c r="G58" s="135" t="s">
        <v>517</v>
      </c>
      <c r="H58" s="135" t="s">
        <v>518</v>
      </c>
      <c r="I58" s="135" t="s">
        <v>519</v>
      </c>
      <c r="J58" s="135" t="s">
        <v>520</v>
      </c>
      <c r="K58" s="135" t="s">
        <v>345</v>
      </c>
      <c r="L58" s="135" t="s">
        <v>1</v>
      </c>
      <c r="M58" s="135" t="s">
        <v>1</v>
      </c>
      <c r="N58" s="135" t="s">
        <v>239</v>
      </c>
      <c r="O58" s="135" t="s">
        <v>521</v>
      </c>
      <c r="P58" s="135" t="s">
        <v>522</v>
      </c>
      <c r="Q58" s="135" t="s">
        <v>90</v>
      </c>
      <c r="R58" s="135" t="s">
        <v>523</v>
      </c>
      <c r="S58" s="135" t="s">
        <v>405</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524</v>
      </c>
      <c r="B59" s="135" t="s">
        <v>337</v>
      </c>
      <c r="C59" s="256" t="s">
        <v>41</v>
      </c>
      <c r="D59" s="135" t="s">
        <v>525</v>
      </c>
      <c r="E59" s="135" t="s">
        <v>526</v>
      </c>
      <c r="F59" s="135" t="s">
        <v>4</v>
      </c>
      <c r="G59" s="135" t="s">
        <v>4</v>
      </c>
      <c r="H59" s="135" t="s">
        <v>4</v>
      </c>
      <c r="I59" s="135" t="s">
        <v>4</v>
      </c>
      <c r="J59" s="135" t="s">
        <v>527</v>
      </c>
      <c r="K59" s="135" t="s">
        <v>528</v>
      </c>
      <c r="L59" s="135" t="s">
        <v>1</v>
      </c>
      <c r="M59" s="135" t="s">
        <v>1</v>
      </c>
      <c r="N59" s="135" t="s">
        <v>346</v>
      </c>
      <c r="O59" s="135" t="s">
        <v>529</v>
      </c>
      <c r="P59" s="135" t="s">
        <v>530</v>
      </c>
      <c r="Q59" s="135" t="s">
        <v>90</v>
      </c>
      <c r="R59" s="135" t="s">
        <v>531</v>
      </c>
      <c r="S59" s="135" t="s">
        <v>95</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532</v>
      </c>
      <c r="B60" s="135" t="s">
        <v>337</v>
      </c>
      <c r="C60" s="256" t="s">
        <v>41</v>
      </c>
      <c r="D60" s="135" t="s">
        <v>514</v>
      </c>
      <c r="E60" s="135" t="s">
        <v>533</v>
      </c>
      <c r="F60" s="135" t="s">
        <v>534</v>
      </c>
      <c r="G60" s="135" t="s">
        <v>535</v>
      </c>
      <c r="H60" s="135" t="s">
        <v>536</v>
      </c>
      <c r="I60" s="135" t="s">
        <v>537</v>
      </c>
      <c r="J60" s="135" t="s">
        <v>538</v>
      </c>
      <c r="K60" s="135" t="s">
        <v>182</v>
      </c>
      <c r="L60" s="135" t="s">
        <v>1</v>
      </c>
      <c r="M60" s="135" t="s">
        <v>1</v>
      </c>
      <c r="N60" s="135" t="s">
        <v>346</v>
      </c>
      <c r="O60" s="135" t="s">
        <v>539</v>
      </c>
      <c r="P60" s="135" t="s">
        <v>540</v>
      </c>
      <c r="Q60" s="135" t="s">
        <v>90</v>
      </c>
      <c r="R60" s="135" t="s">
        <v>541</v>
      </c>
      <c r="S60" s="135" t="s">
        <v>95</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542</v>
      </c>
      <c r="B61" s="135" t="s">
        <v>337</v>
      </c>
      <c r="C61" s="256" t="s">
        <v>41</v>
      </c>
      <c r="D61" s="135" t="s">
        <v>543</v>
      </c>
      <c r="E61" s="135" t="s">
        <v>544</v>
      </c>
      <c r="F61" s="135" t="s">
        <v>545</v>
      </c>
      <c r="G61" s="135" t="s">
        <v>546</v>
      </c>
      <c r="H61" s="135" t="s">
        <v>547</v>
      </c>
      <c r="I61" s="135" t="s">
        <v>548</v>
      </c>
      <c r="J61" s="135" t="s">
        <v>549</v>
      </c>
      <c r="K61" s="135" t="s">
        <v>390</v>
      </c>
      <c r="L61" s="135" t="s">
        <v>1</v>
      </c>
      <c r="M61" s="135" t="s">
        <v>1</v>
      </c>
      <c r="N61" s="135" t="s">
        <v>239</v>
      </c>
      <c r="O61" s="135" t="s">
        <v>550</v>
      </c>
      <c r="P61" s="135" t="s">
        <v>551</v>
      </c>
      <c r="Q61" s="135" t="s">
        <v>90</v>
      </c>
      <c r="R61" s="135" t="s">
        <v>552</v>
      </c>
      <c r="S61" s="135" t="s">
        <v>95</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553</v>
      </c>
      <c r="B62" s="135" t="s">
        <v>337</v>
      </c>
      <c r="C62" s="256" t="s">
        <v>41</v>
      </c>
      <c r="D62" s="135" t="s">
        <v>554</v>
      </c>
      <c r="E62" s="135" t="s">
        <v>555</v>
      </c>
      <c r="F62" s="135" t="s">
        <v>556</v>
      </c>
      <c r="G62" s="135" t="s">
        <v>557</v>
      </c>
      <c r="H62" s="135" t="s">
        <v>556</v>
      </c>
      <c r="I62" s="135" t="s">
        <v>558</v>
      </c>
      <c r="J62" s="135" t="s">
        <v>559</v>
      </c>
      <c r="K62" s="135" t="s">
        <v>459</v>
      </c>
      <c r="L62" s="135" t="s">
        <v>1</v>
      </c>
      <c r="M62" s="135" t="s">
        <v>1</v>
      </c>
      <c r="N62" s="135" t="s">
        <v>239</v>
      </c>
      <c r="O62" s="135" t="s">
        <v>560</v>
      </c>
      <c r="P62" s="135" t="s">
        <v>561</v>
      </c>
      <c r="Q62" s="135" t="s">
        <v>90</v>
      </c>
      <c r="R62" s="135" t="s">
        <v>562</v>
      </c>
      <c r="S62" s="135" t="s">
        <v>209</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563</v>
      </c>
      <c r="B63" s="135" t="s">
        <v>337</v>
      </c>
      <c r="C63" s="256" t="s">
        <v>41</v>
      </c>
      <c r="D63" s="135" t="s">
        <v>564</v>
      </c>
      <c r="E63" s="135" t="s">
        <v>565</v>
      </c>
      <c r="F63" s="135" t="s">
        <v>566</v>
      </c>
      <c r="G63" s="135" t="s">
        <v>567</v>
      </c>
      <c r="H63" s="135" t="s">
        <v>518</v>
      </c>
      <c r="I63" s="135" t="s">
        <v>537</v>
      </c>
      <c r="J63" s="135" t="s">
        <v>568</v>
      </c>
      <c r="K63" s="135" t="s">
        <v>182</v>
      </c>
      <c r="L63" s="135" t="s">
        <v>1</v>
      </c>
      <c r="M63" s="135" t="s">
        <v>1</v>
      </c>
      <c r="N63" s="135" t="s">
        <v>239</v>
      </c>
      <c r="O63" s="135" t="s">
        <v>569</v>
      </c>
      <c r="P63" s="135" t="s">
        <v>570</v>
      </c>
      <c r="Q63" s="135" t="s">
        <v>90</v>
      </c>
      <c r="R63" s="135" t="s">
        <v>571</v>
      </c>
      <c r="S63" s="135" t="s">
        <v>95</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572</v>
      </c>
      <c r="B64" s="135" t="s">
        <v>337</v>
      </c>
      <c r="C64" s="256" t="s">
        <v>41</v>
      </c>
      <c r="D64" s="135" t="s">
        <v>573</v>
      </c>
      <c r="E64" s="135" t="s">
        <v>574</v>
      </c>
      <c r="F64" s="135" t="s">
        <v>4</v>
      </c>
      <c r="G64" s="135" t="s">
        <v>575</v>
      </c>
      <c r="H64" s="135" t="s">
        <v>4</v>
      </c>
      <c r="I64" s="135" t="s">
        <v>576</v>
      </c>
      <c r="J64" s="135" t="s">
        <v>577</v>
      </c>
      <c r="K64" s="135" t="s">
        <v>578</v>
      </c>
      <c r="L64" s="135" t="s">
        <v>1</v>
      </c>
      <c r="M64" s="135" t="s">
        <v>1</v>
      </c>
      <c r="N64" s="135" t="s">
        <v>579</v>
      </c>
      <c r="O64" s="135" t="s">
        <v>580</v>
      </c>
      <c r="P64" s="135" t="s">
        <v>581</v>
      </c>
      <c r="Q64" s="135" t="s">
        <v>90</v>
      </c>
      <c r="R64" s="135" t="s">
        <v>582</v>
      </c>
      <c r="S64" s="135" t="s">
        <v>371</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583</v>
      </c>
      <c r="B65" s="135" t="s">
        <v>337</v>
      </c>
      <c r="C65" s="256" t="s">
        <v>41</v>
      </c>
      <c r="D65" s="135" t="s">
        <v>573</v>
      </c>
      <c r="E65" s="135" t="s">
        <v>584</v>
      </c>
      <c r="F65" s="135" t="s">
        <v>585</v>
      </c>
      <c r="G65" s="135" t="s">
        <v>586</v>
      </c>
      <c r="H65" s="135" t="s">
        <v>587</v>
      </c>
      <c r="I65" s="135" t="s">
        <v>588</v>
      </c>
      <c r="J65" s="135" t="s">
        <v>589</v>
      </c>
      <c r="K65" s="135" t="s">
        <v>182</v>
      </c>
      <c r="L65" s="135" t="s">
        <v>1</v>
      </c>
      <c r="M65" s="135" t="s">
        <v>1</v>
      </c>
      <c r="N65" s="135" t="s">
        <v>579</v>
      </c>
      <c r="O65" s="135" t="s">
        <v>590</v>
      </c>
      <c r="P65" s="135" t="s">
        <v>591</v>
      </c>
      <c r="Q65" s="135" t="s">
        <v>90</v>
      </c>
      <c r="R65" s="135" t="s">
        <v>592</v>
      </c>
      <c r="S65" s="135" t="s">
        <v>484</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593</v>
      </c>
      <c r="B66" s="135" t="s">
        <v>337</v>
      </c>
      <c r="C66" s="256" t="s">
        <v>41</v>
      </c>
      <c r="D66" s="135" t="s">
        <v>594</v>
      </c>
      <c r="E66" s="135" t="s">
        <v>595</v>
      </c>
      <c r="F66" s="135" t="s">
        <v>4</v>
      </c>
      <c r="G66" s="135" t="s">
        <v>596</v>
      </c>
      <c r="H66" s="135" t="s">
        <v>4</v>
      </c>
      <c r="I66" s="135" t="s">
        <v>4</v>
      </c>
      <c r="J66" s="135" t="s">
        <v>597</v>
      </c>
      <c r="K66" s="135" t="s">
        <v>182</v>
      </c>
      <c r="L66" s="135" t="s">
        <v>1</v>
      </c>
      <c r="M66" s="135" t="s">
        <v>1</v>
      </c>
      <c r="N66" s="135" t="s">
        <v>579</v>
      </c>
      <c r="O66" s="135" t="s">
        <v>598</v>
      </c>
      <c r="P66" s="135" t="s">
        <v>599</v>
      </c>
      <c r="Q66" s="135" t="s">
        <v>90</v>
      </c>
      <c r="R66" s="135" t="s">
        <v>600</v>
      </c>
      <c r="S66" s="135" t="s">
        <v>438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601</v>
      </c>
      <c r="B67" s="135" t="s">
        <v>337</v>
      </c>
      <c r="C67" s="256" t="s">
        <v>41</v>
      </c>
      <c r="D67" s="135" t="s">
        <v>602</v>
      </c>
      <c r="E67" s="135" t="s">
        <v>603</v>
      </c>
      <c r="F67" s="135" t="s">
        <v>4</v>
      </c>
      <c r="G67" s="135" t="s">
        <v>604</v>
      </c>
      <c r="H67" s="135" t="s">
        <v>4</v>
      </c>
      <c r="I67" s="135" t="s">
        <v>4</v>
      </c>
      <c r="J67" s="135" t="s">
        <v>605</v>
      </c>
      <c r="K67" s="135" t="s">
        <v>345</v>
      </c>
      <c r="L67" s="135" t="s">
        <v>1</v>
      </c>
      <c r="M67" s="135" t="s">
        <v>1</v>
      </c>
      <c r="N67" s="135" t="s">
        <v>579</v>
      </c>
      <c r="O67" s="135" t="s">
        <v>606</v>
      </c>
      <c r="P67" s="135" t="s">
        <v>607</v>
      </c>
      <c r="Q67" s="135" t="s">
        <v>90</v>
      </c>
      <c r="R67" s="135" t="s">
        <v>608</v>
      </c>
      <c r="S67" s="135" t="s">
        <v>405</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609</v>
      </c>
      <c r="B68" s="135" t="s">
        <v>337</v>
      </c>
      <c r="C68" s="256" t="s">
        <v>41</v>
      </c>
      <c r="D68" s="135" t="s">
        <v>610</v>
      </c>
      <c r="E68" s="135" t="s">
        <v>611</v>
      </c>
      <c r="F68" s="135" t="s">
        <v>4</v>
      </c>
      <c r="G68" s="135" t="s">
        <v>612</v>
      </c>
      <c r="H68" s="135" t="s">
        <v>613</v>
      </c>
      <c r="I68" s="135" t="s">
        <v>4</v>
      </c>
      <c r="J68" s="135" t="s">
        <v>614</v>
      </c>
      <c r="K68" s="135" t="s">
        <v>90</v>
      </c>
      <c r="L68" s="135" t="s">
        <v>1</v>
      </c>
      <c r="M68" s="135" t="s">
        <v>1</v>
      </c>
      <c r="N68" s="135" t="s">
        <v>579</v>
      </c>
      <c r="O68" s="135" t="s">
        <v>615</v>
      </c>
      <c r="P68" s="135" t="s">
        <v>616</v>
      </c>
      <c r="Q68" s="135" t="s">
        <v>90</v>
      </c>
      <c r="R68" s="135" t="s">
        <v>617</v>
      </c>
      <c r="S68" s="135" t="s">
        <v>405</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618</v>
      </c>
      <c r="B69" s="135" t="s">
        <v>337</v>
      </c>
      <c r="C69" s="256" t="s">
        <v>41</v>
      </c>
      <c r="D69" s="135" t="s">
        <v>610</v>
      </c>
      <c r="E69" s="135" t="s">
        <v>619</v>
      </c>
      <c r="F69" s="135" t="s">
        <v>4</v>
      </c>
      <c r="G69" s="135" t="s">
        <v>612</v>
      </c>
      <c r="H69" s="135" t="s">
        <v>4</v>
      </c>
      <c r="I69" s="135" t="s">
        <v>4</v>
      </c>
      <c r="J69" s="135" t="s">
        <v>620</v>
      </c>
      <c r="K69" s="135" t="s">
        <v>182</v>
      </c>
      <c r="L69" s="135" t="s">
        <v>1</v>
      </c>
      <c r="M69" s="135" t="s">
        <v>1</v>
      </c>
      <c r="N69" s="135" t="s">
        <v>579</v>
      </c>
      <c r="O69" s="135" t="s">
        <v>621</v>
      </c>
      <c r="P69" s="135" t="s">
        <v>622</v>
      </c>
      <c r="Q69" s="135" t="s">
        <v>90</v>
      </c>
      <c r="R69" s="135" t="s">
        <v>623</v>
      </c>
      <c r="S69" s="135" t="s">
        <v>624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625</v>
      </c>
      <c r="B70" s="135" t="s">
        <v>337</v>
      </c>
      <c r="C70" s="256" t="s">
        <v>41</v>
      </c>
      <c r="D70" s="135" t="s">
        <v>626</v>
      </c>
      <c r="E70" s="135" t="s">
        <v>627</v>
      </c>
      <c r="F70" s="135" t="s">
        <v>628</v>
      </c>
      <c r="G70" s="135" t="s">
        <v>629</v>
      </c>
      <c r="H70" s="135" t="s">
        <v>630</v>
      </c>
      <c r="I70" s="135" t="s">
        <v>631</v>
      </c>
      <c r="J70" s="135" t="s">
        <v>632</v>
      </c>
      <c r="K70" s="135" t="s">
        <v>182</v>
      </c>
      <c r="L70" s="135" t="s">
        <v>1</v>
      </c>
      <c r="M70" s="135" t="s">
        <v>1</v>
      </c>
      <c r="N70" s="135" t="s">
        <v>633</v>
      </c>
      <c r="O70" s="135" t="s">
        <v>634</v>
      </c>
      <c r="P70" s="135" t="s">
        <v>635</v>
      </c>
      <c r="Q70" s="135" t="s">
        <v>90</v>
      </c>
      <c r="R70" s="135" t="s">
        <v>636</v>
      </c>
      <c r="S70" s="135" t="s">
        <v>95</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337</v>
      </c>
      <c r="C71" s="256" t="s">
        <v>41</v>
      </c>
      <c r="D71" s="135" t="s">
        <v>638</v>
      </c>
      <c r="E71" s="135" t="s">
        <v>639</v>
      </c>
      <c r="F71" s="135" t="s">
        <v>640</v>
      </c>
      <c r="G71" s="135" t="s">
        <v>641</v>
      </c>
      <c r="H71" s="135" t="s">
        <v>342</v>
      </c>
      <c r="I71" s="135" t="s">
        <v>642</v>
      </c>
      <c r="J71" s="135" t="s">
        <v>643</v>
      </c>
      <c r="K71" s="135" t="s">
        <v>182</v>
      </c>
      <c r="L71" s="135" t="s">
        <v>1</v>
      </c>
      <c r="M71" s="135" t="s">
        <v>1</v>
      </c>
      <c r="N71" s="135" t="s">
        <v>644</v>
      </c>
      <c r="O71" s="135" t="s">
        <v>645</v>
      </c>
      <c r="P71" s="135" t="s">
        <v>646</v>
      </c>
      <c r="Q71" s="135" t="s">
        <v>90</v>
      </c>
      <c r="R71" s="135" t="s">
        <v>647</v>
      </c>
      <c r="S71" s="135" t="s">
        <v>473</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648</v>
      </c>
      <c r="B72" s="135" t="s">
        <v>337</v>
      </c>
      <c r="C72" s="256" t="s">
        <v>41</v>
      </c>
      <c r="D72" s="135" t="s">
        <v>638</v>
      </c>
      <c r="E72" s="135" t="s">
        <v>649</v>
      </c>
      <c r="F72" s="135" t="s">
        <v>4</v>
      </c>
      <c r="G72" s="135" t="s">
        <v>650</v>
      </c>
      <c r="H72" s="135" t="s">
        <v>651</v>
      </c>
      <c r="I72" s="135" t="s">
        <v>652</v>
      </c>
      <c r="J72" s="135" t="s">
        <v>653</v>
      </c>
      <c r="K72" s="135" t="s">
        <v>182</v>
      </c>
      <c r="L72" s="135" t="s">
        <v>1</v>
      </c>
      <c r="M72" s="135" t="s">
        <v>1</v>
      </c>
      <c r="N72" s="135" t="s">
        <v>644</v>
      </c>
      <c r="O72" s="135" t="s">
        <v>654</v>
      </c>
      <c r="P72" s="135" t="s">
        <v>655</v>
      </c>
      <c r="Q72" s="135" t="s">
        <v>90</v>
      </c>
      <c r="R72" s="135" t="s">
        <v>656</v>
      </c>
      <c r="S72" s="135" t="s">
        <v>95</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657</v>
      </c>
      <c r="B73" s="135" t="s">
        <v>337</v>
      </c>
      <c r="C73" s="256" t="s">
        <v>41</v>
      </c>
      <c r="D73" s="135" t="s">
        <v>658</v>
      </c>
      <c r="E73" s="135" t="s">
        <v>659</v>
      </c>
      <c r="F73" s="135" t="s">
        <v>4</v>
      </c>
      <c r="G73" s="135" t="s">
        <v>660</v>
      </c>
      <c r="H73" s="135" t="s">
        <v>4</v>
      </c>
      <c r="I73" s="135" t="s">
        <v>661</v>
      </c>
      <c r="J73" s="135" t="s">
        <v>662</v>
      </c>
      <c r="K73" s="135" t="s">
        <v>182</v>
      </c>
      <c r="L73" s="135" t="s">
        <v>1</v>
      </c>
      <c r="M73" s="135" t="s">
        <v>1</v>
      </c>
      <c r="N73" s="135" t="s">
        <v>644</v>
      </c>
      <c r="O73" s="135" t="s">
        <v>663</v>
      </c>
      <c r="P73" s="135" t="s">
        <v>664</v>
      </c>
      <c r="Q73" s="135" t="s">
        <v>90</v>
      </c>
      <c r="R73" s="135" t="s">
        <v>665</v>
      </c>
      <c r="S73" s="135" t="s">
        <v>95</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666</v>
      </c>
      <c r="B74" s="135" t="s">
        <v>337</v>
      </c>
      <c r="C74" s="256" t="s">
        <v>41</v>
      </c>
      <c r="D74" s="135" t="s">
        <v>638</v>
      </c>
      <c r="E74" s="135" t="s">
        <v>667</v>
      </c>
      <c r="F74" s="135" t="s">
        <v>668</v>
      </c>
      <c r="G74" s="135" t="s">
        <v>4</v>
      </c>
      <c r="H74" s="135" t="s">
        <v>4</v>
      </c>
      <c r="I74" s="135" t="s">
        <v>4</v>
      </c>
      <c r="J74" s="135" t="s">
        <v>669</v>
      </c>
      <c r="K74" s="135" t="s">
        <v>182</v>
      </c>
      <c r="L74" s="135" t="s">
        <v>1</v>
      </c>
      <c r="M74" s="135" t="s">
        <v>1</v>
      </c>
      <c r="N74" s="135" t="s">
        <v>644</v>
      </c>
      <c r="O74" s="135" t="s">
        <v>670</v>
      </c>
      <c r="P74" s="135" t="s">
        <v>671</v>
      </c>
      <c r="Q74" s="135" t="s">
        <v>90</v>
      </c>
      <c r="R74" s="135" t="s">
        <v>672</v>
      </c>
      <c r="S74" s="135" t="s">
        <v>209</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673</v>
      </c>
      <c r="B75" s="135" t="s">
        <v>337</v>
      </c>
      <c r="C75" s="256" t="s">
        <v>41</v>
      </c>
      <c r="D75" s="135" t="s">
        <v>674</v>
      </c>
      <c r="E75" s="135" t="s">
        <v>675</v>
      </c>
      <c r="F75" s="135" t="s">
        <v>676</v>
      </c>
      <c r="G75" s="135" t="s">
        <v>677</v>
      </c>
      <c r="H75" s="135" t="s">
        <v>678</v>
      </c>
      <c r="I75" s="135" t="s">
        <v>679</v>
      </c>
      <c r="J75" s="135" t="s">
        <v>680</v>
      </c>
      <c r="K75" s="135" t="s">
        <v>182</v>
      </c>
      <c r="L75" s="135" t="s">
        <v>1</v>
      </c>
      <c r="M75" s="135" t="s">
        <v>1</v>
      </c>
      <c r="N75" s="135" t="s">
        <v>644</v>
      </c>
      <c r="O75" s="135" t="s">
        <v>681</v>
      </c>
      <c r="P75" s="135" t="s">
        <v>682</v>
      </c>
      <c r="Q75" s="135" t="s">
        <v>90</v>
      </c>
      <c r="R75" s="135" t="s">
        <v>683</v>
      </c>
      <c r="S75" s="135" t="s">
        <v>95</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684</v>
      </c>
      <c r="B76" s="135" t="s">
        <v>337</v>
      </c>
      <c r="C76" s="256" t="s">
        <v>41</v>
      </c>
      <c r="D76" s="135" t="s">
        <v>685</v>
      </c>
      <c r="E76" s="135" t="s">
        <v>686</v>
      </c>
      <c r="F76" s="135" t="s">
        <v>687</v>
      </c>
      <c r="G76" s="135" t="s">
        <v>688</v>
      </c>
      <c r="H76" s="135" t="s">
        <v>689</v>
      </c>
      <c r="I76" s="135" t="s">
        <v>690</v>
      </c>
      <c r="J76" s="135" t="s">
        <v>691</v>
      </c>
      <c r="K76" s="135" t="s">
        <v>692</v>
      </c>
      <c r="L76" s="135" t="s">
        <v>1</v>
      </c>
      <c r="M76" s="135" t="s">
        <v>1</v>
      </c>
      <c r="N76" s="135" t="s">
        <v>693</v>
      </c>
      <c r="O76" s="135" t="s">
        <v>694</v>
      </c>
      <c r="P76" s="135" t="s">
        <v>695</v>
      </c>
      <c r="Q76" s="135" t="s">
        <v>90</v>
      </c>
      <c r="R76" s="135" t="s">
        <v>696</v>
      </c>
      <c r="S76" s="135" t="s">
        <v>95</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697</v>
      </c>
      <c r="B77" s="135" t="s">
        <v>337</v>
      </c>
      <c r="C77" s="256" t="s">
        <v>41</v>
      </c>
      <c r="D77" s="135" t="s">
        <v>698</v>
      </c>
      <c r="E77" s="135" t="s">
        <v>699</v>
      </c>
      <c r="F77" s="135" t="s">
        <v>4</v>
      </c>
      <c r="G77" s="135" t="s">
        <v>4</v>
      </c>
      <c r="H77" s="135" t="s">
        <v>700</v>
      </c>
      <c r="I77" s="135" t="s">
        <v>701</v>
      </c>
      <c r="J77" s="135" t="s">
        <v>702</v>
      </c>
      <c r="K77" s="135" t="s">
        <v>182</v>
      </c>
      <c r="L77" s="135" t="s">
        <v>1</v>
      </c>
      <c r="M77" s="135" t="s">
        <v>1</v>
      </c>
      <c r="N77" s="135" t="s">
        <v>693</v>
      </c>
      <c r="O77" s="135" t="s">
        <v>703</v>
      </c>
      <c r="P77" s="135" t="s">
        <v>704</v>
      </c>
      <c r="Q77" s="135" t="s">
        <v>90</v>
      </c>
      <c r="R77" s="135" t="s">
        <v>705</v>
      </c>
      <c r="S77" s="135" t="s">
        <v>95</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706</v>
      </c>
      <c r="B78" s="135" t="s">
        <v>337</v>
      </c>
      <c r="C78" s="256" t="s">
        <v>41</v>
      </c>
      <c r="D78" s="135" t="s">
        <v>707</v>
      </c>
      <c r="E78" s="135" t="s">
        <v>708</v>
      </c>
      <c r="F78" s="135" t="s">
        <v>709</v>
      </c>
      <c r="G78" s="135" t="s">
        <v>710</v>
      </c>
      <c r="H78" s="135" t="s">
        <v>711</v>
      </c>
      <c r="I78" s="135" t="s">
        <v>712</v>
      </c>
      <c r="J78" s="135" t="s">
        <v>713</v>
      </c>
      <c r="K78" s="135" t="s">
        <v>182</v>
      </c>
      <c r="L78" s="135" t="s">
        <v>1</v>
      </c>
      <c r="M78" s="135" t="s">
        <v>1</v>
      </c>
      <c r="N78" s="135" t="s">
        <v>693</v>
      </c>
      <c r="O78" s="135" t="s">
        <v>714</v>
      </c>
      <c r="P78" s="135" t="s">
        <v>715</v>
      </c>
      <c r="Q78" s="135" t="s">
        <v>90</v>
      </c>
      <c r="R78" s="135" t="s">
        <v>716</v>
      </c>
      <c r="S78" s="135" t="s">
        <v>95</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717</v>
      </c>
      <c r="B79" s="135" t="s">
        <v>337</v>
      </c>
      <c r="C79" s="256" t="s">
        <v>41</v>
      </c>
      <c r="D79" s="135" t="s">
        <v>718</v>
      </c>
      <c r="E79" s="135" t="s">
        <v>719</v>
      </c>
      <c r="F79" s="135" t="s">
        <v>720</v>
      </c>
      <c r="G79" s="135" t="s">
        <v>721</v>
      </c>
      <c r="H79" s="135" t="s">
        <v>722</v>
      </c>
      <c r="I79" s="135" t="s">
        <v>723</v>
      </c>
      <c r="J79" s="135" t="s">
        <v>724</v>
      </c>
      <c r="K79" s="135" t="s">
        <v>182</v>
      </c>
      <c r="L79" s="135" t="s">
        <v>1</v>
      </c>
      <c r="M79" s="135" t="s">
        <v>1</v>
      </c>
      <c r="N79" s="135" t="s">
        <v>205</v>
      </c>
      <c r="O79" s="135" t="s">
        <v>725</v>
      </c>
      <c r="P79" s="135" t="s">
        <v>726</v>
      </c>
      <c r="Q79" s="135" t="s">
        <v>90</v>
      </c>
      <c r="R79" s="135" t="s">
        <v>727</v>
      </c>
      <c r="S79" s="135" t="s">
        <v>95</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728</v>
      </c>
      <c r="B80" s="135" t="s">
        <v>337</v>
      </c>
      <c r="C80" s="256" t="s">
        <v>41</v>
      </c>
      <c r="D80" s="135" t="s">
        <v>729</v>
      </c>
      <c r="E80" s="135" t="s">
        <v>730</v>
      </c>
      <c r="F80" s="135" t="s">
        <v>4</v>
      </c>
      <c r="G80" s="135" t="s">
        <v>731</v>
      </c>
      <c r="H80" s="135" t="s">
        <v>4</v>
      </c>
      <c r="I80" s="135" t="s">
        <v>732</v>
      </c>
      <c r="J80" s="135" t="s">
        <v>733</v>
      </c>
      <c r="K80" s="135" t="s">
        <v>182</v>
      </c>
      <c r="L80" s="135" t="s">
        <v>1</v>
      </c>
      <c r="M80" s="135" t="s">
        <v>1</v>
      </c>
      <c r="N80" s="135" t="s">
        <v>205</v>
      </c>
      <c r="O80" s="135" t="s">
        <v>734</v>
      </c>
      <c r="P80" s="135" t="s">
        <v>735</v>
      </c>
      <c r="Q80" s="135" t="s">
        <v>90</v>
      </c>
      <c r="R80" s="135" t="s">
        <v>736</v>
      </c>
      <c r="S80" s="135" t="s">
        <v>95</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737</v>
      </c>
      <c r="B81" s="135" t="s">
        <v>337</v>
      </c>
      <c r="C81" s="256" t="s">
        <v>41</v>
      </c>
      <c r="D81" s="135" t="s">
        <v>738</v>
      </c>
      <c r="E81" s="135" t="s">
        <v>739</v>
      </c>
      <c r="F81" s="135" t="s">
        <v>4</v>
      </c>
      <c r="G81" s="135" t="s">
        <v>740</v>
      </c>
      <c r="H81" s="135" t="s">
        <v>4</v>
      </c>
      <c r="I81" s="135" t="s">
        <v>741</v>
      </c>
      <c r="J81" s="135" t="s">
        <v>742</v>
      </c>
      <c r="K81" s="135" t="s">
        <v>182</v>
      </c>
      <c r="L81" s="135" t="s">
        <v>1</v>
      </c>
      <c r="M81" s="135" t="s">
        <v>1</v>
      </c>
      <c r="N81" s="135" t="s">
        <v>644</v>
      </c>
      <c r="O81" s="135" t="s">
        <v>743</v>
      </c>
      <c r="P81" s="135" t="s">
        <v>744</v>
      </c>
      <c r="Q81" s="135" t="s">
        <v>90</v>
      </c>
      <c r="R81" s="135" t="s">
        <v>745</v>
      </c>
      <c r="S81" s="135" t="s">
        <v>95</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746</v>
      </c>
      <c r="B82" s="135" t="s">
        <v>747</v>
      </c>
      <c r="C82" s="256" t="s">
        <v>41</v>
      </c>
      <c r="D82" s="135" t="s">
        <v>748</v>
      </c>
      <c r="E82" s="135" t="s">
        <v>749</v>
      </c>
      <c r="F82" s="135" t="s">
        <v>750</v>
      </c>
      <c r="G82" s="135" t="s">
        <v>751</v>
      </c>
      <c r="H82" s="135" t="s">
        <v>752</v>
      </c>
      <c r="I82" s="135" t="s">
        <v>753</v>
      </c>
      <c r="J82" s="135" t="s">
        <v>754</v>
      </c>
      <c r="K82" s="135" t="s">
        <v>182</v>
      </c>
      <c r="L82" s="135" t="s">
        <v>1</v>
      </c>
      <c r="M82" s="135" t="s">
        <v>1</v>
      </c>
      <c r="N82" s="135" t="s">
        <v>205</v>
      </c>
      <c r="O82" s="135" t="s">
        <v>755</v>
      </c>
      <c r="P82" s="135" t="s">
        <v>756</v>
      </c>
      <c r="Q82" s="135" t="s">
        <v>90</v>
      </c>
      <c r="R82" s="135" t="s">
        <v>757</v>
      </c>
      <c r="S82" s="135" t="s">
        <v>95</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758</v>
      </c>
      <c r="B83" s="135" t="s">
        <v>337</v>
      </c>
      <c r="C83" s="256" t="s">
        <v>41</v>
      </c>
      <c r="D83" s="135" t="s">
        <v>759</v>
      </c>
      <c r="E83" s="135" t="s">
        <v>760</v>
      </c>
      <c r="F83" s="135" t="s">
        <v>4</v>
      </c>
      <c r="G83" s="135" t="s">
        <v>761</v>
      </c>
      <c r="H83" s="135" t="s">
        <v>4</v>
      </c>
      <c r="I83" s="135" t="s">
        <v>762</v>
      </c>
      <c r="J83" s="135" t="s">
        <v>763</v>
      </c>
      <c r="K83" s="135" t="s">
        <v>182</v>
      </c>
      <c r="L83" s="135" t="s">
        <v>1</v>
      </c>
      <c r="M83" s="135" t="s">
        <v>1</v>
      </c>
      <c r="N83" s="135" t="s">
        <v>644</v>
      </c>
      <c r="O83" s="135" t="s">
        <v>764</v>
      </c>
      <c r="P83" s="135" t="s">
        <v>765</v>
      </c>
      <c r="Q83" s="135" t="s">
        <v>90</v>
      </c>
      <c r="R83" s="135" t="s">
        <v>766</v>
      </c>
      <c r="S83" s="135" t="s">
        <v>95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747</v>
      </c>
      <c r="C84" s="256" t="s">
        <v>41</v>
      </c>
      <c r="D84" s="135" t="s">
        <v>768</v>
      </c>
      <c r="E84" s="135" t="s">
        <v>769</v>
      </c>
      <c r="F84" s="135" t="s">
        <v>4</v>
      </c>
      <c r="G84" s="135" t="s">
        <v>770</v>
      </c>
      <c r="H84" s="135" t="s">
        <v>4</v>
      </c>
      <c r="I84" s="135" t="s">
        <v>771</v>
      </c>
      <c r="J84" s="135" t="s">
        <v>772</v>
      </c>
      <c r="K84" s="135" t="s">
        <v>182</v>
      </c>
      <c r="L84" s="135" t="s">
        <v>1</v>
      </c>
      <c r="M84" s="135" t="s">
        <v>1</v>
      </c>
      <c r="N84" s="135" t="s">
        <v>644</v>
      </c>
      <c r="O84" s="135" t="s">
        <v>773</v>
      </c>
      <c r="P84" s="135" t="s">
        <v>774</v>
      </c>
      <c r="Q84" s="135" t="s">
        <v>90</v>
      </c>
      <c r="R84" s="135" t="s">
        <v>775</v>
      </c>
      <c r="S84" s="135" t="s">
        <v>95</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776</v>
      </c>
      <c r="B85" s="135" t="s">
        <v>747</v>
      </c>
      <c r="C85" s="256" t="s">
        <v>41</v>
      </c>
      <c r="D85" s="135" t="s">
        <v>777</v>
      </c>
      <c r="E85" s="135" t="s">
        <v>778</v>
      </c>
      <c r="F85" s="135" t="s">
        <v>4</v>
      </c>
      <c r="G85" s="135" t="s">
        <v>779</v>
      </c>
      <c r="H85" s="135" t="s">
        <v>4</v>
      </c>
      <c r="I85" s="135" t="s">
        <v>780</v>
      </c>
      <c r="J85" s="135" t="s">
        <v>781</v>
      </c>
      <c r="K85" s="135" t="s">
        <v>90</v>
      </c>
      <c r="L85" s="135" t="s">
        <v>1</v>
      </c>
      <c r="M85" s="135" t="s">
        <v>1</v>
      </c>
      <c r="N85" s="135" t="s">
        <v>644</v>
      </c>
      <c r="O85" s="135" t="s">
        <v>782</v>
      </c>
      <c r="P85" s="135" t="s">
        <v>783</v>
      </c>
      <c r="Q85" s="135" t="s">
        <v>182</v>
      </c>
      <c r="R85" s="135" t="s">
        <v>784</v>
      </c>
      <c r="S85" s="135" t="s">
        <v>95</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785</v>
      </c>
      <c r="B86" s="135" t="s">
        <v>786</v>
      </c>
      <c r="C86" s="256" t="s">
        <v>41</v>
      </c>
      <c r="D86" s="135" t="s">
        <v>338</v>
      </c>
      <c r="E86" s="135" t="s">
        <v>787</v>
      </c>
      <c r="F86" s="135" t="s">
        <v>4</v>
      </c>
      <c r="G86" s="135" t="s">
        <v>4</v>
      </c>
      <c r="H86" s="135" t="s">
        <v>4</v>
      </c>
      <c r="I86" s="135" t="s">
        <v>4</v>
      </c>
      <c r="J86" s="135" t="s">
        <v>788</v>
      </c>
      <c r="K86" s="135" t="s">
        <v>789</v>
      </c>
      <c r="L86" s="135" t="s">
        <v>1</v>
      </c>
      <c r="M86" s="135" t="s">
        <v>1</v>
      </c>
      <c r="N86" s="135" t="s">
        <v>579</v>
      </c>
      <c r="O86" s="135" t="s">
        <v>790</v>
      </c>
      <c r="P86" s="135" t="s">
        <v>791</v>
      </c>
      <c r="Q86" s="135" t="s">
        <v>90</v>
      </c>
      <c r="R86" s="135" t="s">
        <v>792</v>
      </c>
      <c r="S86" s="135" t="s">
        <v>484</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793</v>
      </c>
      <c r="B87" s="135" t="s">
        <v>253</v>
      </c>
      <c r="C87" s="256" t="s">
        <v>41</v>
      </c>
      <c r="D87" s="135" t="s">
        <v>794</v>
      </c>
      <c r="E87" s="135" t="s">
        <v>795</v>
      </c>
      <c r="F87" s="135" t="s">
        <v>4</v>
      </c>
      <c r="G87" s="135" t="s">
        <v>796</v>
      </c>
      <c r="H87" s="135" t="s">
        <v>4</v>
      </c>
      <c r="I87" s="135" t="s">
        <v>797</v>
      </c>
      <c r="J87" s="135" t="s">
        <v>798</v>
      </c>
      <c r="K87" s="135" t="s">
        <v>260</v>
      </c>
      <c r="L87" s="135" t="s">
        <v>1</v>
      </c>
      <c r="M87" s="135" t="s">
        <v>1</v>
      </c>
      <c r="N87" s="135" t="s">
        <v>460</v>
      </c>
      <c r="O87" s="135" t="s">
        <v>799</v>
      </c>
      <c r="P87" s="135" t="s">
        <v>800</v>
      </c>
      <c r="Q87" s="135" t="s">
        <v>90</v>
      </c>
      <c r="R87" s="135" t="s">
        <v>801</v>
      </c>
      <c r="S87" s="135" t="s">
        <v>802</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803</v>
      </c>
      <c r="B88" s="135" t="s">
        <v>267</v>
      </c>
      <c r="C88" s="256" t="s">
        <v>41</v>
      </c>
      <c r="D88" s="135" t="s">
        <v>804</v>
      </c>
      <c r="E88" s="135" t="s">
        <v>805</v>
      </c>
      <c r="F88" s="135" t="s">
        <v>806</v>
      </c>
      <c r="G88" s="135" t="s">
        <v>807</v>
      </c>
      <c r="H88" s="135" t="s">
        <v>808</v>
      </c>
      <c r="I88" s="135" t="s">
        <v>8</v>
      </c>
      <c r="J88" s="135" t="s">
        <v>809</v>
      </c>
      <c r="K88" s="135" t="s">
        <v>345</v>
      </c>
      <c r="L88" s="135" t="s">
        <v>1</v>
      </c>
      <c r="M88" s="135" t="s">
        <v>1</v>
      </c>
      <c r="N88" s="135" t="s">
        <v>346</v>
      </c>
      <c r="O88" s="135" t="s">
        <v>810</v>
      </c>
      <c r="P88" s="135" t="s">
        <v>811</v>
      </c>
      <c r="Q88" s="135" t="s">
        <v>90</v>
      </c>
      <c r="R88" s="135" t="s">
        <v>812</v>
      </c>
      <c r="S88" s="135" t="s">
        <v>813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814</v>
      </c>
      <c r="B89" s="135" t="s">
        <v>815</v>
      </c>
      <c r="C89" s="256" t="s">
        <v>41</v>
      </c>
      <c r="D89" s="135" t="s">
        <v>68</v>
      </c>
      <c r="E89" s="135" t="s">
        <v>816</v>
      </c>
      <c r="F89" s="135" t="s">
        <v>817</v>
      </c>
      <c r="G89" s="135" t="s">
        <v>818</v>
      </c>
      <c r="H89" s="135" t="s">
        <v>808</v>
      </c>
      <c r="I89" s="135" t="s">
        <v>819</v>
      </c>
      <c r="J89" s="135" t="s">
        <v>820</v>
      </c>
      <c r="K89" s="135" t="s">
        <v>345</v>
      </c>
      <c r="L89" s="135" t="s">
        <v>1</v>
      </c>
      <c r="M89" s="135" t="s">
        <v>1</v>
      </c>
      <c r="N89" s="135" t="s">
        <v>346</v>
      </c>
      <c r="O89" s="135" t="s">
        <v>821</v>
      </c>
      <c r="P89" s="135" t="s">
        <v>822</v>
      </c>
      <c r="Q89" s="135" t="s">
        <v>90</v>
      </c>
      <c r="R89" s="135" t="s">
        <v>823</v>
      </c>
      <c r="S89" s="135" t="s">
        <v>512</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824</v>
      </c>
      <c r="B90" s="135" t="s">
        <v>337</v>
      </c>
      <c r="C90" s="256" t="s">
        <v>41</v>
      </c>
      <c r="D90" s="135" t="s">
        <v>825</v>
      </c>
      <c r="E90" s="135" t="s">
        <v>826</v>
      </c>
      <c r="F90" s="135" t="s">
        <v>827</v>
      </c>
      <c r="G90" s="135" t="s">
        <v>828</v>
      </c>
      <c r="H90" s="135" t="s">
        <v>4</v>
      </c>
      <c r="I90" s="135" t="s">
        <v>829</v>
      </c>
      <c r="J90" s="135" t="s">
        <v>830</v>
      </c>
      <c r="K90" s="135" t="s">
        <v>182</v>
      </c>
      <c r="L90" s="135" t="s">
        <v>90</v>
      </c>
      <c r="M90" s="135" t="s">
        <v>831</v>
      </c>
      <c r="N90" s="135" t="s">
        <v>633</v>
      </c>
      <c r="O90" s="135" t="s">
        <v>832</v>
      </c>
      <c r="P90" s="135" t="s">
        <v>833</v>
      </c>
      <c r="Q90" s="135" t="s">
        <v>90</v>
      </c>
      <c r="R90" s="135" t="s">
        <v>834</v>
      </c>
      <c r="S90" s="135" t="s">
        <v>95</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835</v>
      </c>
      <c r="B91" s="135" t="s">
        <v>106</v>
      </c>
      <c r="C91" s="256" t="s">
        <v>41</v>
      </c>
      <c r="D91" s="135" t="s">
        <v>836</v>
      </c>
      <c r="E91" s="135" t="s">
        <v>837</v>
      </c>
      <c r="F91" s="135" t="s">
        <v>4</v>
      </c>
      <c r="G91" s="135" t="s">
        <v>838</v>
      </c>
      <c r="H91" s="135" t="s">
        <v>4</v>
      </c>
      <c r="I91" s="135" t="s">
        <v>839</v>
      </c>
      <c r="J91" s="135" t="s">
        <v>840</v>
      </c>
      <c r="K91" s="135" t="s">
        <v>90</v>
      </c>
      <c r="L91" s="135" t="s">
        <v>90</v>
      </c>
      <c r="M91" s="135" t="s">
        <v>101</v>
      </c>
      <c r="N91" s="135" t="s">
        <v>111</v>
      </c>
      <c r="O91" s="135" t="s">
        <v>841</v>
      </c>
      <c r="P91" s="135" t="s">
        <v>842</v>
      </c>
      <c r="Q91" s="135" t="s">
        <v>90</v>
      </c>
      <c r="R91" s="135" t="s">
        <v>843</v>
      </c>
      <c r="S91" s="135" t="s">
        <v>844</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845</v>
      </c>
      <c r="B92" s="135" t="s">
        <v>106</v>
      </c>
      <c r="C92" s="256" t="s">
        <v>41</v>
      </c>
      <c r="D92" s="135" t="s">
        <v>846</v>
      </c>
      <c r="E92" s="135" t="s">
        <v>847</v>
      </c>
      <c r="F92" s="135" t="s">
        <v>4</v>
      </c>
      <c r="G92" s="135" t="s">
        <v>4</v>
      </c>
      <c r="H92" s="135" t="s">
        <v>4</v>
      </c>
      <c r="I92" s="135" t="s">
        <v>4</v>
      </c>
      <c r="J92" s="135" t="s">
        <v>848</v>
      </c>
      <c r="K92" s="135" t="s">
        <v>90</v>
      </c>
      <c r="L92" s="135" t="s">
        <v>90</v>
      </c>
      <c r="M92" s="135" t="s">
        <v>90</v>
      </c>
      <c r="N92" s="135" t="s">
        <v>121</v>
      </c>
      <c r="O92" s="135" t="s">
        <v>849</v>
      </c>
      <c r="P92" s="135" t="s">
        <v>850</v>
      </c>
      <c r="Q92" s="135" t="s">
        <v>90</v>
      </c>
      <c r="R92" s="135" t="s">
        <v>851</v>
      </c>
      <c r="S92" s="135" t="s">
        <v>852</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853</v>
      </c>
      <c r="B93" s="135" t="s">
        <v>854</v>
      </c>
      <c r="C93" s="256" t="s">
        <v>41</v>
      </c>
      <c r="D93" s="135" t="s">
        <v>855</v>
      </c>
      <c r="E93" s="135" t="s">
        <v>856</v>
      </c>
      <c r="F93" s="135" t="s">
        <v>1</v>
      </c>
      <c r="G93" s="135" t="s">
        <v>1</v>
      </c>
      <c r="H93" s="135" t="s">
        <v>1</v>
      </c>
      <c r="I93" s="135" t="s">
        <v>857</v>
      </c>
      <c r="J93" s="135" t="s">
        <v>858</v>
      </c>
      <c r="K93" s="135" t="s">
        <v>859</v>
      </c>
      <c r="L93" s="135" t="s">
        <v>90</v>
      </c>
      <c r="M93" s="135" t="s">
        <v>860</v>
      </c>
      <c r="N93" s="135" t="s">
        <v>861</v>
      </c>
      <c r="O93" s="135" t="s">
        <v>862</v>
      </c>
      <c r="P93" s="135" t="s">
        <v>863</v>
      </c>
      <c r="Q93" s="135" t="s">
        <v>90</v>
      </c>
      <c r="R93" s="135" t="s">
        <v>864</v>
      </c>
      <c r="S93" s="135" t="s">
        <v>150</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8" t="s">
        <v>865</v>
      </c>
      <c r="B94" s="138" t="s">
        <v>144</v>
      </c>
      <c r="C94" s="256" t="s">
        <v>41</v>
      </c>
      <c r="D94" s="138" t="s">
        <v>866</v>
      </c>
      <c r="E94" s="138" t="s">
        <v>867</v>
      </c>
      <c r="F94" s="138" t="s">
        <v>1</v>
      </c>
      <c r="G94" s="138" t="s">
        <v>1</v>
      </c>
      <c r="H94" s="138" t="s">
        <v>1</v>
      </c>
      <c r="I94" s="138" t="s">
        <v>1</v>
      </c>
      <c r="J94" s="138" t="s">
        <v>1</v>
      </c>
      <c r="K94" s="138" t="s">
        <v>101</v>
      </c>
      <c r="L94" s="138" t="s">
        <v>101</v>
      </c>
      <c r="M94" s="138" t="s">
        <v>101</v>
      </c>
      <c r="N94" s="138" t="s">
        <v>1</v>
      </c>
      <c r="O94" s="138" t="s">
        <v>147</v>
      </c>
      <c r="P94" s="138" t="s">
        <v>868</v>
      </c>
      <c r="Q94" s="138" t="s">
        <v>101</v>
      </c>
      <c r="R94" s="138" t="s">
        <v>149</v>
      </c>
      <c r="S94" s="138" t="s">
        <v>150</v>
      </c>
      <c r="T94" s="138" t="s">
        <v>151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Not started</v>
      </c>
      <c r="V94" s="146">
        <f>IF(T94="","",VALUE(LEFT(T94,SEARCH("/",T94)-1)))</f>
        <v>10</v>
      </c>
      <c r="W94" s="146">
        <f>IF(T94="","",VALUE(MID(T94,SEARCH("/",T94)+1,LEN(T94))))</f>
        <v>25</v>
      </c>
    </row>
    <row r="95" customFormat="false" ht="15" hidden="false" customHeight="false" outlineLevel="0" collapsed="false">
      <c r="A95" s="138" t="s">
        <v>869</v>
      </c>
      <c r="B95" s="138" t="s">
        <v>144</v>
      </c>
      <c r="C95" s="256" t="s">
        <v>41</v>
      </c>
      <c r="D95" s="138" t="s">
        <v>870</v>
      </c>
      <c r="E95" s="138" t="s">
        <v>871</v>
      </c>
      <c r="F95" s="138" t="s">
        <v>1</v>
      </c>
      <c r="G95" s="138" t="s">
        <v>1</v>
      </c>
      <c r="H95" s="138" t="s">
        <v>1</v>
      </c>
      <c r="I95" s="138" t="s">
        <v>1</v>
      </c>
      <c r="J95" s="138" t="s">
        <v>1</v>
      </c>
      <c r="K95" s="138" t="s">
        <v>101</v>
      </c>
      <c r="L95" s="138" t="s">
        <v>101</v>
      </c>
      <c r="M95" s="138" t="s">
        <v>101</v>
      </c>
      <c r="N95" s="138" t="s">
        <v>1</v>
      </c>
      <c r="O95" s="138" t="s">
        <v>147</v>
      </c>
      <c r="P95" s="138" t="s">
        <v>872</v>
      </c>
      <c r="Q95" s="138" t="s">
        <v>101</v>
      </c>
      <c r="R95" s="138" t="s">
        <v>149</v>
      </c>
      <c r="S95" s="138" t="s">
        <v>150</v>
      </c>
      <c r="T95" s="138" t="s">
        <v>151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Not started</v>
      </c>
      <c r="V95" s="146">
        <f>IF(T95="","",VALUE(LEFT(T95,SEARCH("/",T95)-1)))</f>
        <v>10</v>
      </c>
      <c r="W95" s="146">
        <f>IF(T95="","",VALUE(MID(T95,SEARCH("/",T95)+1,LEN(T95))))</f>
        <v>25</v>
      </c>
    </row>
    <row r="96" customFormat="false" ht="15" hidden="false" customHeight="false" outlineLevel="0" collapsed="false">
      <c r="A96" s="135" t="s">
        <v>873</v>
      </c>
      <c r="B96" s="135" t="s">
        <v>337</v>
      </c>
      <c r="C96" s="257" t="s">
        <v>47</v>
      </c>
      <c r="D96" s="135" t="s">
        <v>47</v>
      </c>
      <c r="E96" s="135" t="s">
        <v>874</v>
      </c>
      <c r="F96" s="135" t="s">
        <v>875</v>
      </c>
      <c r="G96" s="135" t="s">
        <v>876</v>
      </c>
      <c r="H96" s="135" t="s">
        <v>678</v>
      </c>
      <c r="I96" s="135" t="s">
        <v>877</v>
      </c>
      <c r="J96" s="135" t="s">
        <v>878</v>
      </c>
      <c r="K96" s="135" t="s">
        <v>879</v>
      </c>
      <c r="L96" s="135" t="s">
        <v>1</v>
      </c>
      <c r="M96" s="135" t="s">
        <v>1</v>
      </c>
      <c r="N96" s="135" t="s">
        <v>248</v>
      </c>
      <c r="O96" s="135" t="s">
        <v>880</v>
      </c>
      <c r="P96" s="135" t="s">
        <v>881</v>
      </c>
      <c r="Q96" s="135" t="s">
        <v>90</v>
      </c>
      <c r="R96" s="135" t="s">
        <v>882</v>
      </c>
      <c r="S96" s="135" t="s">
        <v>371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883</v>
      </c>
      <c r="B97" s="135" t="s">
        <v>337</v>
      </c>
      <c r="C97" s="257" t="s">
        <v>47</v>
      </c>
      <c r="D97" s="135" t="s">
        <v>47</v>
      </c>
      <c r="E97" s="135" t="s">
        <v>884</v>
      </c>
      <c r="F97" s="135" t="s">
        <v>397</v>
      </c>
      <c r="G97" s="135" t="s">
        <v>885</v>
      </c>
      <c r="H97" s="135" t="s">
        <v>886</v>
      </c>
      <c r="I97" s="135" t="s">
        <v>887</v>
      </c>
      <c r="J97" s="135" t="s">
        <v>888</v>
      </c>
      <c r="K97" s="135" t="s">
        <v>182</v>
      </c>
      <c r="L97" s="135" t="s">
        <v>1</v>
      </c>
      <c r="M97" s="135" t="s">
        <v>1</v>
      </c>
      <c r="N97" s="135" t="s">
        <v>248</v>
      </c>
      <c r="O97" s="135" t="s">
        <v>889</v>
      </c>
      <c r="P97" s="135" t="s">
        <v>890</v>
      </c>
      <c r="Q97" s="135" t="s">
        <v>90</v>
      </c>
      <c r="R97" s="135" t="s">
        <v>891</v>
      </c>
      <c r="S97" s="135" t="s">
        <v>484</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892</v>
      </c>
      <c r="B98" s="135" t="s">
        <v>337</v>
      </c>
      <c r="C98" s="257" t="s">
        <v>47</v>
      </c>
      <c r="D98" s="135" t="s">
        <v>47</v>
      </c>
      <c r="E98" s="135" t="s">
        <v>893</v>
      </c>
      <c r="F98" s="135" t="s">
        <v>894</v>
      </c>
      <c r="G98" s="135" t="s">
        <v>895</v>
      </c>
      <c r="H98" s="135" t="s">
        <v>896</v>
      </c>
      <c r="I98" s="135" t="s">
        <v>897</v>
      </c>
      <c r="J98" s="135" t="s">
        <v>898</v>
      </c>
      <c r="K98" s="135" t="s">
        <v>182</v>
      </c>
      <c r="L98" s="135" t="s">
        <v>1</v>
      </c>
      <c r="M98" s="135" t="s">
        <v>1</v>
      </c>
      <c r="N98" s="135" t="s">
        <v>248</v>
      </c>
      <c r="O98" s="135" t="s">
        <v>899</v>
      </c>
      <c r="P98" s="135" t="s">
        <v>900</v>
      </c>
      <c r="Q98" s="135" t="s">
        <v>90</v>
      </c>
      <c r="R98" s="135" t="s">
        <v>901</v>
      </c>
      <c r="S98" s="135" t="s">
        <v>209</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902</v>
      </c>
      <c r="B99" s="135" t="s">
        <v>903</v>
      </c>
      <c r="C99" s="257" t="s">
        <v>47</v>
      </c>
      <c r="D99" s="135" t="s">
        <v>904</v>
      </c>
      <c r="E99" s="135" t="s">
        <v>905</v>
      </c>
      <c r="F99" s="135" t="s">
        <v>906</v>
      </c>
      <c r="G99" s="135" t="s">
        <v>907</v>
      </c>
      <c r="H99" s="135" t="s">
        <v>4</v>
      </c>
      <c r="I99" s="135" t="s">
        <v>908</v>
      </c>
      <c r="J99" s="135" t="s">
        <v>909</v>
      </c>
      <c r="K99" s="135" t="s">
        <v>182</v>
      </c>
      <c r="L99" s="135" t="s">
        <v>1</v>
      </c>
      <c r="M99" s="135" t="s">
        <v>1</v>
      </c>
      <c r="N99" s="135" t="s">
        <v>910</v>
      </c>
      <c r="O99" s="135" t="s">
        <v>911</v>
      </c>
      <c r="P99" s="135" t="s">
        <v>912</v>
      </c>
      <c r="Q99" s="135" t="s">
        <v>90</v>
      </c>
      <c r="R99" s="135" t="s">
        <v>913</v>
      </c>
      <c r="S99" s="135" t="s">
        <v>335</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914</v>
      </c>
      <c r="B100" s="135" t="s">
        <v>903</v>
      </c>
      <c r="C100" s="257" t="s">
        <v>47</v>
      </c>
      <c r="D100" s="135" t="s">
        <v>915</v>
      </c>
      <c r="E100" s="135" t="s">
        <v>916</v>
      </c>
      <c r="F100" s="135" t="s">
        <v>917</v>
      </c>
      <c r="G100" s="135" t="s">
        <v>918</v>
      </c>
      <c r="H100" s="135" t="s">
        <v>4</v>
      </c>
      <c r="I100" s="135" t="s">
        <v>4</v>
      </c>
      <c r="J100" s="135" t="s">
        <v>919</v>
      </c>
      <c r="K100" s="135" t="s">
        <v>182</v>
      </c>
      <c r="L100" s="135" t="s">
        <v>1</v>
      </c>
      <c r="M100" s="135" t="s">
        <v>1</v>
      </c>
      <c r="N100" s="135" t="s">
        <v>910</v>
      </c>
      <c r="O100" s="135" t="s">
        <v>920</v>
      </c>
      <c r="P100" s="135" t="s">
        <v>921</v>
      </c>
      <c r="Q100" s="135" t="s">
        <v>90</v>
      </c>
      <c r="R100" s="135" t="s">
        <v>922</v>
      </c>
      <c r="S100" s="135" t="s">
        <v>209</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923</v>
      </c>
      <c r="B101" s="135" t="s">
        <v>903</v>
      </c>
      <c r="C101" s="257" t="s">
        <v>47</v>
      </c>
      <c r="D101" s="135" t="s">
        <v>924</v>
      </c>
      <c r="E101" s="135" t="s">
        <v>925</v>
      </c>
      <c r="F101" s="135" t="s">
        <v>926</v>
      </c>
      <c r="G101" s="135" t="s">
        <v>927</v>
      </c>
      <c r="H101" s="135" t="s">
        <v>4</v>
      </c>
      <c r="I101" s="135" t="s">
        <v>4</v>
      </c>
      <c r="J101" s="135" t="s">
        <v>928</v>
      </c>
      <c r="K101" s="135" t="s">
        <v>182</v>
      </c>
      <c r="L101" s="135" t="s">
        <v>1</v>
      </c>
      <c r="M101" s="135" t="s">
        <v>1</v>
      </c>
      <c r="N101" s="135" t="s">
        <v>910</v>
      </c>
      <c r="O101" s="135" t="s">
        <v>929</v>
      </c>
      <c r="P101" s="135" t="s">
        <v>930</v>
      </c>
      <c r="Q101" s="135" t="s">
        <v>90</v>
      </c>
      <c r="R101" s="135" t="s">
        <v>931</v>
      </c>
      <c r="S101" s="135" t="s">
        <v>932</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933</v>
      </c>
      <c r="B102" s="135" t="s">
        <v>903</v>
      </c>
      <c r="C102" s="257" t="s">
        <v>47</v>
      </c>
      <c r="D102" s="135" t="s">
        <v>934</v>
      </c>
      <c r="E102" s="135" t="s">
        <v>935</v>
      </c>
      <c r="F102" s="135" t="s">
        <v>936</v>
      </c>
      <c r="G102" s="135" t="s">
        <v>937</v>
      </c>
      <c r="H102" s="135" t="s">
        <v>4</v>
      </c>
      <c r="I102" s="135" t="s">
        <v>4</v>
      </c>
      <c r="J102" s="135" t="s">
        <v>938</v>
      </c>
      <c r="K102" s="135" t="s">
        <v>182</v>
      </c>
      <c r="L102" s="135" t="s">
        <v>4</v>
      </c>
      <c r="M102" s="135" t="s">
        <v>831</v>
      </c>
      <c r="N102" s="135" t="s">
        <v>939</v>
      </c>
      <c r="O102" s="135" t="s">
        <v>940</v>
      </c>
      <c r="P102" s="135" t="s">
        <v>941</v>
      </c>
      <c r="Q102" s="135" t="s">
        <v>90</v>
      </c>
      <c r="R102" s="135" t="s">
        <v>942</v>
      </c>
      <c r="S102" s="135" t="s">
        <v>95</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943</v>
      </c>
      <c r="B103" s="135" t="s">
        <v>903</v>
      </c>
      <c r="C103" s="257" t="s">
        <v>47</v>
      </c>
      <c r="D103" s="135" t="s">
        <v>944</v>
      </c>
      <c r="E103" s="135" t="s">
        <v>945</v>
      </c>
      <c r="F103" s="135" t="s">
        <v>946</v>
      </c>
      <c r="G103" s="135" t="s">
        <v>947</v>
      </c>
      <c r="H103" s="135" t="s">
        <v>4</v>
      </c>
      <c r="I103" s="135" t="s">
        <v>948</v>
      </c>
      <c r="J103" s="135" t="s">
        <v>949</v>
      </c>
      <c r="K103" s="135" t="s">
        <v>182</v>
      </c>
      <c r="L103" s="135" t="s">
        <v>4</v>
      </c>
      <c r="M103" s="135" t="s">
        <v>831</v>
      </c>
      <c r="N103" s="135" t="s">
        <v>939</v>
      </c>
      <c r="O103" s="135" t="s">
        <v>950</v>
      </c>
      <c r="P103" s="135" t="s">
        <v>951</v>
      </c>
      <c r="Q103" s="135" t="s">
        <v>90</v>
      </c>
      <c r="R103" s="135" t="s">
        <v>952</v>
      </c>
      <c r="S103" s="135" t="s">
        <v>95</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953</v>
      </c>
      <c r="B104" s="135" t="s">
        <v>903</v>
      </c>
      <c r="C104" s="257" t="s">
        <v>47</v>
      </c>
      <c r="D104" s="135" t="s">
        <v>954</v>
      </c>
      <c r="E104" s="135" t="s">
        <v>955</v>
      </c>
      <c r="F104" s="135" t="s">
        <v>4</v>
      </c>
      <c r="G104" s="135" t="s">
        <v>956</v>
      </c>
      <c r="H104" s="135" t="s">
        <v>4</v>
      </c>
      <c r="I104" s="135" t="s">
        <v>4</v>
      </c>
      <c r="J104" s="135" t="s">
        <v>957</v>
      </c>
      <c r="K104" s="135" t="s">
        <v>182</v>
      </c>
      <c r="L104" s="135" t="s">
        <v>4</v>
      </c>
      <c r="M104" s="135" t="s">
        <v>831</v>
      </c>
      <c r="N104" s="135" t="s">
        <v>939</v>
      </c>
      <c r="O104" s="135" t="s">
        <v>958</v>
      </c>
      <c r="P104" s="135" t="s">
        <v>959</v>
      </c>
      <c r="Q104" s="135" t="s">
        <v>90</v>
      </c>
      <c r="R104" s="135" t="s">
        <v>960</v>
      </c>
      <c r="S104" s="135" t="s">
        <v>95</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961</v>
      </c>
      <c r="B105" s="135" t="s">
        <v>962</v>
      </c>
      <c r="C105" s="257" t="s">
        <v>47</v>
      </c>
      <c r="D105" s="135" t="s">
        <v>963</v>
      </c>
      <c r="E105" s="135" t="s">
        <v>964</v>
      </c>
      <c r="F105" s="135" t="s">
        <v>965</v>
      </c>
      <c r="G105" s="135" t="s">
        <v>966</v>
      </c>
      <c r="H105" s="135" t="s">
        <v>967</v>
      </c>
      <c r="I105" s="135" t="s">
        <v>968</v>
      </c>
      <c r="J105" s="135" t="s">
        <v>969</v>
      </c>
      <c r="K105" s="135" t="s">
        <v>970</v>
      </c>
      <c r="L105" s="135" t="s">
        <v>1</v>
      </c>
      <c r="M105" s="135" t="s">
        <v>1</v>
      </c>
      <c r="N105" s="135" t="s">
        <v>971</v>
      </c>
      <c r="O105" s="135" t="s">
        <v>972</v>
      </c>
      <c r="P105" s="135" t="s">
        <v>973</v>
      </c>
      <c r="Q105" s="135" t="s">
        <v>90</v>
      </c>
      <c r="R105" s="135" t="s">
        <v>974</v>
      </c>
      <c r="S105" s="135" t="s">
        <v>95</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975</v>
      </c>
      <c r="B106" s="135" t="s">
        <v>962</v>
      </c>
      <c r="C106" s="257" t="s">
        <v>47</v>
      </c>
      <c r="D106" s="135" t="s">
        <v>976</v>
      </c>
      <c r="E106" s="135" t="s">
        <v>977</v>
      </c>
      <c r="F106" s="135" t="s">
        <v>978</v>
      </c>
      <c r="G106" s="135" t="s">
        <v>979</v>
      </c>
      <c r="H106" s="135" t="s">
        <v>4</v>
      </c>
      <c r="I106" s="135" t="s">
        <v>4</v>
      </c>
      <c r="J106" s="135" t="s">
        <v>980</v>
      </c>
      <c r="K106" s="135" t="s">
        <v>182</v>
      </c>
      <c r="L106" s="135" t="s">
        <v>90</v>
      </c>
      <c r="M106" s="135" t="s">
        <v>981</v>
      </c>
      <c r="N106" s="135" t="s">
        <v>183</v>
      </c>
      <c r="O106" s="135" t="s">
        <v>982</v>
      </c>
      <c r="P106" s="135" t="s">
        <v>983</v>
      </c>
      <c r="Q106" s="135" t="s">
        <v>90</v>
      </c>
      <c r="R106" s="135" t="s">
        <v>984</v>
      </c>
      <c r="S106" s="135" t="s">
        <v>95</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985</v>
      </c>
      <c r="B107" s="135" t="s">
        <v>962</v>
      </c>
      <c r="C107" s="257" t="s">
        <v>47</v>
      </c>
      <c r="D107" s="135" t="s">
        <v>986</v>
      </c>
      <c r="E107" s="135" t="s">
        <v>987</v>
      </c>
      <c r="F107" s="135" t="s">
        <v>978</v>
      </c>
      <c r="G107" s="135" t="s">
        <v>988</v>
      </c>
      <c r="H107" s="135" t="s">
        <v>4</v>
      </c>
      <c r="I107" s="135" t="s">
        <v>4</v>
      </c>
      <c r="J107" s="135" t="s">
        <v>989</v>
      </c>
      <c r="K107" s="135" t="s">
        <v>182</v>
      </c>
      <c r="L107" s="135" t="s">
        <v>90</v>
      </c>
      <c r="M107" s="135" t="s">
        <v>981</v>
      </c>
      <c r="N107" s="135" t="s">
        <v>183</v>
      </c>
      <c r="O107" s="135" t="s">
        <v>990</v>
      </c>
      <c r="P107" s="135" t="s">
        <v>991</v>
      </c>
      <c r="Q107" s="135" t="s">
        <v>90</v>
      </c>
      <c r="R107" s="135" t="s">
        <v>992</v>
      </c>
      <c r="S107" s="135" t="s">
        <v>95</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993</v>
      </c>
      <c r="B108" s="135" t="s">
        <v>962</v>
      </c>
      <c r="C108" s="257" t="s">
        <v>47</v>
      </c>
      <c r="D108" s="135" t="s">
        <v>994</v>
      </c>
      <c r="E108" s="135" t="s">
        <v>995</v>
      </c>
      <c r="F108" s="135" t="s">
        <v>996</v>
      </c>
      <c r="G108" s="135" t="s">
        <v>997</v>
      </c>
      <c r="H108" s="135" t="s">
        <v>4</v>
      </c>
      <c r="I108" s="135" t="s">
        <v>998</v>
      </c>
      <c r="J108" s="135" t="s">
        <v>999</v>
      </c>
      <c r="K108" s="135" t="s">
        <v>182</v>
      </c>
      <c r="L108" s="135" t="s">
        <v>1</v>
      </c>
      <c r="M108" s="135" t="s">
        <v>1</v>
      </c>
      <c r="N108" s="135" t="s">
        <v>183</v>
      </c>
      <c r="O108" s="135" t="s">
        <v>1000</v>
      </c>
      <c r="P108" s="135" t="s">
        <v>1001</v>
      </c>
      <c r="Q108" s="135" t="s">
        <v>90</v>
      </c>
      <c r="R108" s="135" t="s">
        <v>1002</v>
      </c>
      <c r="S108" s="135" t="s">
        <v>95</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1003</v>
      </c>
      <c r="B109" s="135" t="s">
        <v>962</v>
      </c>
      <c r="C109" s="257" t="s">
        <v>47</v>
      </c>
      <c r="D109" s="135" t="s">
        <v>1004</v>
      </c>
      <c r="E109" s="135" t="s">
        <v>1005</v>
      </c>
      <c r="F109" s="135" t="s">
        <v>1006</v>
      </c>
      <c r="G109" s="135" t="s">
        <v>1007</v>
      </c>
      <c r="H109" s="135" t="s">
        <v>4</v>
      </c>
      <c r="I109" s="135" t="s">
        <v>1008</v>
      </c>
      <c r="J109" s="135" t="s">
        <v>1009</v>
      </c>
      <c r="K109" s="135" t="s">
        <v>182</v>
      </c>
      <c r="L109" s="135" t="s">
        <v>90</v>
      </c>
      <c r="M109" s="135" t="s">
        <v>981</v>
      </c>
      <c r="N109" s="135" t="s">
        <v>183</v>
      </c>
      <c r="O109" s="135" t="s">
        <v>1010</v>
      </c>
      <c r="P109" s="135" t="s">
        <v>1011</v>
      </c>
      <c r="Q109" s="135" t="s">
        <v>90</v>
      </c>
      <c r="R109" s="135" t="s">
        <v>1012</v>
      </c>
      <c r="S109" s="135" t="s">
        <v>209</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1013</v>
      </c>
      <c r="B110" s="135" t="s">
        <v>267</v>
      </c>
      <c r="C110" s="257" t="s">
        <v>47</v>
      </c>
      <c r="D110" s="135" t="s">
        <v>1014</v>
      </c>
      <c r="E110" s="135" t="s">
        <v>1015</v>
      </c>
      <c r="F110" s="135" t="s">
        <v>4</v>
      </c>
      <c r="G110" s="135" t="s">
        <v>1016</v>
      </c>
      <c r="H110" s="135" t="s">
        <v>4</v>
      </c>
      <c r="I110" s="135" t="s">
        <v>8</v>
      </c>
      <c r="J110" s="135" t="s">
        <v>1017</v>
      </c>
      <c r="K110" s="135" t="s">
        <v>182</v>
      </c>
      <c r="L110" s="135" t="s">
        <v>90</v>
      </c>
      <c r="M110" s="135" t="s">
        <v>981</v>
      </c>
      <c r="N110" s="135" t="s">
        <v>183</v>
      </c>
      <c r="O110" s="135" t="s">
        <v>1018</v>
      </c>
      <c r="P110" s="135" t="s">
        <v>1019</v>
      </c>
      <c r="Q110" s="135" t="s">
        <v>90</v>
      </c>
      <c r="R110" s="135" t="s">
        <v>1020</v>
      </c>
      <c r="S110" s="135" t="s">
        <v>125</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8" t="s">
        <v>1021</v>
      </c>
      <c r="B111" s="138" t="s">
        <v>144</v>
      </c>
      <c r="C111" s="257" t="s">
        <v>47</v>
      </c>
      <c r="D111" s="138" t="s">
        <v>1022</v>
      </c>
      <c r="E111" s="138" t="s">
        <v>1023</v>
      </c>
      <c r="F111" s="138" t="s">
        <v>1</v>
      </c>
      <c r="G111" s="138" t="s">
        <v>1</v>
      </c>
      <c r="H111" s="138" t="s">
        <v>1</v>
      </c>
      <c r="I111" s="138" t="s">
        <v>1</v>
      </c>
      <c r="J111" s="138" t="s">
        <v>1</v>
      </c>
      <c r="K111" s="138" t="s">
        <v>101</v>
      </c>
      <c r="L111" s="138" t="s">
        <v>101</v>
      </c>
      <c r="M111" s="138" t="s">
        <v>101</v>
      </c>
      <c r="N111" s="138" t="s">
        <v>1</v>
      </c>
      <c r="O111" s="138" t="s">
        <v>147</v>
      </c>
      <c r="P111" s="138" t="s">
        <v>1024</v>
      </c>
      <c r="Q111" s="138" t="s">
        <v>101</v>
      </c>
      <c r="R111" s="138" t="s">
        <v>149</v>
      </c>
      <c r="S111" s="138" t="s">
        <v>150</v>
      </c>
      <c r="T111" s="138" t="s">
        <v>151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V111" s="146">
        <f>IF(T111="","",VALUE(LEFT(T111,SEARCH("/",T111)-1)))</f>
        <v>10</v>
      </c>
      <c r="W111" s="146">
        <f>IF(T111="","",VALUE(MID(T111,SEARCH("/",T111)+1,LEN(T111))))</f>
        <v>25</v>
      </c>
    </row>
    <row r="112" customFormat="false" ht="15" hidden="false" customHeight="false" outlineLevel="0" collapsed="false">
      <c r="A112" s="135" t="s">
        <v>1025</v>
      </c>
      <c r="B112" s="135" t="s">
        <v>337</v>
      </c>
      <c r="C112" s="258" t="s">
        <v>53</v>
      </c>
      <c r="D112" s="135" t="s">
        <v>1026</v>
      </c>
      <c r="E112" s="135" t="s">
        <v>1027</v>
      </c>
      <c r="F112" s="135" t="s">
        <v>1028</v>
      </c>
      <c r="G112" s="135" t="s">
        <v>1029</v>
      </c>
      <c r="H112" s="135" t="s">
        <v>4</v>
      </c>
      <c r="I112" s="135" t="s">
        <v>1030</v>
      </c>
      <c r="J112" s="135" t="s">
        <v>1031</v>
      </c>
      <c r="K112" s="135" t="s">
        <v>1032</v>
      </c>
      <c r="L112" s="135" t="s">
        <v>1</v>
      </c>
      <c r="M112" s="135" t="s">
        <v>1</v>
      </c>
      <c r="N112" s="135" t="s">
        <v>579</v>
      </c>
      <c r="O112" s="135" t="s">
        <v>1033</v>
      </c>
      <c r="P112" s="135" t="s">
        <v>1034</v>
      </c>
      <c r="Q112" s="135" t="s">
        <v>90</v>
      </c>
      <c r="R112" s="135" t="s">
        <v>1035</v>
      </c>
      <c r="S112" s="135" t="s">
        <v>95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1036</v>
      </c>
      <c r="B113" s="135" t="s">
        <v>1037</v>
      </c>
      <c r="C113" s="258" t="s">
        <v>53</v>
      </c>
      <c r="D113" s="135" t="s">
        <v>1038</v>
      </c>
      <c r="E113" s="135" t="s">
        <v>1039</v>
      </c>
      <c r="F113" s="135" t="s">
        <v>1040</v>
      </c>
      <c r="G113" s="135" t="s">
        <v>1041</v>
      </c>
      <c r="H113" s="135" t="s">
        <v>4</v>
      </c>
      <c r="I113" s="135" t="s">
        <v>1042</v>
      </c>
      <c r="J113" s="135" t="s">
        <v>1043</v>
      </c>
      <c r="K113" s="135" t="s">
        <v>182</v>
      </c>
      <c r="L113" s="135" t="s">
        <v>90</v>
      </c>
      <c r="M113" s="135" t="s">
        <v>981</v>
      </c>
      <c r="N113" s="135" t="s">
        <v>183</v>
      </c>
      <c r="O113" s="135" t="s">
        <v>1044</v>
      </c>
      <c r="P113" s="135" t="s">
        <v>1045</v>
      </c>
      <c r="Q113" s="135" t="s">
        <v>90</v>
      </c>
      <c r="R113" s="135" t="s">
        <v>1046</v>
      </c>
      <c r="S113" s="135" t="s">
        <v>95</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1047</v>
      </c>
      <c r="B114" s="135" t="s">
        <v>1037</v>
      </c>
      <c r="C114" s="258" t="s">
        <v>53</v>
      </c>
      <c r="D114" s="135" t="s">
        <v>1048</v>
      </c>
      <c r="E114" s="135" t="s">
        <v>1049</v>
      </c>
      <c r="F114" s="135" t="s">
        <v>1050</v>
      </c>
      <c r="G114" s="135" t="s">
        <v>1051</v>
      </c>
      <c r="H114" s="135" t="s">
        <v>4</v>
      </c>
      <c r="I114" s="135" t="s">
        <v>4</v>
      </c>
      <c r="J114" s="135" t="s">
        <v>1052</v>
      </c>
      <c r="K114" s="135" t="s">
        <v>182</v>
      </c>
      <c r="L114" s="135" t="s">
        <v>90</v>
      </c>
      <c r="M114" s="135" t="s">
        <v>981</v>
      </c>
      <c r="N114" s="135" t="s">
        <v>183</v>
      </c>
      <c r="O114" s="135" t="s">
        <v>1053</v>
      </c>
      <c r="P114" s="135" t="s">
        <v>1054</v>
      </c>
      <c r="Q114" s="135" t="s">
        <v>90</v>
      </c>
      <c r="R114" s="135" t="s">
        <v>1055</v>
      </c>
      <c r="S114" s="135" t="s">
        <v>209</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1056</v>
      </c>
      <c r="B115" s="135" t="s">
        <v>1037</v>
      </c>
      <c r="C115" s="258" t="s">
        <v>53</v>
      </c>
      <c r="D115" s="135" t="s">
        <v>1057</v>
      </c>
      <c r="E115" s="135" t="s">
        <v>1058</v>
      </c>
      <c r="F115" s="135" t="s">
        <v>1059</v>
      </c>
      <c r="G115" s="135" t="s">
        <v>1060</v>
      </c>
      <c r="H115" s="135" t="s">
        <v>4</v>
      </c>
      <c r="I115" s="135" t="s">
        <v>4</v>
      </c>
      <c r="J115" s="135" t="s">
        <v>1061</v>
      </c>
      <c r="K115" s="135" t="s">
        <v>182</v>
      </c>
      <c r="L115" s="135" t="s">
        <v>90</v>
      </c>
      <c r="M115" s="135" t="s">
        <v>981</v>
      </c>
      <c r="N115" s="135" t="s">
        <v>183</v>
      </c>
      <c r="O115" s="135" t="s">
        <v>1062</v>
      </c>
      <c r="P115" s="135" t="s">
        <v>1063</v>
      </c>
      <c r="Q115" s="135" t="s">
        <v>90</v>
      </c>
      <c r="R115" s="135" t="s">
        <v>1064</v>
      </c>
      <c r="S115" s="135" t="s">
        <v>484</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1065</v>
      </c>
      <c r="B116" s="135" t="s">
        <v>1037</v>
      </c>
      <c r="C116" s="258" t="s">
        <v>53</v>
      </c>
      <c r="D116" s="135" t="s">
        <v>1066</v>
      </c>
      <c r="E116" s="135" t="s">
        <v>1067</v>
      </c>
      <c r="F116" s="135" t="s">
        <v>1068</v>
      </c>
      <c r="G116" s="135" t="s">
        <v>1069</v>
      </c>
      <c r="H116" s="135" t="s">
        <v>4</v>
      </c>
      <c r="I116" s="135" t="s">
        <v>4</v>
      </c>
      <c r="J116" s="135" t="s">
        <v>1070</v>
      </c>
      <c r="K116" s="135" t="s">
        <v>182</v>
      </c>
      <c r="L116" s="135" t="s">
        <v>90</v>
      </c>
      <c r="M116" s="135" t="s">
        <v>981</v>
      </c>
      <c r="N116" s="135" t="s">
        <v>183</v>
      </c>
      <c r="O116" s="135" t="s">
        <v>1071</v>
      </c>
      <c r="P116" s="135" t="s">
        <v>1072</v>
      </c>
      <c r="Q116" s="135" t="s">
        <v>90</v>
      </c>
      <c r="R116" s="135" t="s">
        <v>1073</v>
      </c>
      <c r="S116" s="135" t="s">
        <v>484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1074</v>
      </c>
      <c r="B117" s="135" t="s">
        <v>815</v>
      </c>
      <c r="C117" s="258" t="s">
        <v>53</v>
      </c>
      <c r="D117" s="135" t="s">
        <v>68</v>
      </c>
      <c r="E117" s="135" t="s">
        <v>1075</v>
      </c>
      <c r="F117" s="135" t="s">
        <v>1076</v>
      </c>
      <c r="G117" s="135" t="s">
        <v>1077</v>
      </c>
      <c r="H117" s="135" t="s">
        <v>4</v>
      </c>
      <c r="I117" s="135" t="s">
        <v>1078</v>
      </c>
      <c r="J117" s="135" t="s">
        <v>1079</v>
      </c>
      <c r="K117" s="135" t="s">
        <v>345</v>
      </c>
      <c r="L117" s="135" t="s">
        <v>1</v>
      </c>
      <c r="M117" s="135" t="s">
        <v>1</v>
      </c>
      <c r="N117" s="135" t="s">
        <v>579</v>
      </c>
      <c r="O117" s="135" t="s">
        <v>1080</v>
      </c>
      <c r="P117" s="135" t="s">
        <v>1081</v>
      </c>
      <c r="Q117" s="135" t="s">
        <v>90</v>
      </c>
      <c r="R117" s="135" t="s">
        <v>1082</v>
      </c>
      <c r="S117" s="135" t="s">
        <v>1083</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8" t="s">
        <v>1084</v>
      </c>
      <c r="B118" s="138" t="s">
        <v>144</v>
      </c>
      <c r="C118" s="258" t="s">
        <v>53</v>
      </c>
      <c r="D118" s="138" t="s">
        <v>1085</v>
      </c>
      <c r="E118" s="138" t="s">
        <v>1086</v>
      </c>
      <c r="F118" s="138" t="s">
        <v>1</v>
      </c>
      <c r="G118" s="138" t="s">
        <v>1</v>
      </c>
      <c r="H118" s="138" t="s">
        <v>1</v>
      </c>
      <c r="I118" s="138" t="s">
        <v>1</v>
      </c>
      <c r="J118" s="138" t="s">
        <v>1</v>
      </c>
      <c r="K118" s="138" t="s">
        <v>101</v>
      </c>
      <c r="L118" s="138" t="s">
        <v>101</v>
      </c>
      <c r="M118" s="138" t="s">
        <v>101</v>
      </c>
      <c r="N118" s="138" t="s">
        <v>1</v>
      </c>
      <c r="O118" s="138" t="s">
        <v>147</v>
      </c>
      <c r="P118" s="138" t="s">
        <v>1087</v>
      </c>
      <c r="Q118" s="138" t="s">
        <v>101</v>
      </c>
      <c r="R118" s="138" t="s">
        <v>149</v>
      </c>
      <c r="S118" s="138" t="s">
        <v>150</v>
      </c>
      <c r="T118" s="138" t="s">
        <v>151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10</v>
      </c>
      <c r="W118" s="146">
        <f>IF(T118="","",VALUE(MID(T118,SEARCH("/",T118)+1,LEN(T118))))</f>
        <v>25</v>
      </c>
    </row>
    <row r="119" customFormat="false" ht="15" hidden="false" customHeight="false" outlineLevel="0" collapsed="false">
      <c r="A119" s="138" t="s">
        <v>1088</v>
      </c>
      <c r="B119" s="138" t="s">
        <v>144</v>
      </c>
      <c r="C119" s="258" t="s">
        <v>53</v>
      </c>
      <c r="D119" s="138" t="s">
        <v>1089</v>
      </c>
      <c r="E119" s="138" t="s">
        <v>1090</v>
      </c>
      <c r="F119" s="138" t="s">
        <v>1</v>
      </c>
      <c r="G119" s="138" t="s">
        <v>1</v>
      </c>
      <c r="H119" s="138" t="s">
        <v>1</v>
      </c>
      <c r="I119" s="138" t="s">
        <v>1</v>
      </c>
      <c r="J119" s="138" t="s">
        <v>1</v>
      </c>
      <c r="K119" s="138" t="s">
        <v>101</v>
      </c>
      <c r="L119" s="138" t="s">
        <v>101</v>
      </c>
      <c r="M119" s="138" t="s">
        <v>101</v>
      </c>
      <c r="N119" s="138" t="s">
        <v>1</v>
      </c>
      <c r="O119" s="138" t="s">
        <v>147</v>
      </c>
      <c r="P119" s="138" t="s">
        <v>1091</v>
      </c>
      <c r="Q119" s="138" t="s">
        <v>101</v>
      </c>
      <c r="R119" s="138" t="s">
        <v>1092</v>
      </c>
      <c r="S119" s="138" t="s">
        <v>150</v>
      </c>
      <c r="T119" s="138" t="s">
        <v>151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10</v>
      </c>
      <c r="W119" s="146">
        <f>IF(T119="","",VALUE(MID(T119,SEARCH("/",T119)+1,LEN(T119))))</f>
        <v>25</v>
      </c>
    </row>
    <row r="120" customFormat="false" ht="15" hidden="false" customHeight="false" outlineLevel="0" collapsed="false">
      <c r="A120" s="138" t="s">
        <v>1093</v>
      </c>
      <c r="B120" s="138" t="s">
        <v>1094</v>
      </c>
      <c r="C120" s="258" t="s">
        <v>53</v>
      </c>
      <c r="D120" s="138" t="s">
        <v>1095</v>
      </c>
      <c r="E120" s="138" t="s">
        <v>1096</v>
      </c>
      <c r="F120" s="138" t="s">
        <v>1097</v>
      </c>
      <c r="G120" s="138" t="s">
        <v>1098</v>
      </c>
      <c r="H120" s="138" t="s">
        <v>4</v>
      </c>
      <c r="I120" s="138" t="s">
        <v>4</v>
      </c>
      <c r="J120" s="138" t="s">
        <v>1099</v>
      </c>
      <c r="K120" s="138" t="s">
        <v>101</v>
      </c>
      <c r="L120" s="138" t="s">
        <v>101</v>
      </c>
      <c r="M120" s="138" t="s">
        <v>1100</v>
      </c>
      <c r="N120" s="138" t="s">
        <v>1</v>
      </c>
      <c r="O120" s="138" t="s">
        <v>1101</v>
      </c>
      <c r="P120" s="138" t="s">
        <v>1102</v>
      </c>
      <c r="Q120" s="138" t="s">
        <v>101</v>
      </c>
      <c r="R120" s="138" t="s">
        <v>1103</v>
      </c>
      <c r="S120" s="138" t="s">
        <v>150</v>
      </c>
      <c r="T120" s="138" t="s">
        <v>1104</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V120" s="146">
        <f>IF(T120="","",VALUE(LEFT(T120,SEARCH("/",T120)-1)))</f>
        <v>30</v>
      </c>
      <c r="W120" s="146">
        <f>IF(T120="","",VALUE(MID(T120,SEARCH("/",T120)+1,LEN(T120))))</f>
        <v>60</v>
      </c>
    </row>
    <row r="121" customFormat="false" ht="15" hidden="false" customHeight="false" outlineLevel="0" collapsed="false">
      <c r="A121" s="135" t="s">
        <v>1105</v>
      </c>
      <c r="B121" s="135" t="s">
        <v>962</v>
      </c>
      <c r="C121" s="259" t="s">
        <v>59</v>
      </c>
      <c r="D121" s="135" t="s">
        <v>1106</v>
      </c>
      <c r="E121" s="135" t="s">
        <v>1107</v>
      </c>
      <c r="F121" s="135" t="s">
        <v>1108</v>
      </c>
      <c r="G121" s="135" t="s">
        <v>1109</v>
      </c>
      <c r="H121" s="135" t="s">
        <v>4</v>
      </c>
      <c r="I121" s="135" t="s">
        <v>4</v>
      </c>
      <c r="J121" s="135" t="s">
        <v>1110</v>
      </c>
      <c r="K121" s="135" t="s">
        <v>182</v>
      </c>
      <c r="L121" s="135" t="s">
        <v>90</v>
      </c>
      <c r="M121" s="135" t="s">
        <v>1111</v>
      </c>
      <c r="N121" s="135" t="s">
        <v>1112</v>
      </c>
      <c r="O121" s="135" t="s">
        <v>1113</v>
      </c>
      <c r="P121" s="135" t="s">
        <v>1114</v>
      </c>
      <c r="Q121" s="135" t="s">
        <v>90</v>
      </c>
      <c r="R121" s="135" t="s">
        <v>1115</v>
      </c>
      <c r="S121" s="135" t="s">
        <v>209</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1116</v>
      </c>
      <c r="B122" s="135" t="s">
        <v>962</v>
      </c>
      <c r="C122" s="259" t="s">
        <v>59</v>
      </c>
      <c r="D122" s="135" t="s">
        <v>1117</v>
      </c>
      <c r="E122" s="135" t="s">
        <v>1118</v>
      </c>
      <c r="F122" s="135" t="s">
        <v>1119</v>
      </c>
      <c r="G122" s="135" t="s">
        <v>1120</v>
      </c>
      <c r="H122" s="135" t="s">
        <v>1121</v>
      </c>
      <c r="I122" s="135" t="s">
        <v>1122</v>
      </c>
      <c r="J122" s="135" t="s">
        <v>1123</v>
      </c>
      <c r="K122" s="135" t="s">
        <v>182</v>
      </c>
      <c r="L122" s="135" t="s">
        <v>90</v>
      </c>
      <c r="M122" s="135" t="s">
        <v>1111</v>
      </c>
      <c r="N122" s="135" t="s">
        <v>1112</v>
      </c>
      <c r="O122" s="135" t="s">
        <v>1124</v>
      </c>
      <c r="P122" s="135" t="s">
        <v>1125</v>
      </c>
      <c r="Q122" s="135" t="s">
        <v>90</v>
      </c>
      <c r="R122" s="135" t="s">
        <v>1126</v>
      </c>
      <c r="S122" s="135" t="s">
        <v>484</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1127</v>
      </c>
      <c r="B123" s="135" t="s">
        <v>253</v>
      </c>
      <c r="C123" s="259" t="s">
        <v>59</v>
      </c>
      <c r="D123" s="135" t="s">
        <v>1128</v>
      </c>
      <c r="E123" s="135" t="s">
        <v>1129</v>
      </c>
      <c r="F123" s="135" t="s">
        <v>1130</v>
      </c>
      <c r="G123" s="135" t="s">
        <v>1131</v>
      </c>
      <c r="H123" s="135" t="s">
        <v>4</v>
      </c>
      <c r="I123" s="135" t="s">
        <v>1132</v>
      </c>
      <c r="J123" s="135" t="s">
        <v>1133</v>
      </c>
      <c r="K123" s="135" t="s">
        <v>182</v>
      </c>
      <c r="L123" s="135" t="s">
        <v>90</v>
      </c>
      <c r="M123" s="135" t="s">
        <v>1111</v>
      </c>
      <c r="N123" s="135" t="s">
        <v>1112</v>
      </c>
      <c r="O123" s="135" t="s">
        <v>1134</v>
      </c>
      <c r="P123" s="135" t="s">
        <v>1135</v>
      </c>
      <c r="Q123" s="135" t="s">
        <v>90</v>
      </c>
      <c r="R123" s="135" t="s">
        <v>1136</v>
      </c>
      <c r="S123" s="135" t="s">
        <v>405</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1137</v>
      </c>
      <c r="B124" s="135" t="s">
        <v>253</v>
      </c>
      <c r="C124" s="259" t="s">
        <v>59</v>
      </c>
      <c r="D124" s="135" t="s">
        <v>1138</v>
      </c>
      <c r="E124" s="135" t="s">
        <v>1139</v>
      </c>
      <c r="F124" s="135" t="s">
        <v>1140</v>
      </c>
      <c r="G124" s="135" t="s">
        <v>1141</v>
      </c>
      <c r="H124" s="135" t="s">
        <v>4</v>
      </c>
      <c r="I124" s="135" t="s">
        <v>1142</v>
      </c>
      <c r="J124" s="135" t="s">
        <v>1143</v>
      </c>
      <c r="K124" s="135" t="s">
        <v>182</v>
      </c>
      <c r="L124" s="135" t="s">
        <v>1</v>
      </c>
      <c r="M124" s="135" t="s">
        <v>1</v>
      </c>
      <c r="N124" s="135" t="s">
        <v>1144</v>
      </c>
      <c r="O124" s="135" t="s">
        <v>1145</v>
      </c>
      <c r="P124" s="135" t="s">
        <v>1146</v>
      </c>
      <c r="Q124" s="135" t="s">
        <v>90</v>
      </c>
      <c r="R124" s="135" t="s">
        <v>1147</v>
      </c>
      <c r="S124" s="135" t="s">
        <v>1148</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1149</v>
      </c>
      <c r="B125" s="135" t="s">
        <v>337</v>
      </c>
      <c r="C125" s="259" t="s">
        <v>59</v>
      </c>
      <c r="D125" s="135" t="s">
        <v>1150</v>
      </c>
      <c r="E125" s="135" t="s">
        <v>1151</v>
      </c>
      <c r="F125" s="135" t="s">
        <v>1152</v>
      </c>
      <c r="G125" s="135" t="s">
        <v>1153</v>
      </c>
      <c r="H125" s="135" t="s">
        <v>1154</v>
      </c>
      <c r="I125" s="135" t="s">
        <v>1155</v>
      </c>
      <c r="J125" s="135" t="s">
        <v>1156</v>
      </c>
      <c r="K125" s="135" t="s">
        <v>182</v>
      </c>
      <c r="L125" s="135" t="s">
        <v>1</v>
      </c>
      <c r="M125" s="135" t="s">
        <v>1</v>
      </c>
      <c r="N125" s="135" t="s">
        <v>1157</v>
      </c>
      <c r="O125" s="135" t="s">
        <v>1158</v>
      </c>
      <c r="P125" s="135" t="s">
        <v>1159</v>
      </c>
      <c r="Q125" s="135" t="s">
        <v>90</v>
      </c>
      <c r="R125" s="135" t="s">
        <v>1160</v>
      </c>
      <c r="S125" s="135" t="s">
        <v>95</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1161</v>
      </c>
      <c r="B126" s="135" t="s">
        <v>1162</v>
      </c>
      <c r="C126" s="259" t="s">
        <v>59</v>
      </c>
      <c r="D126" s="135" t="s">
        <v>1163</v>
      </c>
      <c r="E126" s="135" t="s">
        <v>1164</v>
      </c>
      <c r="F126" s="135" t="s">
        <v>1165</v>
      </c>
      <c r="G126" s="135" t="s">
        <v>1166</v>
      </c>
      <c r="H126" s="135" t="s">
        <v>4</v>
      </c>
      <c r="I126" s="135" t="s">
        <v>1167</v>
      </c>
      <c r="J126" s="135" t="s">
        <v>1168</v>
      </c>
      <c r="K126" s="135" t="s">
        <v>182</v>
      </c>
      <c r="L126" s="135" t="s">
        <v>1</v>
      </c>
      <c r="M126" s="135" t="s">
        <v>1</v>
      </c>
      <c r="N126" s="135" t="s">
        <v>1144</v>
      </c>
      <c r="O126" s="135" t="s">
        <v>1169</v>
      </c>
      <c r="P126" s="135" t="s">
        <v>1170</v>
      </c>
      <c r="Q126" s="135" t="s">
        <v>90</v>
      </c>
      <c r="R126" s="135" t="s">
        <v>1171</v>
      </c>
      <c r="S126" s="135" t="s">
        <v>209</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1172</v>
      </c>
      <c r="B127" s="135" t="s">
        <v>253</v>
      </c>
      <c r="C127" s="259" t="s">
        <v>59</v>
      </c>
      <c r="D127" s="135" t="s">
        <v>1173</v>
      </c>
      <c r="E127" s="135" t="s">
        <v>1174</v>
      </c>
      <c r="F127" s="135" t="s">
        <v>1175</v>
      </c>
      <c r="G127" s="135" t="s">
        <v>1176</v>
      </c>
      <c r="H127" s="135" t="s">
        <v>4</v>
      </c>
      <c r="I127" s="135" t="s">
        <v>1177</v>
      </c>
      <c r="J127" s="135" t="s">
        <v>1178</v>
      </c>
      <c r="K127" s="135" t="s">
        <v>182</v>
      </c>
      <c r="L127" s="135" t="s">
        <v>90</v>
      </c>
      <c r="M127" s="135" t="s">
        <v>90</v>
      </c>
      <c r="N127" s="135" t="s">
        <v>1179</v>
      </c>
      <c r="O127" s="135" t="s">
        <v>1180</v>
      </c>
      <c r="P127" s="135" t="s">
        <v>1181</v>
      </c>
      <c r="Q127" s="135" t="s">
        <v>90</v>
      </c>
      <c r="R127" s="135" t="s">
        <v>1182</v>
      </c>
      <c r="S127" s="135" t="s">
        <v>405</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1183</v>
      </c>
      <c r="B128" s="135" t="s">
        <v>127</v>
      </c>
      <c r="C128" s="531" t="s">
        <v>26</v>
      </c>
      <c r="D128" s="135" t="s">
        <v>1184</v>
      </c>
      <c r="E128" s="135" t="s">
        <v>1185</v>
      </c>
      <c r="F128" s="135" t="s">
        <v>130</v>
      </c>
      <c r="G128" s="135" t="s">
        <v>131</v>
      </c>
      <c r="H128" s="135" t="s">
        <v>132</v>
      </c>
      <c r="I128" s="135" t="s">
        <v>133</v>
      </c>
      <c r="J128" s="135" t="s">
        <v>1186</v>
      </c>
      <c r="K128" s="135" t="s">
        <v>1187</v>
      </c>
      <c r="L128" s="135" t="s">
        <v>1188</v>
      </c>
      <c r="M128" s="135" t="s">
        <v>101</v>
      </c>
      <c r="N128" s="135" t="s">
        <v>1189</v>
      </c>
      <c r="O128" s="135" t="s">
        <v>1190</v>
      </c>
      <c r="P128" s="135" t="s">
        <v>1191</v>
      </c>
      <c r="Q128" s="135" t="s">
        <v>90</v>
      </c>
      <c r="R128" s="135" t="s">
        <v>1192</v>
      </c>
      <c r="S128" s="135" t="s">
        <v>512</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1193</v>
      </c>
      <c r="B129" s="135" t="s">
        <v>127</v>
      </c>
      <c r="C129" s="531" t="s">
        <v>26</v>
      </c>
      <c r="D129" s="135" t="s">
        <v>1194</v>
      </c>
      <c r="E129" s="135" t="s">
        <v>1195</v>
      </c>
      <c r="F129" s="135" t="s">
        <v>130</v>
      </c>
      <c r="G129" s="135" t="s">
        <v>131</v>
      </c>
      <c r="H129" s="135" t="s">
        <v>132</v>
      </c>
      <c r="I129" s="135" t="s">
        <v>133</v>
      </c>
      <c r="J129" s="135" t="s">
        <v>1196</v>
      </c>
      <c r="K129" s="135" t="s">
        <v>1197</v>
      </c>
      <c r="L129" s="135" t="s">
        <v>1198</v>
      </c>
      <c r="M129" s="135" t="s">
        <v>101</v>
      </c>
      <c r="N129" s="135" t="s">
        <v>138</v>
      </c>
      <c r="O129" s="135" t="s">
        <v>1199</v>
      </c>
      <c r="P129" s="135" t="s">
        <v>1200</v>
      </c>
      <c r="Q129" s="135" t="s">
        <v>90</v>
      </c>
      <c r="R129" s="135" t="s">
        <v>1201</v>
      </c>
      <c r="S129" s="135" t="s">
        <v>473</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8" t="s">
        <v>1202</v>
      </c>
      <c r="B130" s="138" t="s">
        <v>144</v>
      </c>
      <c r="C130" s="531" t="s">
        <v>26</v>
      </c>
      <c r="D130" s="138" t="s">
        <v>1203</v>
      </c>
      <c r="E130" s="138" t="s">
        <v>1204</v>
      </c>
      <c r="F130" s="138" t="s">
        <v>1</v>
      </c>
      <c r="G130" s="138" t="s">
        <v>1</v>
      </c>
      <c r="H130" s="138" t="s">
        <v>1</v>
      </c>
      <c r="I130" s="138" t="s">
        <v>1</v>
      </c>
      <c r="J130" s="138" t="s">
        <v>1</v>
      </c>
      <c r="K130" s="138" t="s">
        <v>101</v>
      </c>
      <c r="L130" s="138" t="s">
        <v>101</v>
      </c>
      <c r="M130" s="138" t="s">
        <v>101</v>
      </c>
      <c r="N130" s="138" t="s">
        <v>1</v>
      </c>
      <c r="O130" s="138" t="s">
        <v>147</v>
      </c>
      <c r="P130" s="138" t="s">
        <v>1205</v>
      </c>
      <c r="Q130" s="138" t="s">
        <v>101</v>
      </c>
      <c r="R130" s="138" t="s">
        <v>149</v>
      </c>
      <c r="S130" s="138" t="s">
        <v>150</v>
      </c>
      <c r="T130" s="138" t="s">
        <v>151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Not started</v>
      </c>
      <c r="V130" s="146">
        <f>IF(T130="","",VALUE(LEFT(T130,SEARCH("/",T130)-1)))</f>
        <v>10</v>
      </c>
      <c r="W130" s="146">
        <f>IF(T130="","",VALUE(MID(T130,SEARCH("/",T130)+1,LEN(T130))))</f>
        <v>25</v>
      </c>
    </row>
    <row r="131" customFormat="false" ht="15" hidden="false" customHeight="false" outlineLevel="0" collapsed="false">
      <c r="A131" s="138" t="s">
        <v>1206</v>
      </c>
      <c r="B131" s="138" t="s">
        <v>144</v>
      </c>
      <c r="C131" s="531" t="s">
        <v>26</v>
      </c>
      <c r="D131" s="138" t="s">
        <v>1207</v>
      </c>
      <c r="E131" s="138" t="s">
        <v>1208</v>
      </c>
      <c r="F131" s="138" t="s">
        <v>1</v>
      </c>
      <c r="G131" s="138" t="s">
        <v>1</v>
      </c>
      <c r="H131" s="138" t="s">
        <v>1</v>
      </c>
      <c r="I131" s="138" t="s">
        <v>1</v>
      </c>
      <c r="J131" s="138" t="s">
        <v>1</v>
      </c>
      <c r="K131" s="138" t="s">
        <v>101</v>
      </c>
      <c r="L131" s="138" t="s">
        <v>101</v>
      </c>
      <c r="M131" s="138" t="s">
        <v>101</v>
      </c>
      <c r="N131" s="138" t="s">
        <v>1</v>
      </c>
      <c r="O131" s="138" t="s">
        <v>147</v>
      </c>
      <c r="P131" s="138" t="s">
        <v>1209</v>
      </c>
      <c r="Q131" s="138" t="s">
        <v>101</v>
      </c>
      <c r="R131" s="138" t="s">
        <v>149</v>
      </c>
      <c r="S131" s="138" t="s">
        <v>150</v>
      </c>
      <c r="T131" s="138" t="s">
        <v>151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Not started</v>
      </c>
      <c r="V131" s="146">
        <f>IF(T131="","",VALUE(LEFT(T131,SEARCH("/",T131)-1)))</f>
        <v>10</v>
      </c>
      <c r="W131" s="146">
        <f>IF(T131="","",VALUE(MID(T131,SEARCH("/",T131)+1,LEN(T131))))</f>
        <v>25</v>
      </c>
    </row>
    <row r="132" customFormat="false" ht="15" hidden="false" customHeight="false" outlineLevel="0" collapsed="false">
      <c r="A132" s="138" t="s">
        <v>1210</v>
      </c>
      <c r="B132" s="138" t="s">
        <v>144</v>
      </c>
      <c r="C132" s="531" t="s">
        <v>26</v>
      </c>
      <c r="D132" s="138" t="s">
        <v>1211</v>
      </c>
      <c r="E132" s="138" t="s">
        <v>1212</v>
      </c>
      <c r="F132" s="138" t="s">
        <v>1</v>
      </c>
      <c r="G132" s="138" t="s">
        <v>1</v>
      </c>
      <c r="H132" s="138" t="s">
        <v>1</v>
      </c>
      <c r="I132" s="138" t="s">
        <v>1</v>
      </c>
      <c r="J132" s="138" t="s">
        <v>1</v>
      </c>
      <c r="K132" s="138" t="s">
        <v>101</v>
      </c>
      <c r="L132" s="138" t="s">
        <v>101</v>
      </c>
      <c r="M132" s="138" t="s">
        <v>101</v>
      </c>
      <c r="N132" s="138" t="s">
        <v>1</v>
      </c>
      <c r="O132" s="138" t="s">
        <v>147</v>
      </c>
      <c r="P132" s="138" t="s">
        <v>1213</v>
      </c>
      <c r="Q132" s="138" t="s">
        <v>101</v>
      </c>
      <c r="R132" s="138" t="s">
        <v>149</v>
      </c>
      <c r="S132" s="138" t="s">
        <v>150</v>
      </c>
      <c r="T132" s="138" t="s">
        <v>151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V132" s="146">
        <f>IF(T132="","",VALUE(LEFT(T132,SEARCH("/",T132)-1)))</f>
        <v>10</v>
      </c>
      <c r="W132" s="146">
        <f>IF(T132="","",VALUE(MID(T132,SEARCH("/",T132)+1,LEN(T132))))</f>
        <v>25</v>
      </c>
    </row>
    <row r="133" customFormat="false" ht="15" hidden="false" customHeight="false" outlineLevel="0" collapsed="false">
      <c r="A133" s="138" t="s">
        <v>1214</v>
      </c>
      <c r="B133" s="138" t="s">
        <v>144</v>
      </c>
      <c r="C133" s="531" t="s">
        <v>26</v>
      </c>
      <c r="D133" s="138" t="s">
        <v>1215</v>
      </c>
      <c r="E133" s="138" t="s">
        <v>1216</v>
      </c>
      <c r="F133" s="138" t="s">
        <v>1</v>
      </c>
      <c r="G133" s="138" t="s">
        <v>1</v>
      </c>
      <c r="H133" s="138" t="s">
        <v>1</v>
      </c>
      <c r="I133" s="138" t="s">
        <v>1</v>
      </c>
      <c r="J133" s="138" t="s">
        <v>1</v>
      </c>
      <c r="K133" s="138" t="s">
        <v>101</v>
      </c>
      <c r="L133" s="138" t="s">
        <v>101</v>
      </c>
      <c r="M133" s="138" t="s">
        <v>101</v>
      </c>
      <c r="N133" s="138" t="s">
        <v>1</v>
      </c>
      <c r="O133" s="138" t="s">
        <v>147</v>
      </c>
      <c r="P133" s="138" t="s">
        <v>1217</v>
      </c>
      <c r="Q133" s="138" t="s">
        <v>101</v>
      </c>
      <c r="R133" s="138" t="s">
        <v>149</v>
      </c>
      <c r="S133" s="138" t="s">
        <v>150</v>
      </c>
      <c r="T133" s="138" t="s">
        <v>151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V133" s="146">
        <f>IF(T133="","",VALUE(LEFT(T133,SEARCH("/",T133)-1)))</f>
        <v>10</v>
      </c>
      <c r="W133" s="146">
        <f>IF(T133="","",VALUE(MID(T133,SEARCH("/",T133)+1,LEN(T133))))</f>
        <v>25</v>
      </c>
    </row>
    <row r="134" customFormat="false" ht="15" hidden="false" customHeight="false" outlineLevel="0" collapsed="false">
      <c r="A134" s="138" t="s">
        <v>1218</v>
      </c>
      <c r="B134" s="138" t="s">
        <v>144</v>
      </c>
      <c r="C134" s="531" t="s">
        <v>26</v>
      </c>
      <c r="D134" s="138" t="s">
        <v>1219</v>
      </c>
      <c r="E134" s="138" t="s">
        <v>1220</v>
      </c>
      <c r="F134" s="138" t="s">
        <v>1</v>
      </c>
      <c r="G134" s="138" t="s">
        <v>1</v>
      </c>
      <c r="H134" s="138" t="s">
        <v>1</v>
      </c>
      <c r="I134" s="138" t="s">
        <v>1</v>
      </c>
      <c r="J134" s="138" t="s">
        <v>1</v>
      </c>
      <c r="K134" s="138" t="s">
        <v>101</v>
      </c>
      <c r="L134" s="138" t="s">
        <v>101</v>
      </c>
      <c r="M134" s="138" t="s">
        <v>101</v>
      </c>
      <c r="N134" s="138" t="s">
        <v>1</v>
      </c>
      <c r="O134" s="138" t="s">
        <v>147</v>
      </c>
      <c r="P134" s="138" t="s">
        <v>1221</v>
      </c>
      <c r="Q134" s="138" t="s">
        <v>101</v>
      </c>
      <c r="R134" s="138" t="s">
        <v>149</v>
      </c>
      <c r="S134" s="138" t="s">
        <v>150</v>
      </c>
      <c r="T134" s="138" t="s">
        <v>151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V134" s="146">
        <f>IF(T134="","",VALUE(LEFT(T134,SEARCH("/",T134)-1)))</f>
        <v>10</v>
      </c>
      <c r="W134" s="146">
        <f>IF(T134="","",VALUE(MID(T134,SEARCH("/",T134)+1,LEN(T134))))</f>
        <v>25</v>
      </c>
    </row>
    <row r="135" customFormat="false" ht="15" hidden="false" customHeight="false" outlineLevel="0" collapsed="false">
      <c r="A135" s="138" t="s">
        <v>1222</v>
      </c>
      <c r="B135" s="138" t="s">
        <v>144</v>
      </c>
      <c r="C135" s="531" t="s">
        <v>26</v>
      </c>
      <c r="D135" s="138" t="s">
        <v>1223</v>
      </c>
      <c r="E135" s="138" t="s">
        <v>1224</v>
      </c>
      <c r="F135" s="138" t="s">
        <v>1</v>
      </c>
      <c r="G135" s="138" t="s">
        <v>1</v>
      </c>
      <c r="H135" s="138" t="s">
        <v>1</v>
      </c>
      <c r="I135" s="138" t="s">
        <v>1</v>
      </c>
      <c r="J135" s="138" t="s">
        <v>1</v>
      </c>
      <c r="K135" s="138" t="s">
        <v>101</v>
      </c>
      <c r="L135" s="138" t="s">
        <v>101</v>
      </c>
      <c r="M135" s="138" t="s">
        <v>101</v>
      </c>
      <c r="N135" s="138" t="s">
        <v>1</v>
      </c>
      <c r="O135" s="138" t="s">
        <v>147</v>
      </c>
      <c r="P135" s="138" t="s">
        <v>1225</v>
      </c>
      <c r="Q135" s="138" t="s">
        <v>101</v>
      </c>
      <c r="R135" s="138" t="s">
        <v>149</v>
      </c>
      <c r="S135" s="138" t="s">
        <v>150</v>
      </c>
      <c r="T135" s="138" t="s">
        <v>151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V135" s="146">
        <f>IF(T135="","",VALUE(LEFT(T135,SEARCH("/",T135)-1)))</f>
        <v>10</v>
      </c>
      <c r="W135" s="146">
        <f>IF(T135="","",VALUE(MID(T135,SEARCH("/",T135)+1,LEN(T135))))</f>
        <v>25</v>
      </c>
    </row>
    <row r="136" customFormat="false" ht="15" hidden="false" customHeight="false" outlineLevel="0" collapsed="false">
      <c r="A136" s="138" t="s">
        <v>1226</v>
      </c>
      <c r="B136" s="138" t="s">
        <v>144</v>
      </c>
      <c r="C136" s="531" t="s">
        <v>26</v>
      </c>
      <c r="D136" s="138" t="s">
        <v>1227</v>
      </c>
      <c r="E136" s="138" t="s">
        <v>1228</v>
      </c>
      <c r="F136" s="138" t="s">
        <v>1</v>
      </c>
      <c r="G136" s="138" t="s">
        <v>1</v>
      </c>
      <c r="H136" s="138" t="s">
        <v>1</v>
      </c>
      <c r="I136" s="138" t="s">
        <v>1</v>
      </c>
      <c r="J136" s="138" t="s">
        <v>1</v>
      </c>
      <c r="K136" s="138" t="s">
        <v>101</v>
      </c>
      <c r="L136" s="138" t="s">
        <v>101</v>
      </c>
      <c r="M136" s="138" t="s">
        <v>101</v>
      </c>
      <c r="N136" s="138" t="s">
        <v>1</v>
      </c>
      <c r="O136" s="138" t="s">
        <v>147</v>
      </c>
      <c r="P136" s="138" t="s">
        <v>1229</v>
      </c>
      <c r="Q136" s="138" t="s">
        <v>101</v>
      </c>
      <c r="R136" s="138" t="s">
        <v>149</v>
      </c>
      <c r="S136" s="138" t="s">
        <v>150</v>
      </c>
      <c r="T136" s="138" t="s">
        <v>151</v>
      </c>
      <c r="U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Not started</v>
      </c>
      <c r="V136" s="146">
        <f>IF(T136="","",VALUE(LEFT(T136,SEARCH("/",T136)-1)))</f>
        <v>10</v>
      </c>
      <c r="W136" s="146">
        <f>IF(T136="","",VALUE(MID(T136,SEARCH("/",T136)+1,LEN(T136))))</f>
        <v>25</v>
      </c>
    </row>
    <row r="137" customFormat="false" ht="15" hidden="false" customHeight="false" outlineLevel="0" collapsed="false">
      <c r="A137" s="138" t="s">
        <v>1230</v>
      </c>
      <c r="B137" s="138" t="s">
        <v>144</v>
      </c>
      <c r="C137" s="531" t="s">
        <v>26</v>
      </c>
      <c r="D137" s="138" t="s">
        <v>1231</v>
      </c>
      <c r="E137" s="138" t="s">
        <v>1232</v>
      </c>
      <c r="F137" s="138" t="s">
        <v>1</v>
      </c>
      <c r="G137" s="138" t="s">
        <v>1</v>
      </c>
      <c r="H137" s="138" t="s">
        <v>1</v>
      </c>
      <c r="I137" s="138" t="s">
        <v>1</v>
      </c>
      <c r="J137" s="138" t="s">
        <v>1</v>
      </c>
      <c r="K137" s="138" t="s">
        <v>101</v>
      </c>
      <c r="L137" s="138" t="s">
        <v>101</v>
      </c>
      <c r="M137" s="138" t="s">
        <v>101</v>
      </c>
      <c r="N137" s="138" t="s">
        <v>1</v>
      </c>
      <c r="O137" s="138" t="s">
        <v>147</v>
      </c>
      <c r="P137" s="138" t="s">
        <v>1233</v>
      </c>
      <c r="Q137" s="138" t="s">
        <v>101</v>
      </c>
      <c r="R137" s="138" t="s">
        <v>149</v>
      </c>
      <c r="S137" s="138" t="s">
        <v>150</v>
      </c>
      <c r="T137" s="138" t="s">
        <v>151</v>
      </c>
      <c r="U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Not started</v>
      </c>
      <c r="V137" s="146">
        <f>IF(T137="","",VALUE(LEFT(T137,SEARCH("/",T137)-1)))</f>
        <v>10</v>
      </c>
      <c r="W137" s="146">
        <f>IF(T137="","",VALUE(MID(T137,SEARCH("/",T137)+1,LEN(T137))))</f>
        <v>25</v>
      </c>
    </row>
    <row r="138" customFormat="false" ht="15" hidden="false" customHeight="false" outlineLevel="0" collapsed="false">
      <c r="A138" s="138" t="s">
        <v>1234</v>
      </c>
      <c r="B138" s="138" t="s">
        <v>144</v>
      </c>
      <c r="C138" s="531" t="s">
        <v>26</v>
      </c>
      <c r="D138" s="138" t="s">
        <v>1235</v>
      </c>
      <c r="E138" s="138" t="s">
        <v>1236</v>
      </c>
      <c r="F138" s="138" t="s">
        <v>1</v>
      </c>
      <c r="G138" s="138" t="s">
        <v>1</v>
      </c>
      <c r="H138" s="138" t="s">
        <v>1</v>
      </c>
      <c r="I138" s="138" t="s">
        <v>1</v>
      </c>
      <c r="J138" s="138" t="s">
        <v>1</v>
      </c>
      <c r="K138" s="138" t="s">
        <v>101</v>
      </c>
      <c r="L138" s="138" t="s">
        <v>101</v>
      </c>
      <c r="M138" s="138" t="s">
        <v>101</v>
      </c>
      <c r="N138" s="138" t="s">
        <v>1</v>
      </c>
      <c r="O138" s="138" t="s">
        <v>147</v>
      </c>
      <c r="P138" s="138" t="s">
        <v>1237</v>
      </c>
      <c r="Q138" s="138" t="s">
        <v>101</v>
      </c>
      <c r="R138" s="138" t="s">
        <v>149</v>
      </c>
      <c r="S138" s="138" t="s">
        <v>150</v>
      </c>
      <c r="T138" s="138" t="s">
        <v>151</v>
      </c>
      <c r="U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Not started</v>
      </c>
      <c r="V138" s="146">
        <f>IF(T138="","",VALUE(LEFT(T138,SEARCH("/",T138)-1)))</f>
        <v>10</v>
      </c>
      <c r="W138" s="146">
        <f>IF(T138="","",VALUE(MID(T138,SEARCH("/",T138)+1,LEN(T138))))</f>
        <v>25</v>
      </c>
    </row>
    <row r="139" customFormat="false" ht="15" hidden="false" customHeight="false" outlineLevel="0" collapsed="false">
      <c r="A139" s="138" t="s">
        <v>1238</v>
      </c>
      <c r="B139" s="138" t="s">
        <v>153</v>
      </c>
      <c r="C139" s="531" t="s">
        <v>26</v>
      </c>
      <c r="D139" s="138" t="s">
        <v>1239</v>
      </c>
      <c r="E139" s="138" t="s">
        <v>1240</v>
      </c>
      <c r="F139" s="138" t="s">
        <v>4</v>
      </c>
      <c r="G139" s="138" t="s">
        <v>156</v>
      </c>
      <c r="H139" s="138" t="s">
        <v>4</v>
      </c>
      <c r="I139" s="138" t="s">
        <v>4</v>
      </c>
      <c r="J139" s="138" t="s">
        <v>157</v>
      </c>
      <c r="K139" s="138" t="s">
        <v>158</v>
      </c>
      <c r="L139" s="138" t="s">
        <v>101</v>
      </c>
      <c r="M139" s="138" t="s">
        <v>101</v>
      </c>
      <c r="N139" s="138" t="s">
        <v>1</v>
      </c>
      <c r="O139" s="138" t="s">
        <v>1241</v>
      </c>
      <c r="P139" s="138" t="s">
        <v>1242</v>
      </c>
      <c r="Q139" s="138" t="s">
        <v>101</v>
      </c>
      <c r="R139" s="138" t="s">
        <v>1243</v>
      </c>
      <c r="S139" s="138" t="s">
        <v>1244</v>
      </c>
      <c r="T139" s="138" t="s">
        <v>1104</v>
      </c>
      <c r="U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V139" s="146">
        <f>IF(T139="","",VALUE(LEFT(T139,SEARCH("/",T139)-1)))</f>
        <v>30</v>
      </c>
      <c r="W139" s="146">
        <f>IF(T139="","",VALUE(MID(T139,SEARCH("/",T139)+1,LEN(T139))))</f>
        <v>60</v>
      </c>
    </row>
    <row r="140" customFormat="false" ht="15" hidden="false" customHeight="false" outlineLevel="0" collapsed="false">
      <c r="A140" s="135" t="s">
        <v>1245</v>
      </c>
      <c r="B140" s="135" t="s">
        <v>337</v>
      </c>
      <c r="C140" s="261" t="s">
        <v>32</v>
      </c>
      <c r="D140" s="135" t="s">
        <v>1246</v>
      </c>
      <c r="E140" s="135" t="s">
        <v>1247</v>
      </c>
      <c r="F140" s="135" t="s">
        <v>4</v>
      </c>
      <c r="G140" s="135" t="s">
        <v>4</v>
      </c>
      <c r="H140" s="135" t="s">
        <v>4</v>
      </c>
      <c r="I140" s="135" t="s">
        <v>4</v>
      </c>
      <c r="J140" s="135" t="s">
        <v>1248</v>
      </c>
      <c r="K140" s="135" t="s">
        <v>879</v>
      </c>
      <c r="L140" s="135" t="s">
        <v>1</v>
      </c>
      <c r="M140" s="135" t="s">
        <v>1</v>
      </c>
      <c r="N140" s="135" t="s">
        <v>579</v>
      </c>
      <c r="O140" s="135" t="s">
        <v>1249</v>
      </c>
      <c r="P140" s="135" t="s">
        <v>1250</v>
      </c>
      <c r="Q140" s="135" t="s">
        <v>90</v>
      </c>
      <c r="R140" s="135" t="s">
        <v>1251</v>
      </c>
      <c r="S140" s="135" t="s">
        <v>405</v>
      </c>
      <c r="T140" s="135" t="s">
        <v>1</v>
      </c>
      <c r="U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Done</v>
      </c>
      <c r="V140" s="146">
        <f>IF(T140="","",VALUE(LEFT(T140,SEARCH("/",T140)-1)))</f>
        <v/>
      </c>
      <c r="W140" s="146">
        <f>IF(T140="","",VALUE(MID(T140,SEARCH("/",T140)+1,LEN(T140))))</f>
        <v/>
      </c>
    </row>
    <row r="141" customFormat="false" ht="15" hidden="false" customHeight="false" outlineLevel="0" collapsed="false">
      <c r="A141" s="135" t="s">
        <v>1252</v>
      </c>
      <c r="B141" s="135" t="s">
        <v>337</v>
      </c>
      <c r="C141" s="261" t="s">
        <v>32</v>
      </c>
      <c r="D141" s="135" t="s">
        <v>1253</v>
      </c>
      <c r="E141" s="135" t="s">
        <v>1254</v>
      </c>
      <c r="F141" s="135" t="s">
        <v>4</v>
      </c>
      <c r="G141" s="135" t="s">
        <v>4</v>
      </c>
      <c r="H141" s="135" t="s">
        <v>4</v>
      </c>
      <c r="I141" s="135" t="s">
        <v>4</v>
      </c>
      <c r="J141" s="135" t="s">
        <v>1255</v>
      </c>
      <c r="K141" s="135" t="s">
        <v>879</v>
      </c>
      <c r="L141" s="135" t="s">
        <v>1</v>
      </c>
      <c r="M141" s="135" t="s">
        <v>1</v>
      </c>
      <c r="N141" s="135" t="s">
        <v>579</v>
      </c>
      <c r="O141" s="135" t="s">
        <v>1256</v>
      </c>
      <c r="P141" s="135" t="s">
        <v>1257</v>
      </c>
      <c r="Q141" s="135" t="s">
        <v>90</v>
      </c>
      <c r="R141" s="135" t="s">
        <v>1258</v>
      </c>
      <c r="S141" s="135" t="s">
        <v>473</v>
      </c>
      <c r="T141" s="135" t="s">
        <v>1</v>
      </c>
      <c r="U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Done</v>
      </c>
      <c r="V141" s="146">
        <f>IF(T141="","",VALUE(LEFT(T141,SEARCH("/",T141)-1)))</f>
        <v/>
      </c>
      <c r="W141" s="146">
        <f>IF(T141="","",VALUE(MID(T141,SEARCH("/",T141)+1,LEN(T141))))</f>
        <v/>
      </c>
    </row>
    <row r="142" customFormat="false" ht="15" hidden="false" customHeight="false" outlineLevel="0" collapsed="false">
      <c r="A142" s="135" t="s">
        <v>1259</v>
      </c>
      <c r="B142" s="135" t="s">
        <v>253</v>
      </c>
      <c r="C142" s="261" t="s">
        <v>32</v>
      </c>
      <c r="D142" s="135" t="s">
        <v>1260</v>
      </c>
      <c r="E142" s="135" t="s">
        <v>1261</v>
      </c>
      <c r="F142" s="135" t="s">
        <v>1262</v>
      </c>
      <c r="G142" s="135" t="s">
        <v>1263</v>
      </c>
      <c r="H142" s="135" t="s">
        <v>4</v>
      </c>
      <c r="I142" s="135" t="s">
        <v>4</v>
      </c>
      <c r="J142" s="135" t="s">
        <v>1264</v>
      </c>
      <c r="K142" s="135" t="s">
        <v>182</v>
      </c>
      <c r="L142" s="135" t="s">
        <v>90</v>
      </c>
      <c r="M142" s="135" t="s">
        <v>90</v>
      </c>
      <c r="N142" s="135" t="s">
        <v>1179</v>
      </c>
      <c r="O142" s="135" t="s">
        <v>1265</v>
      </c>
      <c r="P142" s="135" t="s">
        <v>1266</v>
      </c>
      <c r="Q142" s="135" t="s">
        <v>90</v>
      </c>
      <c r="R142" s="135" t="s">
        <v>1267</v>
      </c>
      <c r="S142" s="135" t="s">
        <v>1268</v>
      </c>
      <c r="T142" s="135" t="s">
        <v>1</v>
      </c>
      <c r="U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Done</v>
      </c>
      <c r="V142" s="146">
        <f>IF(T142="","",VALUE(LEFT(T142,SEARCH("/",T142)-1)))</f>
        <v/>
      </c>
      <c r="W142" s="146">
        <f>IF(T142="","",VALUE(MID(T142,SEARCH("/",T142)+1,LEN(T142))))</f>
        <v/>
      </c>
    </row>
    <row r="143" customFormat="false" ht="15" hidden="false" customHeight="false" outlineLevel="0" collapsed="false">
      <c r="A143" s="138" t="s">
        <v>1269</v>
      </c>
      <c r="B143" s="138" t="s">
        <v>144</v>
      </c>
      <c r="C143" s="261" t="s">
        <v>32</v>
      </c>
      <c r="D143" s="138" t="s">
        <v>1270</v>
      </c>
      <c r="E143" s="138" t="s">
        <v>1271</v>
      </c>
      <c r="F143" s="138" t="s">
        <v>1</v>
      </c>
      <c r="G143" s="138" t="s">
        <v>1</v>
      </c>
      <c r="H143" s="138" t="s">
        <v>1</v>
      </c>
      <c r="I143" s="138" t="s">
        <v>1</v>
      </c>
      <c r="J143" s="138" t="s">
        <v>1</v>
      </c>
      <c r="K143" s="138" t="s">
        <v>101</v>
      </c>
      <c r="L143" s="138" t="s">
        <v>101</v>
      </c>
      <c r="M143" s="138" t="s">
        <v>101</v>
      </c>
      <c r="N143" s="138" t="s">
        <v>1</v>
      </c>
      <c r="O143" s="138" t="s">
        <v>147</v>
      </c>
      <c r="P143" s="138" t="s">
        <v>1272</v>
      </c>
      <c r="Q143" s="138" t="s">
        <v>101</v>
      </c>
      <c r="R143" s="138" t="s">
        <v>149</v>
      </c>
      <c r="S143" s="138" t="s">
        <v>150</v>
      </c>
      <c r="T143" s="138" t="s">
        <v>151</v>
      </c>
      <c r="U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Not started</v>
      </c>
      <c r="V143" s="146">
        <f>IF(T143="","",VALUE(LEFT(T143,SEARCH("/",T143)-1)))</f>
        <v>10</v>
      </c>
      <c r="W143" s="146">
        <f>IF(T143="","",VALUE(MID(T143,SEARCH("/",T143)+1,LEN(T143))))</f>
        <v>25</v>
      </c>
    </row>
    <row r="144" customFormat="false" ht="15" hidden="false" customHeight="false" outlineLevel="0" collapsed="false">
      <c r="A144" s="135" t="s">
        <v>1273</v>
      </c>
      <c r="B144" s="135" t="s">
        <v>253</v>
      </c>
      <c r="C144" s="255" t="s">
        <v>38</v>
      </c>
      <c r="D144" s="135" t="s">
        <v>1274</v>
      </c>
      <c r="E144" s="135" t="s">
        <v>1275</v>
      </c>
      <c r="F144" s="135" t="s">
        <v>1276</v>
      </c>
      <c r="G144" s="135" t="s">
        <v>1277</v>
      </c>
      <c r="H144" s="135" t="s">
        <v>4</v>
      </c>
      <c r="I144" s="135" t="s">
        <v>1278</v>
      </c>
      <c r="J144" s="135" t="s">
        <v>1279</v>
      </c>
      <c r="K144" s="135" t="s">
        <v>1280</v>
      </c>
      <c r="L144" s="135" t="s">
        <v>1</v>
      </c>
      <c r="M144" s="135" t="s">
        <v>1</v>
      </c>
      <c r="N144" s="135" t="s">
        <v>1281</v>
      </c>
      <c r="O144" s="135" t="s">
        <v>1282</v>
      </c>
      <c r="P144" s="135" t="s">
        <v>1283</v>
      </c>
      <c r="Q144" s="135" t="s">
        <v>90</v>
      </c>
      <c r="R144" s="135" t="s">
        <v>1284</v>
      </c>
      <c r="S144" s="135" t="s">
        <v>209</v>
      </c>
      <c r="T144" s="135" t="s">
        <v>1</v>
      </c>
      <c r="U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Done</v>
      </c>
      <c r="V144" s="146">
        <f>IF(T144="","",VALUE(LEFT(T144,SEARCH("/",T144)-1)))</f>
        <v/>
      </c>
      <c r="W144" s="146">
        <f>IF(T144="","",VALUE(MID(T144,SEARCH("/",T144)+1,LEN(T144))))</f>
        <v/>
      </c>
    </row>
    <row r="145" customFormat="false" ht="15" hidden="false" customHeight="false" outlineLevel="0" collapsed="false">
      <c r="A145" s="135" t="s">
        <v>1285</v>
      </c>
      <c r="B145" s="135" t="s">
        <v>253</v>
      </c>
      <c r="C145" s="255" t="s">
        <v>38</v>
      </c>
      <c r="D145" s="135" t="s">
        <v>1286</v>
      </c>
      <c r="E145" s="135" t="s">
        <v>1287</v>
      </c>
      <c r="F145" s="135" t="s">
        <v>1288</v>
      </c>
      <c r="G145" s="135" t="s">
        <v>1289</v>
      </c>
      <c r="H145" s="135" t="s">
        <v>1290</v>
      </c>
      <c r="I145" s="135" t="s">
        <v>1291</v>
      </c>
      <c r="J145" s="135" t="s">
        <v>1292</v>
      </c>
      <c r="K145" s="135" t="s">
        <v>90</v>
      </c>
      <c r="L145" s="135" t="s">
        <v>1</v>
      </c>
      <c r="M145" s="135" t="s">
        <v>1</v>
      </c>
      <c r="N145" s="135" t="s">
        <v>1281</v>
      </c>
      <c r="O145" s="135" t="s">
        <v>1293</v>
      </c>
      <c r="P145" s="135" t="s">
        <v>1294</v>
      </c>
      <c r="Q145" s="135" t="s">
        <v>90</v>
      </c>
      <c r="R145" s="135" t="s">
        <v>1295</v>
      </c>
      <c r="S145" s="135" t="s">
        <v>417</v>
      </c>
      <c r="T145" s="135" t="s">
        <v>1</v>
      </c>
      <c r="U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Done</v>
      </c>
      <c r="V145" s="146">
        <f>IF(T145="","",VALUE(LEFT(T145,SEARCH("/",T145)-1)))</f>
        <v/>
      </c>
      <c r="W145" s="146">
        <f>IF(T145="","",VALUE(MID(T145,SEARCH("/",T145)+1,LEN(T145))))</f>
        <v/>
      </c>
    </row>
    <row r="146" customFormat="false" ht="15" hidden="false" customHeight="false" outlineLevel="0" collapsed="false">
      <c r="A146" s="135" t="s">
        <v>1296</v>
      </c>
      <c r="B146" s="135" t="s">
        <v>267</v>
      </c>
      <c r="C146" s="255" t="s">
        <v>38</v>
      </c>
      <c r="D146" s="135" t="s">
        <v>1297</v>
      </c>
      <c r="E146" s="135" t="s">
        <v>1298</v>
      </c>
      <c r="F146" s="135" t="s">
        <v>4</v>
      </c>
      <c r="G146" s="135" t="s">
        <v>1299</v>
      </c>
      <c r="H146" s="135" t="s">
        <v>4</v>
      </c>
      <c r="I146" s="135" t="s">
        <v>8</v>
      </c>
      <c r="J146" s="135" t="s">
        <v>1300</v>
      </c>
      <c r="K146" s="135" t="s">
        <v>90</v>
      </c>
      <c r="L146" s="135" t="s">
        <v>1</v>
      </c>
      <c r="M146" s="135" t="s">
        <v>1</v>
      </c>
      <c r="N146" s="135" t="s">
        <v>1281</v>
      </c>
      <c r="O146" s="135" t="s">
        <v>1301</v>
      </c>
      <c r="P146" s="135" t="s">
        <v>1302</v>
      </c>
      <c r="Q146" s="135" t="s">
        <v>90</v>
      </c>
      <c r="R146" s="135" t="s">
        <v>1303</v>
      </c>
      <c r="S146" s="135" t="s">
        <v>125</v>
      </c>
      <c r="T146" s="135" t="s">
        <v>1</v>
      </c>
      <c r="U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Done</v>
      </c>
      <c r="V146" s="146">
        <f>IF(T146="","",VALUE(LEFT(T146,SEARCH("/",T146)-1)))</f>
        <v/>
      </c>
      <c r="W146" s="146">
        <f>IF(T146="","",VALUE(MID(T146,SEARCH("/",T146)+1,LEN(T146))))</f>
        <v/>
      </c>
    </row>
    <row r="147" customFormat="false" ht="15" hidden="false" customHeight="false" outlineLevel="0" collapsed="false">
      <c r="A147" s="135" t="s">
        <v>1304</v>
      </c>
      <c r="B147" s="135" t="s">
        <v>253</v>
      </c>
      <c r="C147" s="255" t="s">
        <v>38</v>
      </c>
      <c r="D147" s="135" t="s">
        <v>1305</v>
      </c>
      <c r="E147" s="135" t="s">
        <v>1306</v>
      </c>
      <c r="F147" s="135" t="s">
        <v>1307</v>
      </c>
      <c r="G147" s="135" t="s">
        <v>1308</v>
      </c>
      <c r="H147" s="135" t="s">
        <v>4</v>
      </c>
      <c r="I147" s="135" t="s">
        <v>1309</v>
      </c>
      <c r="J147" s="135" t="s">
        <v>1310</v>
      </c>
      <c r="K147" s="135" t="s">
        <v>90</v>
      </c>
      <c r="L147" s="135" t="s">
        <v>1</v>
      </c>
      <c r="M147" s="135" t="s">
        <v>1</v>
      </c>
      <c r="N147" s="135" t="s">
        <v>1281</v>
      </c>
      <c r="O147" s="135" t="s">
        <v>1311</v>
      </c>
      <c r="P147" s="135" t="s">
        <v>1312</v>
      </c>
      <c r="Q147" s="135" t="s">
        <v>90</v>
      </c>
      <c r="R147" s="135" t="s">
        <v>1313</v>
      </c>
      <c r="S147" s="135" t="s">
        <v>484</v>
      </c>
      <c r="T147" s="135" t="s">
        <v>1</v>
      </c>
      <c r="U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Done</v>
      </c>
      <c r="V147" s="146">
        <f>IF(T147="","",VALUE(LEFT(T147,SEARCH("/",T147)-1)))</f>
        <v/>
      </c>
      <c r="W147" s="146">
        <f>IF(T147="","",VALUE(MID(T147,SEARCH("/",T147)+1,LEN(T147))))</f>
        <v/>
      </c>
    </row>
    <row r="148" customFormat="false" ht="15" hidden="false" customHeight="false" outlineLevel="0" collapsed="false">
      <c r="A148" s="135" t="s">
        <v>1314</v>
      </c>
      <c r="B148" s="135" t="s">
        <v>253</v>
      </c>
      <c r="C148" s="255" t="s">
        <v>38</v>
      </c>
      <c r="D148" s="135" t="s">
        <v>1315</v>
      </c>
      <c r="E148" s="135" t="s">
        <v>1316</v>
      </c>
      <c r="F148" s="135" t="s">
        <v>1317</v>
      </c>
      <c r="G148" s="135" t="s">
        <v>1318</v>
      </c>
      <c r="H148" s="135" t="s">
        <v>4</v>
      </c>
      <c r="I148" s="135" t="s">
        <v>1319</v>
      </c>
      <c r="J148" s="135" t="s">
        <v>1320</v>
      </c>
      <c r="K148" s="135" t="s">
        <v>1321</v>
      </c>
      <c r="L148" s="135" t="s">
        <v>1</v>
      </c>
      <c r="M148" s="135" t="s">
        <v>1</v>
      </c>
      <c r="N148" s="135" t="s">
        <v>1281</v>
      </c>
      <c r="O148" s="135" t="s">
        <v>1322</v>
      </c>
      <c r="P148" s="135" t="s">
        <v>1323</v>
      </c>
      <c r="Q148" s="135" t="s">
        <v>90</v>
      </c>
      <c r="R148" s="135" t="s">
        <v>1324</v>
      </c>
      <c r="S148" s="135" t="s">
        <v>95</v>
      </c>
      <c r="T148" s="135" t="s">
        <v>1</v>
      </c>
      <c r="U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Done</v>
      </c>
      <c r="V148" s="146">
        <f>IF(T148="","",VALUE(LEFT(T148,SEARCH("/",T148)-1)))</f>
        <v/>
      </c>
      <c r="W148" s="146">
        <f>IF(T148="","",VALUE(MID(T148,SEARCH("/",T148)+1,LEN(T148))))</f>
        <v/>
      </c>
    </row>
    <row r="149" customFormat="false" ht="15" hidden="false" customHeight="false" outlineLevel="0" collapsed="false">
      <c r="A149" s="135" t="s">
        <v>1325</v>
      </c>
      <c r="B149" s="135" t="s">
        <v>1326</v>
      </c>
      <c r="C149" s="255" t="s">
        <v>38</v>
      </c>
      <c r="D149" s="135" t="s">
        <v>1327</v>
      </c>
      <c r="E149" s="135" t="s">
        <v>1328</v>
      </c>
      <c r="F149" s="135" t="s">
        <v>4</v>
      </c>
      <c r="G149" s="135" t="s">
        <v>4</v>
      </c>
      <c r="H149" s="135" t="s">
        <v>4</v>
      </c>
      <c r="I149" s="135" t="s">
        <v>1329</v>
      </c>
      <c r="J149" s="135" t="s">
        <v>1330</v>
      </c>
      <c r="K149" s="135" t="s">
        <v>1331</v>
      </c>
      <c r="L149" s="135" t="s">
        <v>1</v>
      </c>
      <c r="M149" s="135" t="s">
        <v>1</v>
      </c>
      <c r="N149" s="135" t="s">
        <v>1332</v>
      </c>
      <c r="O149" s="135" t="s">
        <v>1333</v>
      </c>
      <c r="P149" s="135" t="s">
        <v>1334</v>
      </c>
      <c r="Q149" s="135" t="s">
        <v>90</v>
      </c>
      <c r="R149" s="135" t="s">
        <v>1335</v>
      </c>
      <c r="S149" s="135" t="s">
        <v>1336</v>
      </c>
      <c r="T149" s="135" t="s">
        <v>1</v>
      </c>
      <c r="U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Done</v>
      </c>
      <c r="V149" s="146">
        <f>IF(T149="","",VALUE(LEFT(T149,SEARCH("/",T149)-1)))</f>
        <v/>
      </c>
      <c r="W149" s="146">
        <f>IF(T149="","",VALUE(MID(T149,SEARCH("/",T149)+1,LEN(T149))))</f>
        <v/>
      </c>
    </row>
    <row r="150" customFormat="false" ht="15" hidden="false" customHeight="false" outlineLevel="0" collapsed="false">
      <c r="A150" s="135" t="s">
        <v>1337</v>
      </c>
      <c r="B150" s="135" t="s">
        <v>1338</v>
      </c>
      <c r="C150" s="263" t="s">
        <v>44</v>
      </c>
      <c r="D150" s="135" t="s">
        <v>68</v>
      </c>
      <c r="E150" s="135" t="s">
        <v>1339</v>
      </c>
      <c r="F150" s="135" t="s">
        <v>1340</v>
      </c>
      <c r="G150" s="135" t="s">
        <v>4</v>
      </c>
      <c r="H150" s="135" t="s">
        <v>4</v>
      </c>
      <c r="I150" s="135" t="s">
        <v>4</v>
      </c>
      <c r="J150" s="135" t="s">
        <v>4</v>
      </c>
      <c r="K150" s="135" t="s">
        <v>879</v>
      </c>
      <c r="L150" s="135" t="s">
        <v>1</v>
      </c>
      <c r="M150" s="135" t="s">
        <v>1</v>
      </c>
      <c r="N150" s="135" t="s">
        <v>346</v>
      </c>
      <c r="O150" s="135" t="s">
        <v>1341</v>
      </c>
      <c r="P150" s="135" t="s">
        <v>1342</v>
      </c>
      <c r="Q150" s="135" t="s">
        <v>90</v>
      </c>
      <c r="R150" s="135" t="s">
        <v>1343</v>
      </c>
      <c r="S150" s="135" t="s">
        <v>1344</v>
      </c>
      <c r="T150" s="135" t="s">
        <v>1</v>
      </c>
      <c r="U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Done</v>
      </c>
      <c r="V150" s="146">
        <f>IF(T150="","",VALUE(LEFT(T150,SEARCH("/",T150)-1)))</f>
        <v/>
      </c>
      <c r="W150" s="146">
        <f>IF(T150="","",VALUE(MID(T150,SEARCH("/",T150)+1,LEN(T150))))</f>
        <v/>
      </c>
    </row>
    <row r="151" customFormat="false" ht="15" hidden="false" customHeight="false" outlineLevel="0" collapsed="false">
      <c r="A151" s="135" t="s">
        <v>1345</v>
      </c>
      <c r="B151" s="135" t="s">
        <v>253</v>
      </c>
      <c r="C151" s="263" t="s">
        <v>44</v>
      </c>
      <c r="D151" s="135" t="s">
        <v>1346</v>
      </c>
      <c r="E151" s="135" t="s">
        <v>1347</v>
      </c>
      <c r="F151" s="135" t="s">
        <v>1348</v>
      </c>
      <c r="G151" s="135" t="s">
        <v>1349</v>
      </c>
      <c r="H151" s="135" t="s">
        <v>1350</v>
      </c>
      <c r="I151" s="135" t="s">
        <v>1351</v>
      </c>
      <c r="J151" s="135" t="s">
        <v>1352</v>
      </c>
      <c r="K151" s="135" t="s">
        <v>182</v>
      </c>
      <c r="L151" s="135" t="s">
        <v>1</v>
      </c>
      <c r="M151" s="135" t="s">
        <v>1</v>
      </c>
      <c r="N151" s="135" t="s">
        <v>1353</v>
      </c>
      <c r="O151" s="135" t="s">
        <v>1354</v>
      </c>
      <c r="P151" s="135" t="s">
        <v>1355</v>
      </c>
      <c r="Q151" s="135" t="s">
        <v>90</v>
      </c>
      <c r="R151" s="135" t="s">
        <v>1356</v>
      </c>
      <c r="S151" s="135" t="s">
        <v>405</v>
      </c>
      <c r="T151" s="135" t="s">
        <v>1</v>
      </c>
      <c r="U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Done</v>
      </c>
      <c r="V151" s="146">
        <f>IF(T151="","",VALUE(LEFT(T151,SEARCH("/",T151)-1)))</f>
        <v/>
      </c>
      <c r="W151" s="146">
        <f>IF(T151="","",VALUE(MID(T151,SEARCH("/",T151)+1,LEN(T151))))</f>
        <v/>
      </c>
    </row>
    <row r="152" customFormat="false" ht="15" hidden="false" customHeight="false" outlineLevel="0" collapsed="false">
      <c r="A152" s="135" t="s">
        <v>1357</v>
      </c>
      <c r="B152" s="135" t="s">
        <v>253</v>
      </c>
      <c r="C152" s="263" t="s">
        <v>44</v>
      </c>
      <c r="D152" s="135" t="s">
        <v>1358</v>
      </c>
      <c r="E152" s="135" t="s">
        <v>1359</v>
      </c>
      <c r="F152" s="135" t="s">
        <v>1360</v>
      </c>
      <c r="G152" s="135" t="s">
        <v>1361</v>
      </c>
      <c r="H152" s="135" t="s">
        <v>1362</v>
      </c>
      <c r="I152" s="135" t="s">
        <v>1363</v>
      </c>
      <c r="J152" s="135" t="s">
        <v>1364</v>
      </c>
      <c r="K152" s="135" t="s">
        <v>182</v>
      </c>
      <c r="L152" s="135" t="s">
        <v>1</v>
      </c>
      <c r="M152" s="135" t="s">
        <v>1</v>
      </c>
      <c r="N152" s="135" t="s">
        <v>1353</v>
      </c>
      <c r="O152" s="135" t="s">
        <v>1365</v>
      </c>
      <c r="P152" s="135" t="s">
        <v>1366</v>
      </c>
      <c r="Q152" s="135" t="s">
        <v>90</v>
      </c>
      <c r="R152" s="135" t="s">
        <v>1367</v>
      </c>
      <c r="S152" s="135" t="s">
        <v>1368</v>
      </c>
      <c r="T152" s="135" t="s">
        <v>1</v>
      </c>
      <c r="U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Done</v>
      </c>
      <c r="V152" s="146">
        <f>IF(T152="","",VALUE(LEFT(T152,SEARCH("/",T152)-1)))</f>
        <v/>
      </c>
      <c r="W152" s="146">
        <f>IF(T152="","",VALUE(MID(T152,SEARCH("/",T152)+1,LEN(T152))))</f>
        <v/>
      </c>
    </row>
    <row r="153" customFormat="false" ht="15" hidden="false" customHeight="false" outlineLevel="0" collapsed="false">
      <c r="A153" s="135" t="s">
        <v>1369</v>
      </c>
      <c r="B153" s="135" t="s">
        <v>253</v>
      </c>
      <c r="C153" s="263" t="s">
        <v>44</v>
      </c>
      <c r="D153" s="135" t="s">
        <v>1370</v>
      </c>
      <c r="E153" s="135" t="s">
        <v>1371</v>
      </c>
      <c r="F153" s="135" t="s">
        <v>1372</v>
      </c>
      <c r="G153" s="135" t="s">
        <v>1373</v>
      </c>
      <c r="H153" s="135" t="s">
        <v>1374</v>
      </c>
      <c r="I153" s="135" t="s">
        <v>1375</v>
      </c>
      <c r="J153" s="135" t="s">
        <v>1376</v>
      </c>
      <c r="K153" s="135" t="s">
        <v>90</v>
      </c>
      <c r="L153" s="135" t="s">
        <v>1</v>
      </c>
      <c r="M153" s="135" t="s">
        <v>1</v>
      </c>
      <c r="N153" s="135" t="s">
        <v>1353</v>
      </c>
      <c r="O153" s="135" t="s">
        <v>1377</v>
      </c>
      <c r="P153" s="135" t="s">
        <v>1378</v>
      </c>
      <c r="Q153" s="135" t="s">
        <v>90</v>
      </c>
      <c r="R153" s="135" t="s">
        <v>1379</v>
      </c>
      <c r="S153" s="135" t="s">
        <v>1380</v>
      </c>
      <c r="T153" s="135" t="s">
        <v>1</v>
      </c>
      <c r="U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Done</v>
      </c>
      <c r="V153" s="146">
        <f>IF(T153="","",VALUE(LEFT(T153,SEARCH("/",T153)-1)))</f>
        <v/>
      </c>
      <c r="W153" s="146">
        <f>IF(T153="","",VALUE(MID(T153,SEARCH("/",T153)+1,LEN(T153))))</f>
        <v/>
      </c>
    </row>
    <row r="154" customFormat="false" ht="15" hidden="false" customHeight="false" outlineLevel="0" collapsed="false">
      <c r="A154" s="138" t="s">
        <v>1381</v>
      </c>
      <c r="B154" s="138" t="s">
        <v>144</v>
      </c>
      <c r="C154" s="263" t="s">
        <v>44</v>
      </c>
      <c r="D154" s="138" t="s">
        <v>1382</v>
      </c>
      <c r="E154" s="138" t="s">
        <v>1383</v>
      </c>
      <c r="F154" s="138" t="s">
        <v>1</v>
      </c>
      <c r="G154" s="138" t="s">
        <v>1</v>
      </c>
      <c r="H154" s="138" t="s">
        <v>1</v>
      </c>
      <c r="I154" s="138" t="s">
        <v>1</v>
      </c>
      <c r="J154" s="138" t="s">
        <v>1</v>
      </c>
      <c r="K154" s="138" t="s">
        <v>101</v>
      </c>
      <c r="L154" s="138" t="s">
        <v>101</v>
      </c>
      <c r="M154" s="138" t="s">
        <v>101</v>
      </c>
      <c r="N154" s="138" t="s">
        <v>1</v>
      </c>
      <c r="O154" s="138" t="s">
        <v>292</v>
      </c>
      <c r="P154" s="138" t="s">
        <v>1384</v>
      </c>
      <c r="Q154" s="138" t="s">
        <v>101</v>
      </c>
      <c r="R154" s="138" t="s">
        <v>149</v>
      </c>
      <c r="S154" s="138" t="s">
        <v>150</v>
      </c>
      <c r="T154" s="138" t="s">
        <v>151</v>
      </c>
      <c r="U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V154" s="146">
        <f>IF(T154="","",VALUE(LEFT(T154,SEARCH("/",T154)-1)))</f>
        <v>10</v>
      </c>
      <c r="W154" s="146">
        <f>IF(T154="","",VALUE(MID(T154,SEARCH("/",T154)+1,LEN(T154))))</f>
        <v>25</v>
      </c>
    </row>
    <row r="155" customFormat="false" ht="15" hidden="false" customHeight="false" outlineLevel="0" collapsed="false">
      <c r="A155" s="138" t="s">
        <v>1385</v>
      </c>
      <c r="B155" s="138" t="s">
        <v>144</v>
      </c>
      <c r="C155" s="263" t="s">
        <v>44</v>
      </c>
      <c r="D155" s="138" t="s">
        <v>1386</v>
      </c>
      <c r="E155" s="138" t="s">
        <v>1387</v>
      </c>
      <c r="F155" s="138" t="s">
        <v>1</v>
      </c>
      <c r="G155" s="138" t="s">
        <v>1</v>
      </c>
      <c r="H155" s="138" t="s">
        <v>1</v>
      </c>
      <c r="I155" s="138" t="s">
        <v>1</v>
      </c>
      <c r="J155" s="138" t="s">
        <v>1</v>
      </c>
      <c r="K155" s="138" t="s">
        <v>101</v>
      </c>
      <c r="L155" s="138" t="s">
        <v>101</v>
      </c>
      <c r="M155" s="138" t="s">
        <v>101</v>
      </c>
      <c r="N155" s="138" t="s">
        <v>1</v>
      </c>
      <c r="O155" s="138" t="s">
        <v>147</v>
      </c>
      <c r="P155" s="138" t="s">
        <v>1388</v>
      </c>
      <c r="Q155" s="138" t="s">
        <v>101</v>
      </c>
      <c r="R155" s="138" t="s">
        <v>149</v>
      </c>
      <c r="S155" s="138" t="s">
        <v>150</v>
      </c>
      <c r="T155" s="138" t="s">
        <v>151</v>
      </c>
      <c r="U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V155" s="146">
        <f>IF(T155="","",VALUE(LEFT(T155,SEARCH("/",T155)-1)))</f>
        <v>10</v>
      </c>
      <c r="W155" s="146">
        <f>IF(T155="","",VALUE(MID(T155,SEARCH("/",T155)+1,LEN(T155))))</f>
        <v>25</v>
      </c>
    </row>
    <row r="156" customFormat="false" ht="15" hidden="false" customHeight="false" outlineLevel="0" collapsed="false">
      <c r="A156" s="138" t="s">
        <v>1389</v>
      </c>
      <c r="B156" s="138" t="s">
        <v>253</v>
      </c>
      <c r="C156" s="540" t="s">
        <v>50</v>
      </c>
      <c r="D156" s="138" t="s">
        <v>1390</v>
      </c>
      <c r="E156" s="138" t="s">
        <v>1391</v>
      </c>
      <c r="F156" s="138" t="s">
        <v>1</v>
      </c>
      <c r="G156" s="138" t="s">
        <v>1</v>
      </c>
      <c r="H156" s="138" t="s">
        <v>1</v>
      </c>
      <c r="I156" s="138" t="s">
        <v>1</v>
      </c>
      <c r="J156" s="138" t="s">
        <v>1392</v>
      </c>
      <c r="K156" s="138" t="s">
        <v>1393</v>
      </c>
      <c r="L156" s="138" t="s">
        <v>101</v>
      </c>
      <c r="M156" s="138" t="s">
        <v>101</v>
      </c>
      <c r="N156" s="138" t="s">
        <v>861</v>
      </c>
      <c r="O156" s="138" t="s">
        <v>1394</v>
      </c>
      <c r="P156" s="138" t="s">
        <v>1395</v>
      </c>
      <c r="Q156" s="138" t="s">
        <v>101</v>
      </c>
      <c r="R156" s="138" t="s">
        <v>1396</v>
      </c>
      <c r="S156" s="138" t="s">
        <v>150</v>
      </c>
      <c r="T156" s="138" t="s">
        <v>1397</v>
      </c>
      <c r="U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V156" s="146">
        <f>IF(T156="","",VALUE(LEFT(T156,SEARCH("/",T156)-1)))</f>
        <v>60</v>
      </c>
      <c r="W156" s="146">
        <f>IF(T156="","",VALUE(MID(T156,SEARCH("/",T156)+1,LEN(T156))))</f>
        <v>120</v>
      </c>
    </row>
    <row r="157" customFormat="false" ht="15" hidden="false" customHeight="false" outlineLevel="0" collapsed="false">
      <c r="A157" s="138" t="s">
        <v>1398</v>
      </c>
      <c r="B157" s="138" t="s">
        <v>144</v>
      </c>
      <c r="C157" s="540" t="s">
        <v>50</v>
      </c>
      <c r="D157" s="138" t="s">
        <v>1399</v>
      </c>
      <c r="E157" s="138" t="s">
        <v>1400</v>
      </c>
      <c r="F157" s="138" t="s">
        <v>1</v>
      </c>
      <c r="G157" s="138" t="s">
        <v>1</v>
      </c>
      <c r="H157" s="138" t="s">
        <v>1</v>
      </c>
      <c r="I157" s="138" t="s">
        <v>1</v>
      </c>
      <c r="J157" s="138" t="s">
        <v>1</v>
      </c>
      <c r="K157" s="138" t="s">
        <v>101</v>
      </c>
      <c r="L157" s="138" t="s">
        <v>101</v>
      </c>
      <c r="M157" s="138" t="s">
        <v>101</v>
      </c>
      <c r="N157" s="138" t="s">
        <v>1</v>
      </c>
      <c r="O157" s="138" t="s">
        <v>147</v>
      </c>
      <c r="P157" s="138" t="s">
        <v>1401</v>
      </c>
      <c r="Q157" s="138" t="s">
        <v>101</v>
      </c>
      <c r="R157" s="138" t="s">
        <v>149</v>
      </c>
      <c r="S157" s="138" t="s">
        <v>150</v>
      </c>
      <c r="T157" s="138" t="s">
        <v>151</v>
      </c>
      <c r="U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Not started</v>
      </c>
      <c r="V157" s="146">
        <f>IF(T157="","",VALUE(LEFT(T157,SEARCH("/",T157)-1)))</f>
        <v>10</v>
      </c>
      <c r="W157" s="146">
        <f>IF(T157="","",VALUE(MID(T157,SEARCH("/",T157)+1,LEN(T157))))</f>
        <v>25</v>
      </c>
    </row>
    <row r="158" customFormat="false" ht="15" hidden="false" customHeight="false" outlineLevel="0" collapsed="false">
      <c r="A158" s="135" t="s">
        <v>1402</v>
      </c>
      <c r="B158" s="135" t="s">
        <v>253</v>
      </c>
      <c r="C158" s="243" t="s">
        <v>56</v>
      </c>
      <c r="D158" s="135" t="s">
        <v>1403</v>
      </c>
      <c r="E158" s="135" t="s">
        <v>1404</v>
      </c>
      <c r="F158" s="135" t="s">
        <v>4</v>
      </c>
      <c r="G158" s="135" t="s">
        <v>1405</v>
      </c>
      <c r="H158" s="135" t="s">
        <v>4</v>
      </c>
      <c r="I158" s="135" t="s">
        <v>1406</v>
      </c>
      <c r="J158" s="135" t="s">
        <v>1407</v>
      </c>
      <c r="K158" s="135" t="s">
        <v>182</v>
      </c>
      <c r="L158" s="135" t="s">
        <v>1</v>
      </c>
      <c r="M158" s="135" t="s">
        <v>1</v>
      </c>
      <c r="N158" s="135" t="s">
        <v>1353</v>
      </c>
      <c r="O158" s="135" t="s">
        <v>1408</v>
      </c>
      <c r="P158" s="135" t="s">
        <v>1409</v>
      </c>
      <c r="Q158" s="135" t="s">
        <v>90</v>
      </c>
      <c r="R158" s="135" t="s">
        <v>1410</v>
      </c>
      <c r="S158" s="135" t="s">
        <v>95</v>
      </c>
      <c r="T158" s="135" t="s">
        <v>1</v>
      </c>
      <c r="U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Done</v>
      </c>
      <c r="V158" s="146">
        <f>IF(T158="","",VALUE(LEFT(T158,SEARCH("/",T158)-1)))</f>
        <v/>
      </c>
      <c r="W158" s="146">
        <f>IF(T158="","",VALUE(MID(T158,SEARCH("/",T158)+1,LEN(T158))))</f>
        <v/>
      </c>
    </row>
    <row r="159" customFormat="false" ht="15" hidden="false" customHeight="false" outlineLevel="0" collapsed="false">
      <c r="A159" s="135" t="s">
        <v>1411</v>
      </c>
      <c r="B159" s="135" t="s">
        <v>253</v>
      </c>
      <c r="C159" s="243" t="s">
        <v>56</v>
      </c>
      <c r="D159" s="135" t="s">
        <v>1412</v>
      </c>
      <c r="E159" s="135" t="s">
        <v>1413</v>
      </c>
      <c r="F159" s="135" t="s">
        <v>1414</v>
      </c>
      <c r="G159" s="135" t="s">
        <v>1415</v>
      </c>
      <c r="H159" s="135" t="s">
        <v>1416</v>
      </c>
      <c r="I159" s="135" t="s">
        <v>1417</v>
      </c>
      <c r="J159" s="135" t="s">
        <v>1418</v>
      </c>
      <c r="K159" s="135" t="s">
        <v>90</v>
      </c>
      <c r="L159" s="135" t="s">
        <v>90</v>
      </c>
      <c r="M159" s="135" t="s">
        <v>1</v>
      </c>
      <c r="N159" s="135" t="s">
        <v>1353</v>
      </c>
      <c r="O159" s="135" t="s">
        <v>1419</v>
      </c>
      <c r="P159" s="135" t="s">
        <v>1420</v>
      </c>
      <c r="Q159" s="135" t="s">
        <v>90</v>
      </c>
      <c r="R159" s="135" t="s">
        <v>1421</v>
      </c>
      <c r="S159" s="135" t="s">
        <v>95</v>
      </c>
      <c r="T159" s="135" t="s">
        <v>1</v>
      </c>
      <c r="U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Done</v>
      </c>
      <c r="V159" s="146">
        <f>IF(T159="","",VALUE(LEFT(T159,SEARCH("/",T159)-1)))</f>
        <v/>
      </c>
      <c r="W159" s="146">
        <f>IF(T159="","",VALUE(MID(T159,SEARCH("/",T159)+1,LEN(T159))))</f>
        <v/>
      </c>
    </row>
    <row r="160" customFormat="false" ht="15" hidden="false" customHeight="false" outlineLevel="0" collapsed="false">
      <c r="A160" s="135" t="s">
        <v>1422</v>
      </c>
      <c r="B160" s="135" t="s">
        <v>253</v>
      </c>
      <c r="C160" s="243" t="s">
        <v>56</v>
      </c>
      <c r="D160" s="135" t="s">
        <v>1423</v>
      </c>
      <c r="E160" s="135" t="s">
        <v>1424</v>
      </c>
      <c r="F160" s="135" t="s">
        <v>4</v>
      </c>
      <c r="G160" s="135" t="s">
        <v>1425</v>
      </c>
      <c r="H160" s="135" t="s">
        <v>4</v>
      </c>
      <c r="I160" s="135" t="s">
        <v>1426</v>
      </c>
      <c r="J160" s="135" t="s">
        <v>1427</v>
      </c>
      <c r="K160" s="135" t="s">
        <v>182</v>
      </c>
      <c r="L160" s="135" t="s">
        <v>1</v>
      </c>
      <c r="M160" s="135" t="s">
        <v>1</v>
      </c>
      <c r="N160" s="135" t="s">
        <v>1353</v>
      </c>
      <c r="O160" s="135" t="s">
        <v>1428</v>
      </c>
      <c r="P160" s="135" t="s">
        <v>1429</v>
      </c>
      <c r="Q160" s="135" t="s">
        <v>90</v>
      </c>
      <c r="R160" s="135" t="s">
        <v>1430</v>
      </c>
      <c r="S160" s="135" t="s">
        <v>209</v>
      </c>
      <c r="T160" s="135" t="s">
        <v>1</v>
      </c>
      <c r="U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Done</v>
      </c>
      <c r="V160" s="146">
        <f>IF(T160="","",VALUE(LEFT(T160,SEARCH("/",T160)-1)))</f>
        <v/>
      </c>
      <c r="W160" s="146">
        <f>IF(T160="","",VALUE(MID(T160,SEARCH("/",T160)+1,LEN(T160))))</f>
        <v/>
      </c>
    </row>
    <row r="161" customFormat="false" ht="15" hidden="false" customHeight="false" outlineLevel="0" collapsed="false">
      <c r="A161" s="135" t="s">
        <v>1431</v>
      </c>
      <c r="B161" s="135" t="s">
        <v>253</v>
      </c>
      <c r="C161" s="243" t="s">
        <v>56</v>
      </c>
      <c r="D161" s="135" t="s">
        <v>1432</v>
      </c>
      <c r="E161" s="135" t="s">
        <v>1433</v>
      </c>
      <c r="F161" s="135" t="s">
        <v>1434</v>
      </c>
      <c r="G161" s="135" t="s">
        <v>1435</v>
      </c>
      <c r="H161" s="135" t="s">
        <v>4</v>
      </c>
      <c r="I161" s="135" t="s">
        <v>1436</v>
      </c>
      <c r="J161" s="135" t="s">
        <v>1437</v>
      </c>
      <c r="K161" s="135" t="s">
        <v>90</v>
      </c>
      <c r="L161" s="135" t="s">
        <v>90</v>
      </c>
      <c r="M161" s="135" t="s">
        <v>1</v>
      </c>
      <c r="N161" s="135" t="s">
        <v>1353</v>
      </c>
      <c r="O161" s="135" t="s">
        <v>1438</v>
      </c>
      <c r="P161" s="135" t="s">
        <v>1439</v>
      </c>
      <c r="Q161" s="135" t="s">
        <v>90</v>
      </c>
      <c r="R161" s="135" t="s">
        <v>1440</v>
      </c>
      <c r="S161" s="135" t="s">
        <v>1268</v>
      </c>
      <c r="T161" s="135" t="s">
        <v>1</v>
      </c>
      <c r="U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V161" s="146">
        <f>IF(T161="","",VALUE(LEFT(T161,SEARCH("/",T161)-1)))</f>
        <v/>
      </c>
      <c r="W161" s="146">
        <f>IF(T161="","",VALUE(MID(T161,SEARCH("/",T161)+1,LEN(T161))))</f>
        <v/>
      </c>
    </row>
    <row r="162" customFormat="false" ht="15" hidden="false" customHeight="false" outlineLevel="0" collapsed="false">
      <c r="A162" s="135" t="s">
        <v>1441</v>
      </c>
      <c r="B162" s="135" t="s">
        <v>106</v>
      </c>
      <c r="C162" s="243" t="s">
        <v>56</v>
      </c>
      <c r="D162" s="135" t="s">
        <v>1442</v>
      </c>
      <c r="E162" s="135" t="s">
        <v>1443</v>
      </c>
      <c r="F162" s="135" t="s">
        <v>4</v>
      </c>
      <c r="G162" s="135" t="s">
        <v>1444</v>
      </c>
      <c r="H162" s="135" t="s">
        <v>4</v>
      </c>
      <c r="I162" s="135" t="s">
        <v>1445</v>
      </c>
      <c r="J162" s="135" t="s">
        <v>1446</v>
      </c>
      <c r="K162" s="135" t="s">
        <v>90</v>
      </c>
      <c r="L162" s="135" t="s">
        <v>90</v>
      </c>
      <c r="M162" s="135" t="s">
        <v>101</v>
      </c>
      <c r="N162" s="135" t="s">
        <v>111</v>
      </c>
      <c r="O162" s="135" t="s">
        <v>1447</v>
      </c>
      <c r="P162" s="135" t="s">
        <v>1448</v>
      </c>
      <c r="Q162" s="135" t="s">
        <v>90</v>
      </c>
      <c r="R162" s="135" t="s">
        <v>1449</v>
      </c>
      <c r="S162" s="135" t="s">
        <v>1450</v>
      </c>
      <c r="T162" s="135" t="s">
        <v>1</v>
      </c>
      <c r="U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V162" s="146">
        <f>IF(T162="","",VALUE(LEFT(T162,SEARCH("/",T162)-1)))</f>
        <v/>
      </c>
      <c r="W162" s="146">
        <f>IF(T162="","",VALUE(MID(T162,SEARCH("/",T162)+1,LEN(T162))))</f>
        <v/>
      </c>
    </row>
  </sheetData>
  <mergeCells count="36">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B14"/>
    <mergeCell ref="D14:E14"/>
    <mergeCell ref="F14:G14"/>
    <mergeCell ref="I14:J14"/>
    <mergeCell ref="A15:T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