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<sst xmlns="http://schemas.openxmlformats.org/spreadsheetml/2006/main" count="3168" uniqueCount="1786">
  <si>
    <t>EFFECT / SCOPE MARKERS</t>
  </si>
  <si>
    <t/>
  </si>
  <si>
    <t>Done</t>
  </si>
  <si>
    <t>45 (34%)</t>
  </si>
  <si>
    <t>X</t>
  </si>
  <si>
    <t>No expected effect — An unchanged X cell is PASS</t>
  </si>
  <si>
    <t>Pending</t>
  </si>
  <si>
    <t>17</t>
  </si>
  <si>
    <t>DELTA</t>
  </si>
  <si>
    <t>Required direct effect — Record before/after count and direction</t>
  </si>
  <si>
    <t>Not started</t>
  </si>
  <si>
    <t>71</t>
  </si>
  <si>
    <t>INDIRECT</t>
  </si>
  <si>
    <t>Conditional effect — State the condition and prove it occurred</t>
  </si>
  <si>
    <t>Failed</t>
  </si>
  <si>
    <t>0</t>
  </si>
  <si>
    <t>GAP</t>
  </si>
  <si>
    <t>Known observability gap — Record FAIL/GAP separately from domain PASS</t>
  </si>
  <si>
    <t>Core</t>
  </si>
  <si>
    <t>133</t>
  </si>
  <si>
    <t>EXT</t>
  </si>
  <si>
    <t>External operator, payment, Registry or deployment boundary — IDs beginning OPERATOR-, PAYMENT- or DEPLOY- are classified EXT and receive the external color</t>
  </si>
  <si>
    <t>External</t>
  </si>
  <si>
    <t>56</t>
  </si>
  <si>
    <t>Total</t>
  </si>
  <si>
    <t>189</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</si>
  <si>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</si>
  <si>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</si>
  <si>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</si>
  <si>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</si>
  <si>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</si>
  <si>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</si>
  <si>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</si>
  <si>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</si>
  <si>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</si>
  <si>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</si>
  <si>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</si>
  <si>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</si>
  <si>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</si>
  <si>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</si>
  <si>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</si>
  <si>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</si>
  <si>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</si>
  <si>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</si>
  <si>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</si>
  <si>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</si>
  <si>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</si>
  <si>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</si>
  <si>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</si>
  <si>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</si>
  <si>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</si>
  <si>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</si>
  <si>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</si>
  <si>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</si>
  <si>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</si>
  <si>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</si>
  <si>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</si>
  <si>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</si>
  <si>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</si>
  <si>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</si>
  <si>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</si>
  <si>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</si>
  <si>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</si>
  <si>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</si>
  <si>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</si>
  <si>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</si>
  <si>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</si>
  <si>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</si>
  <si>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</si>
  <si>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</si>
  <si>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</si>
  <si>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</si>
  <si>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</si>
  <si>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</si>
  <si>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</si>
  <si>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</si>
  <si>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</si>
  <si>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</si>
  <si>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</si>
  <si>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</si>
  <si>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</si>
  <si>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</si>
  <si>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</si>
  <si>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</si>
  <si>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</si>
  <si>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</si>
  <si>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</si>
  <si>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</si>
  <si>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</si>
  <si>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</si>
  <si>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</si>
  <si>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</si>
  <si>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</si>
  <si>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</si>
  <si>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</si>
  <si>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</si>
  <si>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</si>
  <si>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</si>
  <si>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</si>
  <si>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</si>
  <si>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</si>
  <si>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</si>
  <si>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</si>
  <si>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</si>
  <si>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</si>
  <si>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</si>
  <si>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</si>
  <si>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</si>
  <si>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</si>
  <si>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</si>
  <si>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</si>
  <si>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</si>
  <si>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</si>
  <si>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</si>
  <si>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</si>
  <si>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</si>
  <si>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</si>
  <si>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</si>
  <si>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</si>
  <si>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</si>
  <si>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</si>
  <si>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</si>
  <si>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</si>
  <si>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</si>
  <si>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</si>
  <si>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</si>
  <si>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</si>
  <si>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</si>
  <si>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</si>
  <si>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</si>
  <si>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</si>
  <si>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</si>
  <si>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</si>
  <si>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</si>
  <si>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</si>
  <si>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</si>
  <si>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</si>
  <si>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</si>
  <si>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</si>
  <si>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</si>
  <si>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</si>
  <si>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</si>
  <si>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</si>
  <si>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</si>
  <si>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</si>
  <si>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</si>
  <si>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</si>
  <si>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</si>
  <si>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</si>
  <si>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</si>
  <si>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</si>
  <si>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</si>
  <si>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</si>
  <si>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</si>
  <si>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</si>
  <si>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</si>
  <si>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</si>
  <si>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</si>
  <si>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</si>
  <si>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</si>
  <si>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</si>
  <si>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</si>
  <si>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</si>
  <si>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</si>
  <si>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</si>
  <si>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</si>
  <si>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</si>
  <si>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</si>
  <si>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</si>
  <si>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</si>
  <si>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</si>
  <si>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</si>
  <si>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</si>
  <si>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</si>
  <si>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</si>
  <si>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</si>
  <si>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</si>
  <si>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</si>
  <si>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</si>
  <si>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</si>
  <si>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</si>
  <si>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</si>
  <si>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</si>
  <si>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</si>
  <si>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</si>
  <si>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</si>
  <si>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</si>
  <si>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</si>
  <si>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</si>
  <si>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</si>
  <si>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</si>
  <si>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</si>
  <si>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</si>
  <si>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</si>
  <si>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</si>
  <si>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</si>
  <si>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</si>
  <si>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</si>
  <si>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</si>
  <si>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</si>
  <si>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</si>
  <si>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</si>
  <si>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</si>
  <si>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</si>
  <si>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</si>
  <si>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</si>
  <si>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</si>
  <si>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</si>
  <si>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</si>
  <si>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</si>
  <si>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</si>
  <si>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</si>
  <si>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</si>
  <si>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</si>
  <si>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</si>
  <si>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</si>
  <si>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</si>
  <si>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</si>
  <si>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</si>
  <si>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</si>
  <si>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</si>
  <si>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</si>
  <si>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</si>
  <si>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</si>
  <si>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</si>
  <si>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</si>
  <si>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</si>
  <si>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</si>
  <si>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</si>
  <si>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</si>
  <si>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</si>
  <si>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</si>
  <si>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</si>
  <si>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</si>
  <si>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</si>
  <si>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</si>
  <si>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</si>
  <si>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</si>
  <si>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</si>
  <si>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</si>
  <si>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</si>
  <si>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</si>
  <si>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</si>
  <si>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</si>
  <si>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</si>
  <si>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</si>
  <si>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</si>
  <si>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</si>
  <si>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</si>
  <si>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</si>
  <si>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</si>
  <si>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</si>
  <si>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</si>
  <si>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</si>
  <si>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</si>
  <si>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</si>
  <si>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</si>
  <si>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</si>
  <si>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</si>
  <si>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</si>
  <si>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</si>
  <si>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</si>
  <si>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</si>
  <si>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</si>
  <si>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</si>
  <si>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</si>
  <si>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</si>
  <si>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</si>
  <si>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</si>
  <si>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</si>
  <si>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</si>
  <si>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</si>
  <si>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</si>
  <si>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</si>
  <si>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</si>
  <si>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</si>
  <si>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</si>
  <si>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</si>
  <si>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</si>
  <si>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</si>
  <si>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</si>
  <si>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</si>
  <si>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</si>
  <si>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</si>
  <si>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</si>
  <si>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</si>
  <si>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</si>
  <si>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</si>
  <si>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</si>
  <si>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</si>
  <si>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</si>
  <si>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</si>
  <si>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</si>
  <si>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</si>
  <si>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</si>
  <si>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</si>
  <si>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</si>
  <si>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</si>
  <si>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</si>
  <si>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</si>
  <si>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</si>
  <si>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</si>
  <si>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</si>
  <si>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</si>
  <si>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</si>
  <si>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</si>
  <si>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</si>
  <si>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</si>
  <si>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</si>
  <si>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</si>
  <si>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</si>
  <si>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</si>
  <si>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</si>
  <si>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</si>
  <si>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</si>
  <si>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</si>
  <si>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</si>
  <si>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</si>
  <si>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</si>
  <si>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</si>
  <si>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</si>
  <si>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</si>
  <si>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</si>
  <si>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</si>
  <si>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</si>
  <si>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</si>
  <si>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</si>
  <si>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</si>
  <si>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</si>
  <si>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</si>
  <si>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</si>
  <si>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</si>
  <si>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</si>
  <si>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</si>
  <si>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</si>
  <si>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</si>
  <si>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</si>
  <si>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</si>
  <si>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</si>
  <si>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</si>
  <si>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</si>
  <si>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</si>
  <si>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</si>
  <si>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</si>
  <si>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</si>
  <si>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</si>
  <si>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</si>
  <si>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</si>
  <si>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</si>
  <si>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</si>
  <si>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</si>
  <si>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</si>
  <si>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</si>
  <si>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</si>
  <si>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</si>
  <si>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</si>
  <si>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</si>
  <si>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</si>
  <si>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</si>
  <si>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</si>
  <si>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</si>
  <si>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</si>
  <si>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</si>
  <si>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</si>
  <si>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</si>
  <si>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</si>
  <si>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</si>
  <si>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</si>
  <si>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</si>
  <si>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</si>
  <si>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</si>
  <si>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</si>
  <si>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</si>
  <si>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</si>
  <si>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</si>
  <si>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</si>
  <si>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</si>
  <si>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</si>
  <si>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</si>
  <si>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</si>
  <si>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</si>
  <si>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</si>
  <si>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</si>
  <si>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</si>
  <si>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</si>
  <si>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</si>
  <si>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</si>
  <si>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</si>
  <si>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</si>
  <si>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</si>
  <si>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</si>
  <si>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</si>
  <si>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</si>
  <si>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</si>
  <si>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</si>
  <si>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</si>
  <si>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</si>
  <si>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</si>
  <si>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</si>
  <si>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</si>
  <si>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</si>
  <si>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</si>
  <si>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</si>
  <si>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</si>
  <si>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</si>
  <si>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</si>
  <si>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</si>
  <si>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</si>
  <si>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</si>
  <si>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</si>
  <si>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</si>
  <si>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</si>
  <si>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</si>
  <si>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</si>
  <si>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</si>
  <si>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</si>
  <si>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</si>
  <si>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</si>
  <si>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</si>
  <si>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</si>
  <si>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</si>
  <si>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</si>
  <si>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</si>
  <si>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</si>
  <si>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</si>
  <si>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</si>
  <si>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</si>
  <si>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</si>
  <si>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</si>
  <si>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</si>
  <si>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</si>
  <si>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</si>
  <si>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</si>
  <si>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</si>
  <si>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</si>
  <si>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</si>
  <si>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</si>
  <si>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</si>
  <si>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</si>
  <si>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</si>
  <si>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</si>
  <si>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</si>
  <si>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</si>
  <si>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</si>
  <si>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</si>
  <si>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</si>
  <si>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</si>
  <si>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</si>
  <si>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</si>
  <si>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</si>
  <si>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</si>
  <si>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</si>
  <si>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</si>
  <si>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</si>
  <si>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</si>
  <si>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</si>
  <si>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</si>
  <si>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</si>
  <si>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</si>
  <si>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</si>
  <si>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</si>
  <si>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</si>
  <si>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</si>
  <si>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</si>
  <si>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</si>
  <si>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</si>
  <si>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</si>
  <si>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</si>
  <si>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</si>
  <si>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</si>
  <si>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</si>
  <si>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</si>
  <si>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</si>
  <si>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</si>
  <si>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</si>
  <si>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</si>
  <si>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</si>
  <si>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</si>
  <si>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</si>
  <si>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</si>
  <si>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</si>
  <si>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</si>
  <si>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</si>
  <si>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</si>
  <si>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</si>
  <si>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</si>
  <si>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</si>
  <si>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</si>
  <si>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</si>
  <si>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</si>
  <si>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</si>
  <si>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</si>
  <si>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</si>
  <si>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</si>
  <si>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</si>
  <si>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</si>
  <si>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</si>
  <si>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</si>
  <si>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</si>
  <si>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</si>
  <si>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</si>
  <si>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</si>
  <si>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</si>
  <si>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</si>
  <si>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</si>
  <si>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</si>
  <si>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</si>
  <si>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</si>
  <si>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</si>
  <si>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</si>
  <si>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</si>
  <si>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</si>
  <si>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</si>
  <si>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</si>
  <si>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</si>
  <si>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</si>
  <si>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</si>
  <si>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</si>
  <si>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</si>
  <si>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</si>
  <si>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</si>
  <si>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</si>
  <si>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</si>
  <si>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</si>
  <si>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</si>
  <si>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</si>
  <si>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</si>
  <si>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</si>
  <si>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</si>
  <si>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</si>
  <si>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</si>
  <si>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</si>
  <si>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</si>
  <si>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</si>
  <si>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</si>
  <si>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</si>
  <si>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</si>
  <si>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</si>
  <si>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</si>
  <si>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</si>
  <si>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</si>
  <si>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</si>
  <si>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</si>
  <si>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</si>
  <si>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</si>
  <si>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</si>
  <si>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</si>
  <si>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</si>
  <si>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</si>
  <si>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</si>
  <si>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</si>
  <si>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</si>
  <si>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</si>
  <si>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</si>
  <si>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</si>
  <si>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</si>
  <si>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</si>
  <si>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</si>
  <si>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</si>
  <si>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</si>
  <si>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</si>
  <si>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</si>
  <si>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</si>
  <si>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</si>
  <si>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</si>
  <si>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</si>
  <si>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</si>
  <si>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</si>
  <si>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</si>
  <si>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</si>
  <si>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</si>
  <si>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</si>
  <si>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</si>
  <si>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</si>
  <si>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</si>
  <si>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</si>
  <si>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</si>
  <si>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</si>
  <si>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</si>
  <si>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</si>
  <si>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</si>
  <si>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</si>
  <si>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</si>
  <si>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</si>
  <si>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</si>
  <si>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</si>
  <si>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</si>
  <si>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</si>
  <si>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</si>
  <si>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</si>
  <si>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</si>
  <si>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Restore and bucket service tests</t>
  </si>
  <si>
    <t>Verify cleared suppression fields and exact restored bucket</t>
  </si>
  <si>
    <t>Refresh after restore is X</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</si>
  <si>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</si>
  <si>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</si>
  <si>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</si>
  <si>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</si>
  <si>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</si>
  <si>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</si>
  <si>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</si>
  <si>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</si>
  <si>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Member suppression/restore service tests</t>
  </si>
  <si>
    <t>Use participant and organizer sessions plus canonical event oracle</t>
  </si>
  <si>
    <t>Must not be misclassified as global event deletion</t>
  </si>
  <si>
    <t>EVENT-LIFE-005</t>
  </si>
  <si>
    <t>Event buckets</t>
  </si>
  <si>
    <t>Open and refresh Hosting, Drafts, Attending, Invitations and Trash</t>
  </si>
  <si>
    <t>Each identity appears only in its documented bucket; no writes occur</t>
  </si>
  <si>
    <t>Bucket query tests partial</t>
  </si>
  <si>
    <t>Record bucket membership and prove no domain/task/outbox change</t>
  </si>
  <si>
    <t>This is the explicit read-only checkpoint</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</si>
  <si>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</si>
  <si>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</si>
  <si>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</si>
  <si>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</si>
  <si>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</si>
  <si>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</si>
  <si>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</si>
  <si>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t>
  </si>
  <si>
    <t>Member invite service tests</t>
  </si>
  <si>
    <t>Match event, inviter, recipient, pending status and requestKind</t>
  </si>
  <si>
    <t>Manual invite is not scheduler proof</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</si>
  <si>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</si>
  <si>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</si>
  <si>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</si>
  <si>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</si>
  <si>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</si>
  <si>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</si>
  <si>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</si>
  <si>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</si>
  <si>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</si>
  <si>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</si>
  <si>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</si>
  <si>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</si>
  <si>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</si>
  <si>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</si>
  <si>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</si>
  <si>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</si>
  <si>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</si>
  <si>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</si>
  <si>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</si>
  <si>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</si>
  <si>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Admin preapproves an ordinary-member invitation, then the recipient accepts</t>
  </si>
  <si>
    <t>INDIRECT only after terminal acceptance</t>
  </si>
  <si>
    <t>DELTA preapproval remains pending; recipient acceptance creates accepted membership</t>
  </si>
  <si>
    <t>INDIRECT after terminal transition</t>
  </si>
  <si>
    <t>CONDITIONAL recompute/outbox; scheduler X</t>
  </si>
  <si>
    <t>Chat stays denied after admin preapproval and appears only after recipient acceptance</t>
  </si>
  <si>
    <t>Invitation approval service tests partial</t>
  </si>
  <si>
    <t>Capture the initial invitation, admin-preapproved pending state and final recipient-accepted state</t>
  </si>
  <si>
    <t>Admin preapproval alone must not grant accepted access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</si>
  <si>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</si>
  <si>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</si>
  <si>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</si>
  <si>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</si>
  <si>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</si>
  <si>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</si>
  <si>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</si>
  <si>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Capacity/idempotence service tests partial</t>
  </si>
  <si>
    <t>Run every branch as its own named checkpoint lineage</t>
  </si>
  <si>
    <t>Negative branches remain independently passable</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</si>
  <si>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</si>
  <si>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</si>
  <si>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</si>
  <si>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</si>
  <si>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</si>
  <si>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</si>
  <si>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t>
  </si>
  <si>
    <t>Compare Casey, Nova and Riley Notification Center rows by printed eventId and blindMode, then count member-joined rows and chat-message notification artifacts</t>
  </si>
  <si>
    <t>Independent privacy boundary; do not infer it from chat authorization</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</si>
  <si>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</si>
  <si>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</si>
  <si>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</si>
  <si>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</si>
  <si>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</si>
  <si>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</si>
  <si>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</si>
  <si>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</si>
  <si>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</si>
  <si>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</si>
  <si>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</si>
  <si>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</si>
  <si>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</si>
  <si>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</si>
  <si>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</si>
  <si>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</si>
  <si>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</si>
  <si>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</si>
  <si>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</si>
  <si>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</si>
  <si>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</si>
  <si>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</si>
  <si>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</si>
  <si>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</si>
  <si>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</si>
  <si>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</si>
  <si>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</si>
  <si>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</si>
  <si>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</si>
  <si>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</si>
  <si>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</si>
  <si>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</si>
  <si>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</si>
  <si>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</si>
  <si>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</si>
  <si>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</si>
  <si>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</si>
  <si>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</si>
  <si>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</si>
  <si>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</si>
  <si>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</si>
  <si>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</si>
  <si>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</si>
  <si>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</si>
  <si>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</si>
  <si>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</si>
  <si>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</si>
  <si>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</si>
  <si>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</si>
  <si>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</si>
  <si>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</si>
  <si>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</si>
  <si>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</si>
  <si>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</si>
  <si>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</si>
  <si>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</si>
  <si>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</si>
  <si>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</si>
  <si>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</si>
  <si>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</si>
  <si>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</si>
  <si>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</si>
  <si>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</si>
  <si>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</si>
  <si>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</si>
  <si>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</si>
  <si>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</si>
  <si>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</si>
  <si>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</si>
  <si>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</si>
  <si>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</si>
  <si>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</si>
  <si>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</si>
  <si>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</si>
  <si>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</si>
  <si>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</si>
  <si>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</si>
  <si>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</si>
  <si>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</si>
  <si>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</si>
  <si>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</si>
  <si>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</si>
  <si>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</si>
  <si>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</si>
  <si>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</si>
  <si>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</si>
  <si>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</si>
  <si>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</si>
  <si>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</si>
  <si>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</si>
  <si>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</si>
  <si>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</si>
  <si>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</si>
  <si>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</si>
  <si>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</si>
  <si>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</si>
  <si>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</si>
  <si>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</si>
  <si>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</si>
  <si>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</si>
  <si>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</si>
  <si>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</si>
  <si>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</si>
  <si>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</si>
  <si>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</si>
  <si>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</si>
  <si>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</si>
  <si>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</si>
  <si>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</si>
  <si>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</si>
  <si>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</si>
  <si>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</si>
  <si>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</si>
  <si>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</si>
  <si>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</si>
  <si>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</si>
  <si>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</si>
  <si>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</si>
  <si>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</si>
  <si>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</si>
  <si>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</si>
  <si>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</si>
  <si>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</si>
  <si>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</si>
  <si>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</si>
  <si>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</si>
  <si>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</si>
  <si>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</si>
  <si>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</si>
  <si>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</si>
  <si>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</si>
  <si>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</si>
  <si>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</si>
  <si>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</si>
  <si>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</si>
  <si>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</si>
  <si>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</si>
  <si>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</si>
  <si>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</si>
  <si>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</si>
  <si>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</si>
  <si>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</si>
  <si>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</si>
  <si>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</si>
  <si>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</si>
  <si>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</si>
  <si>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</si>
  <si>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</si>
  <si>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</si>
  <si>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</si>
  <si>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</si>
  <si>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</si>
  <si>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</si>
  <si>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</si>
  <si>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</si>
  <si>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</si>
  <si>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</si>
  <si>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</si>
  <si>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</si>
  <si>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</si>
  <si>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</si>
  <si>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</si>
  <si>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</si>
  <si>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</si>
  <si>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</si>
  <si>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</si>
  <si>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</si>
  <si>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</si>
  <si>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</si>
  <si>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</si>
  <si>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</si>
  <si>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</si>
  <si>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</si>
  <si>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</si>
  <si>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</si>
  <si>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</si>
  <si>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</si>
  <si>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</si>
  <si>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</si>
  <si>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</si>
  <si>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</si>
  <si>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</si>
  <si>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</si>
  <si>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</si>
  <si>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</si>
  <si>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</si>
  <si>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</si>
  <si>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</si>
  <si>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</si>
  <si>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</si>
  <si>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</si>
  <si>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</si>
  <si>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</si>
  <si>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</si>
  <si>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</si>
  <si>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</si>
  <si>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</si>
  <si>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</si>
  <si>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</si>
  <si>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</si>
  <si>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</si>
  <si>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</si>
  <si>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</si>
  <si>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</si>
  <si>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</si>
  <si>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</si>
  <si>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</si>
  <si>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</si>
  <si>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</si>
  <si>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</si>
  <si>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</si>
  <si>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</si>
  <si>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</si>
  <si>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</si>
  <si>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</si>
  <si>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</si>
  <si>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</si>
  <si>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</si>
  <si>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DESIGN CAPTURED / NOT RUN</t>
  </si>
  <si>
    <t>No implementation coverage yet; requires authoritative active-session registry, immutable login-audit model and notification delivery coverage</t>
  </si>
  <si>
    <t>Use three browser profiles for the same user; capture A/B active IDs, B warning, rejected C audit/warning, unchanged A/B validity, explicit slot release and accepted C retry; prove reload/token refresh reuses a slot without another warning</t>
  </si>
  <si>
    <t>Separate future checkpoint; do not mix with current Casey/Nova/Riley role isolation. Session limit is write-side, not a frontend or query-projection rule.</t>
  </si>
  <si>
    <t>LANDING-ELIGIBILITY-001</t>
  </si>
  <si>
    <t>Public landing / regional login eligibility</t>
  </si>
  <si>
    <t>Supply controlled browser geolocation for eligible, not-yet-enabled and permission-denied anonymous landing sessions</t>
  </si>
  <si>
    <t>X for read-only eligibility checks unless dedicated security metrics are later specified</t>
  </si>
  <si>
    <t>Budapest 47.4979/19.0402 resolves eligible country:hu and enables normal Firebase login; London 51.5074/-0.1278 has no enabled countryPartition, resolves eligible=false without implying a ban and leaves login unavailable; denied permission keeps Allow location without assuming a country or creating a session; switching branches cannot reuse stale coordinates</t>
  </si>
  <si>
    <t>Existing landing/geolocation service flow and backend eligibility endpoint exist; target-scoped CDP/manual Sensors checkpoint and invalid-range coverage remain</t>
  </si>
  <si>
    <t>Use a fresh unauthenticated Firebase-enabled browser context; apply target-scoped Budapest then London coordinates with permission reset between; test Block then later Grant; compare UI, /auth/eligibility response, partition/session state and absence of unintended writes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</si>
  <si>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</si>
  <si>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</si>
  <si>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</si>
  <si>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</si>
  <si>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</si>
  <si>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</si>
  <si>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</si>
  <si>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</si>
  <si>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Compare editor definition and runtime baseline</t>
  </si>
  <si>
    <t>No automatic grouping is inferred from save</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</si>
  <si>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</si>
  <si>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</si>
  <si>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</si>
  <si>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</si>
  <si>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</si>
  <si>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</si>
  <si>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t>
  </si>
  <si>
    <t>Match parent, stage, group, member and chat identities</t>
  </si>
  <si>
    <t>Pending invites are not accepted group members</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</si>
  <si>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</si>
  <si>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</si>
  <si>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</si>
  <si>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</si>
  <si>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</si>
  <si>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</si>
  <si>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</si>
  <si>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t>
  </si>
  <si>
    <t>Capture pre-stage, job terminal and next-stage domain/UI oracles</t>
  </si>
  <si>
    <t>Second unchanged review is X</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</si>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</sst>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19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147" t="s">
        <v>2</v>
      </c>
      <c r="E1" s="149" t="str">
        <f>COUNTIFS(Q10:Q198,"Done",R10:R198,"Core")&amp;" ("&amp;IF(COUNTIF(R10:R198,"Core")=0,"0%",TEXT(COUNTIFS(Q10:Q198,"Done",R10:R198,"Core")/COUNTIF(R10:R198,"Core"),"0%"))&amp;")"</f>
        <v>45 (34%)</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8" t="s">
        <v>6</v>
      </c>
      <c r="E2" s="159">
        <f>COUNTIFS(Q10:Q198,"Pending",R10:R198,"Core")</f>
        <v>17</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74" t="s">
        <v>10</v>
      </c>
      <c r="E3" s="175">
        <f>COUNTIFS(Q10:Q198,"Not started",R10:R198,"Core")</f>
        <v>71</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66" t="s">
        <v>14</v>
      </c>
      <c r="E4" s="167">
        <f>COUNTIFS(Q10:Q198,"Failed",R10:R198,"Core")</f>
        <v>0</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230" t="s">
        <v>18</v>
      </c>
      <c r="E5" s="231">
        <f>COUNTIF(R10:R198,"Core")</f>
        <v>133</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47" t="s">
        <v>22</v>
      </c>
      <c r="E6" s="248">
        <f>COUNTIF(R10:R198,"External")</f>
        <v>56</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32" t="s">
        <v>24</v>
      </c>
      <c r="E7" s="234">
        <f>COUNTA(A10:A198)</f>
        <v>189</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80" hidden="false" customHeight="true" outlineLevel="0" collapsed="false">
      <c r="A65" s="135" t="s">
        <v>575</v>
      </c>
      <c r="B65" s="135" t="s">
        <v>447</v>
      </c>
      <c r="C65" s="135" t="s">
        <v>567</v>
      </c>
      <c r="D65" s="135" t="s">
        <v>576</v>
      </c>
      <c r="E65" s="135" t="s">
        <v>577</v>
      </c>
      <c r="F65" s="135" t="s">
        <v>578</v>
      </c>
      <c r="G65" s="135" t="s">
        <v>452</v>
      </c>
      <c r="H65" s="135" t="s">
        <v>579</v>
      </c>
      <c r="I65" s="135" t="s">
        <v>580</v>
      </c>
      <c r="J65" s="135" t="s">
        <v>581</v>
      </c>
      <c r="K65" s="135" t="s">
        <v>487</v>
      </c>
      <c r="L65" s="135" t="s">
        <v>582</v>
      </c>
      <c r="M65" s="135" t="s">
        <v>583</v>
      </c>
      <c r="N65" s="135" t="s">
        <v>51</v>
      </c>
      <c r="O65" s="135" t="s">
        <v>584</v>
      </c>
      <c r="P65" s="135"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Done</v>
      </c>
      <c r="R65" s="146" t="str">
        <f>IF(OR(LEFT(A65,9)="OPERATOR-",LEFT(A65,8)="PAYMENT-",LEFT(A65,7)="DEPLOY-"),"External","Core")</f>
        <v>Core</v>
      </c>
    </row>
    <row r="66" customFormat="false" ht="15" hidden="false" customHeight="false" outlineLevel="0" collapsed="false">
      <c r="A66" s="138" t="s">
        <v>585</v>
      </c>
      <c r="B66" s="138" t="s">
        <v>447</v>
      </c>
      <c r="C66" s="138" t="s">
        <v>567</v>
      </c>
      <c r="D66" s="138" t="s">
        <v>586</v>
      </c>
      <c r="E66" s="138" t="s">
        <v>587</v>
      </c>
      <c r="F66" s="138" t="s">
        <v>588</v>
      </c>
      <c r="G66" s="138" t="s">
        <v>452</v>
      </c>
      <c r="H66" s="138" t="s">
        <v>589</v>
      </c>
      <c r="I66" s="138" t="s">
        <v>590</v>
      </c>
      <c r="J66" s="138" t="s">
        <v>58</v>
      </c>
      <c r="K66" s="138" t="s">
        <v>1</v>
      </c>
      <c r="L66" s="138" t="s">
        <v>591</v>
      </c>
      <c r="M66" s="138" t="s">
        <v>592</v>
      </c>
      <c r="N66" s="138" t="s">
        <v>1</v>
      </c>
      <c r="O66" s="138" t="s">
        <v>593</v>
      </c>
      <c r="P66" s="138"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Not started</v>
      </c>
      <c r="R66" s="146" t="str">
        <f>IF(OR(LEFT(A66,9)="OPERATOR-",LEFT(A66,8)="PAYMENT-",LEFT(A66,7)="DEPLOY-"),"External","Core")</f>
        <v>Core</v>
      </c>
    </row>
    <row r="67" customFormat="false" ht="15" hidden="false" customHeight="false" outlineLevel="0" collapsed="false">
      <c r="A67" s="138" t="s">
        <v>594</v>
      </c>
      <c r="B67" s="138" t="s">
        <v>447</v>
      </c>
      <c r="C67" s="138" t="s">
        <v>595</v>
      </c>
      <c r="D67" s="138" t="s">
        <v>596</v>
      </c>
      <c r="E67" s="138" t="s">
        <v>597</v>
      </c>
      <c r="F67" s="138" t="s">
        <v>598</v>
      </c>
      <c r="G67" s="138" t="s">
        <v>599</v>
      </c>
      <c r="H67" s="138" t="s">
        <v>600</v>
      </c>
      <c r="I67" s="138" t="s">
        <v>601</v>
      </c>
      <c r="J67" s="138" t="s">
        <v>58</v>
      </c>
      <c r="K67" s="138" t="s">
        <v>1</v>
      </c>
      <c r="L67" s="138" t="s">
        <v>602</v>
      </c>
      <c r="M67" s="138" t="s">
        <v>603</v>
      </c>
      <c r="N67" s="138" t="s">
        <v>1</v>
      </c>
      <c r="O67" s="138" t="s">
        <v>604</v>
      </c>
      <c r="P67" s="138"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Not started</v>
      </c>
      <c r="R67" s="146" t="str">
        <f>IF(OR(LEFT(A67,9)="OPERATOR-",LEFT(A67,8)="PAYMENT-",LEFT(A67,7)="DEPLOY-"),"External","Core")</f>
        <v>Core</v>
      </c>
    </row>
    <row r="68" customFormat="false" ht="15" hidden="false" customHeight="false" outlineLevel="0" collapsed="false">
      <c r="A68" s="138" t="s">
        <v>605</v>
      </c>
      <c r="B68" s="138" t="s">
        <v>447</v>
      </c>
      <c r="C68" s="138" t="s">
        <v>606</v>
      </c>
      <c r="D68" s="138" t="s">
        <v>607</v>
      </c>
      <c r="E68" s="138" t="s">
        <v>4</v>
      </c>
      <c r="F68" s="138" t="s">
        <v>4</v>
      </c>
      <c r="G68" s="138" t="s">
        <v>4</v>
      </c>
      <c r="H68" s="138" t="s">
        <v>4</v>
      </c>
      <c r="I68" s="138" t="s">
        <v>608</v>
      </c>
      <c r="J68" s="138" t="s">
        <v>58</v>
      </c>
      <c r="K68" s="138" t="s">
        <v>1</v>
      </c>
      <c r="L68" s="138" t="s">
        <v>609</v>
      </c>
      <c r="M68" s="138" t="s">
        <v>610</v>
      </c>
      <c r="N68" s="138" t="s">
        <v>1</v>
      </c>
      <c r="O68" s="138" t="s">
        <v>611</v>
      </c>
      <c r="P68" s="138"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Not started</v>
      </c>
      <c r="R68" s="146" t="str">
        <f>IF(OR(LEFT(A68,9)="OPERATOR-",LEFT(A68,8)="PAYMENT-",LEFT(A68,7)="DEPLOY-"),"External","Core")</f>
        <v>Core</v>
      </c>
    </row>
    <row r="69" customFormat="false" ht="15" hidden="false" customHeight="false" outlineLevel="0" collapsed="false">
      <c r="A69" s="138" t="s">
        <v>612</v>
      </c>
      <c r="B69" s="138" t="s">
        <v>447</v>
      </c>
      <c r="C69" s="138" t="s">
        <v>613</v>
      </c>
      <c r="D69" s="138" t="s">
        <v>614</v>
      </c>
      <c r="E69" s="138" t="s">
        <v>615</v>
      </c>
      <c r="F69" s="138" t="s">
        <v>616</v>
      </c>
      <c r="G69" s="138" t="s">
        <v>617</v>
      </c>
      <c r="H69" s="138" t="s">
        <v>618</v>
      </c>
      <c r="I69" s="138" t="s">
        <v>619</v>
      </c>
      <c r="J69" s="138" t="s">
        <v>58</v>
      </c>
      <c r="K69" s="138" t="s">
        <v>1</v>
      </c>
      <c r="L69" s="138" t="s">
        <v>620</v>
      </c>
      <c r="M69" s="138" t="s">
        <v>621</v>
      </c>
      <c r="N69" s="138" t="s">
        <v>1</v>
      </c>
      <c r="O69" s="138" t="s">
        <v>622</v>
      </c>
      <c r="P69" s="138"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Not started</v>
      </c>
      <c r="R69" s="146" t="str">
        <f>IF(OR(LEFT(A69,9)="OPERATOR-",LEFT(A69,8)="PAYMENT-",LEFT(A69,7)="DEPLOY-"),"External","Core")</f>
        <v>Core</v>
      </c>
    </row>
    <row r="70" customFormat="false" ht="15" hidden="false" customHeight="false" outlineLevel="0" collapsed="false">
      <c r="A70" s="136" t="s">
        <v>623</v>
      </c>
      <c r="B70" s="136" t="s">
        <v>447</v>
      </c>
      <c r="C70" s="136" t="s">
        <v>624</v>
      </c>
      <c r="D70" s="136" t="s">
        <v>625</v>
      </c>
      <c r="E70" s="136" t="s">
        <v>4</v>
      </c>
      <c r="F70" s="136" t="s">
        <v>4</v>
      </c>
      <c r="G70" s="136" t="s">
        <v>4</v>
      </c>
      <c r="H70" s="136" t="s">
        <v>4</v>
      </c>
      <c r="I70" s="136" t="s">
        <v>626</v>
      </c>
      <c r="J70" s="136" t="s">
        <v>627</v>
      </c>
      <c r="K70" s="136" t="s">
        <v>48</v>
      </c>
      <c r="L70" s="136" t="s">
        <v>628</v>
      </c>
      <c r="M70" s="136" t="s">
        <v>629</v>
      </c>
      <c r="N70" s="136" t="s">
        <v>443</v>
      </c>
      <c r="O70" s="136" t="s">
        <v>630</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631</v>
      </c>
      <c r="B71" s="135" t="s">
        <v>447</v>
      </c>
      <c r="C71" s="135" t="s">
        <v>613</v>
      </c>
      <c r="D71" s="135" t="s">
        <v>632</v>
      </c>
      <c r="E71" s="135" t="s">
        <v>633</v>
      </c>
      <c r="F71" s="135" t="s">
        <v>634</v>
      </c>
      <c r="G71" s="135" t="s">
        <v>635</v>
      </c>
      <c r="H71" s="135" t="s">
        <v>636</v>
      </c>
      <c r="I71" s="135" t="s">
        <v>637</v>
      </c>
      <c r="J71" s="135" t="s">
        <v>486</v>
      </c>
      <c r="K71" s="135" t="s">
        <v>48</v>
      </c>
      <c r="L71" s="135" t="s">
        <v>638</v>
      </c>
      <c r="M71" s="135" t="s">
        <v>639</v>
      </c>
      <c r="N71" s="135" t="s">
        <v>51</v>
      </c>
      <c r="O71" s="135" t="s">
        <v>640</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5" hidden="false" customHeight="false" outlineLevel="0" collapsed="false">
      <c r="A72" s="138" t="s">
        <v>641</v>
      </c>
      <c r="B72" s="138" t="s">
        <v>447</v>
      </c>
      <c r="C72" s="138" t="s">
        <v>642</v>
      </c>
      <c r="D72" s="138" t="s">
        <v>643</v>
      </c>
      <c r="E72" s="138" t="s">
        <v>644</v>
      </c>
      <c r="F72" s="138" t="s">
        <v>645</v>
      </c>
      <c r="G72" s="138" t="s">
        <v>646</v>
      </c>
      <c r="H72" s="138" t="s">
        <v>647</v>
      </c>
      <c r="I72" s="138" t="s">
        <v>648</v>
      </c>
      <c r="J72" s="138" t="s">
        <v>58</v>
      </c>
      <c r="K72" s="138" t="s">
        <v>1</v>
      </c>
      <c r="L72" s="138" t="s">
        <v>649</v>
      </c>
      <c r="M72" s="138" t="s">
        <v>650</v>
      </c>
      <c r="N72" s="138" t="s">
        <v>1</v>
      </c>
      <c r="O72" s="138" t="s">
        <v>651</v>
      </c>
      <c r="P72" s="138"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Not started</v>
      </c>
      <c r="R72" s="146" t="str">
        <f>IF(OR(LEFT(A72,9)="OPERATOR-",LEFT(A72,8)="PAYMENT-",LEFT(A72,7)="DEPLOY-"),"External","Core")</f>
        <v>Core</v>
      </c>
    </row>
    <row r="73" customFormat="false" ht="15" hidden="false" customHeight="false" outlineLevel="0" collapsed="false">
      <c r="A73" s="138" t="s">
        <v>652</v>
      </c>
      <c r="B73" s="138" t="s">
        <v>447</v>
      </c>
      <c r="C73" s="138" t="s">
        <v>653</v>
      </c>
      <c r="D73" s="138" t="s">
        <v>654</v>
      </c>
      <c r="E73" s="138" t="s">
        <v>655</v>
      </c>
      <c r="F73" s="138" t="s">
        <v>656</v>
      </c>
      <c r="G73" s="138" t="s">
        <v>655</v>
      </c>
      <c r="H73" s="138" t="s">
        <v>657</v>
      </c>
      <c r="I73" s="138" t="s">
        <v>658</v>
      </c>
      <c r="J73" s="138" t="s">
        <v>58</v>
      </c>
      <c r="K73" s="138" t="s">
        <v>1</v>
      </c>
      <c r="L73" s="138" t="s">
        <v>659</v>
      </c>
      <c r="M73" s="138" t="s">
        <v>660</v>
      </c>
      <c r="N73" s="138" t="s">
        <v>1</v>
      </c>
      <c r="O73" s="138" t="s">
        <v>661</v>
      </c>
      <c r="P73" s="138"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Not started</v>
      </c>
      <c r="R73" s="146" t="str">
        <f>IF(OR(LEFT(A73,9)="OPERATOR-",LEFT(A73,8)="PAYMENT-",LEFT(A73,7)="DEPLOY-"),"External","Core")</f>
        <v>Core</v>
      </c>
    </row>
    <row r="74" customFormat="false" ht="15" hidden="false" customHeight="false" outlineLevel="0" collapsed="false">
      <c r="A74" s="138" t="s">
        <v>662</v>
      </c>
      <c r="B74" s="138" t="s">
        <v>447</v>
      </c>
      <c r="C74" s="138" t="s">
        <v>663</v>
      </c>
      <c r="D74" s="138" t="s">
        <v>664</v>
      </c>
      <c r="E74" s="138" t="s">
        <v>665</v>
      </c>
      <c r="F74" s="138" t="s">
        <v>666</v>
      </c>
      <c r="G74" s="138" t="s">
        <v>617</v>
      </c>
      <c r="H74" s="138" t="s">
        <v>636</v>
      </c>
      <c r="I74" s="138" t="s">
        <v>667</v>
      </c>
      <c r="J74" s="138" t="s">
        <v>58</v>
      </c>
      <c r="K74" s="138" t="s">
        <v>1</v>
      </c>
      <c r="L74" s="138" t="s">
        <v>668</v>
      </c>
      <c r="M74" s="138" t="s">
        <v>669</v>
      </c>
      <c r="N74" s="138" t="s">
        <v>1</v>
      </c>
      <c r="O74" s="138" t="s">
        <v>670</v>
      </c>
      <c r="P74" s="138"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Not started</v>
      </c>
      <c r="R74" s="146" t="str">
        <f>IF(OR(LEFT(A74,9)="OPERATOR-",LEFT(A74,8)="PAYMENT-",LEFT(A74,7)="DEPLOY-"),"External","Core")</f>
        <v>Core</v>
      </c>
    </row>
    <row r="75" customFormat="false" ht="15" hidden="false" customHeight="false" outlineLevel="0" collapsed="false">
      <c r="A75" s="135" t="s">
        <v>671</v>
      </c>
      <c r="B75" s="135" t="s">
        <v>447</v>
      </c>
      <c r="C75" s="135" t="s">
        <v>672</v>
      </c>
      <c r="D75" s="135" t="s">
        <v>673</v>
      </c>
      <c r="E75" s="135" t="s">
        <v>674</v>
      </c>
      <c r="F75" s="135" t="s">
        <v>675</v>
      </c>
      <c r="G75" s="135" t="s">
        <v>4</v>
      </c>
      <c r="H75" s="135" t="s">
        <v>676</v>
      </c>
      <c r="I75" s="135" t="s">
        <v>677</v>
      </c>
      <c r="J75" s="135" t="s">
        <v>678</v>
      </c>
      <c r="K75" s="135" t="s">
        <v>92</v>
      </c>
      <c r="L75" s="135" t="s">
        <v>679</v>
      </c>
      <c r="M75" s="135" t="s">
        <v>680</v>
      </c>
      <c r="N75" s="135" t="s">
        <v>51</v>
      </c>
      <c r="O75" s="135" t="s">
        <v>681</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682</v>
      </c>
      <c r="B76" s="135" t="s">
        <v>447</v>
      </c>
      <c r="C76" s="135" t="s">
        <v>683</v>
      </c>
      <c r="D76" s="135" t="s">
        <v>684</v>
      </c>
      <c r="E76" s="135" t="s">
        <v>4</v>
      </c>
      <c r="F76" s="135" t="s">
        <v>685</v>
      </c>
      <c r="G76" s="135" t="s">
        <v>4</v>
      </c>
      <c r="H76" s="135" t="s">
        <v>686</v>
      </c>
      <c r="I76" s="135" t="s">
        <v>687</v>
      </c>
      <c r="J76" s="135" t="s">
        <v>688</v>
      </c>
      <c r="K76" s="135" t="s">
        <v>92</v>
      </c>
      <c r="L76" s="135" t="s">
        <v>689</v>
      </c>
      <c r="M76" s="135" t="s">
        <v>690</v>
      </c>
      <c r="N76" s="135" t="s">
        <v>51</v>
      </c>
      <c r="O76" s="135" t="s">
        <v>691</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692</v>
      </c>
      <c r="B77" s="135" t="s">
        <v>447</v>
      </c>
      <c r="C77" s="135" t="s">
        <v>683</v>
      </c>
      <c r="D77" s="135" t="s">
        <v>693</v>
      </c>
      <c r="E77" s="135" t="s">
        <v>694</v>
      </c>
      <c r="F77" s="135" t="s">
        <v>695</v>
      </c>
      <c r="G77" s="135" t="s">
        <v>696</v>
      </c>
      <c r="H77" s="135" t="s">
        <v>697</v>
      </c>
      <c r="I77" s="135" t="s">
        <v>698</v>
      </c>
      <c r="J77" s="135" t="s">
        <v>486</v>
      </c>
      <c r="K77" s="135" t="s">
        <v>92</v>
      </c>
      <c r="L77" s="135" t="s">
        <v>699</v>
      </c>
      <c r="M77" s="135" t="s">
        <v>700</v>
      </c>
      <c r="N77" s="135" t="s">
        <v>51</v>
      </c>
      <c r="O77" s="135" t="s">
        <v>701</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702</v>
      </c>
      <c r="B78" s="135" t="s">
        <v>447</v>
      </c>
      <c r="C78" s="135" t="s">
        <v>703</v>
      </c>
      <c r="D78" s="135" t="s">
        <v>704</v>
      </c>
      <c r="E78" s="135" t="s">
        <v>4</v>
      </c>
      <c r="F78" s="135" t="s">
        <v>705</v>
      </c>
      <c r="G78" s="135" t="s">
        <v>4</v>
      </c>
      <c r="H78" s="135" t="s">
        <v>4</v>
      </c>
      <c r="I78" s="135" t="s">
        <v>706</v>
      </c>
      <c r="J78" s="135" t="s">
        <v>486</v>
      </c>
      <c r="K78" s="135" t="s">
        <v>92</v>
      </c>
      <c r="L78" s="135" t="s">
        <v>707</v>
      </c>
      <c r="M78" s="135" t="s">
        <v>708</v>
      </c>
      <c r="N78" s="135" t="s">
        <v>51</v>
      </c>
      <c r="O78" s="135" t="s">
        <v>709</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710</v>
      </c>
      <c r="B79" s="135" t="s">
        <v>447</v>
      </c>
      <c r="C79" s="135" t="s">
        <v>711</v>
      </c>
      <c r="D79" s="135" t="s">
        <v>712</v>
      </c>
      <c r="E79" s="135" t="s">
        <v>4</v>
      </c>
      <c r="F79" s="135" t="s">
        <v>713</v>
      </c>
      <c r="G79" s="135" t="s">
        <v>4</v>
      </c>
      <c r="H79" s="135" t="s">
        <v>4</v>
      </c>
      <c r="I79" s="135" t="s">
        <v>714</v>
      </c>
      <c r="J79" s="135" t="s">
        <v>91</v>
      </c>
      <c r="K79" s="135" t="s">
        <v>92</v>
      </c>
      <c r="L79" s="135" t="s">
        <v>715</v>
      </c>
      <c r="M79" s="135" t="s">
        <v>716</v>
      </c>
      <c r="N79" s="135" t="s">
        <v>51</v>
      </c>
      <c r="O79" s="135" t="s">
        <v>717</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718</v>
      </c>
      <c r="B80" s="135" t="s">
        <v>447</v>
      </c>
      <c r="C80" s="135" t="s">
        <v>719</v>
      </c>
      <c r="D80" s="135" t="s">
        <v>720</v>
      </c>
      <c r="E80" s="135" t="s">
        <v>4</v>
      </c>
      <c r="F80" s="135" t="s">
        <v>721</v>
      </c>
      <c r="G80" s="135" t="s">
        <v>722</v>
      </c>
      <c r="H80" s="135" t="s">
        <v>4</v>
      </c>
      <c r="I80" s="135" t="s">
        <v>723</v>
      </c>
      <c r="J80" s="135" t="s">
        <v>51</v>
      </c>
      <c r="K80" s="135" t="s">
        <v>92</v>
      </c>
      <c r="L80" s="135" t="s">
        <v>724</v>
      </c>
      <c r="M80" s="135" t="s">
        <v>725</v>
      </c>
      <c r="N80" s="135" t="s">
        <v>51</v>
      </c>
      <c r="O80" s="135" t="s">
        <v>726</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727</v>
      </c>
      <c r="B81" s="135" t="s">
        <v>447</v>
      </c>
      <c r="C81" s="135" t="s">
        <v>719</v>
      </c>
      <c r="D81" s="135" t="s">
        <v>728</v>
      </c>
      <c r="E81" s="135" t="s">
        <v>4</v>
      </c>
      <c r="F81" s="135" t="s">
        <v>721</v>
      </c>
      <c r="G81" s="135" t="s">
        <v>4</v>
      </c>
      <c r="H81" s="135" t="s">
        <v>4</v>
      </c>
      <c r="I81" s="135" t="s">
        <v>729</v>
      </c>
      <c r="J81" s="135" t="s">
        <v>486</v>
      </c>
      <c r="K81" s="135" t="s">
        <v>92</v>
      </c>
      <c r="L81" s="135" t="s">
        <v>730</v>
      </c>
      <c r="M81" s="135" t="s">
        <v>731</v>
      </c>
      <c r="N81" s="135" t="s">
        <v>51</v>
      </c>
      <c r="O81" s="135" t="s">
        <v>732</v>
      </c>
      <c r="P81" s="135" t="s">
        <v>733</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734</v>
      </c>
      <c r="B82" s="135" t="s">
        <v>447</v>
      </c>
      <c r="C82" s="135" t="s">
        <v>735</v>
      </c>
      <c r="D82" s="135" t="s">
        <v>736</v>
      </c>
      <c r="E82" s="135" t="s">
        <v>737</v>
      </c>
      <c r="F82" s="135" t="s">
        <v>738</v>
      </c>
      <c r="G82" s="135" t="s">
        <v>452</v>
      </c>
      <c r="H82" s="135" t="s">
        <v>739</v>
      </c>
      <c r="I82" s="135" t="s">
        <v>740</v>
      </c>
      <c r="J82" s="135" t="s">
        <v>486</v>
      </c>
      <c r="K82" s="135" t="s">
        <v>741</v>
      </c>
      <c r="L82" s="135" t="s">
        <v>742</v>
      </c>
      <c r="M82" s="135" t="s">
        <v>743</v>
      </c>
      <c r="N82" s="135" t="s">
        <v>51</v>
      </c>
      <c r="O82" s="135" t="s">
        <v>744</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745</v>
      </c>
      <c r="B83" s="135" t="s">
        <v>447</v>
      </c>
      <c r="C83" s="135" t="s">
        <v>735</v>
      </c>
      <c r="D83" s="135" t="s">
        <v>746</v>
      </c>
      <c r="E83" s="135" t="s">
        <v>4</v>
      </c>
      <c r="F83" s="135" t="s">
        <v>747</v>
      </c>
      <c r="G83" s="135" t="s">
        <v>748</v>
      </c>
      <c r="H83" s="135" t="s">
        <v>749</v>
      </c>
      <c r="I83" s="135" t="s">
        <v>750</v>
      </c>
      <c r="J83" s="135" t="s">
        <v>486</v>
      </c>
      <c r="K83" s="135" t="s">
        <v>741</v>
      </c>
      <c r="L83" s="135" t="s">
        <v>751</v>
      </c>
      <c r="M83" s="135" t="s">
        <v>752</v>
      </c>
      <c r="N83" s="135" t="s">
        <v>51</v>
      </c>
      <c r="O83" s="135" t="s">
        <v>753</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754</v>
      </c>
      <c r="B84" s="135" t="s">
        <v>447</v>
      </c>
      <c r="C84" s="135" t="s">
        <v>755</v>
      </c>
      <c r="D84" s="135" t="s">
        <v>756</v>
      </c>
      <c r="E84" s="135" t="s">
        <v>4</v>
      </c>
      <c r="F84" s="135" t="s">
        <v>757</v>
      </c>
      <c r="G84" s="135" t="s">
        <v>4</v>
      </c>
      <c r="H84" s="135" t="s">
        <v>758</v>
      </c>
      <c r="I84" s="135" t="s">
        <v>759</v>
      </c>
      <c r="J84" s="135" t="s">
        <v>486</v>
      </c>
      <c r="K84" s="135" t="s">
        <v>741</v>
      </c>
      <c r="L84" s="135" t="s">
        <v>760</v>
      </c>
      <c r="M84" s="135" t="s">
        <v>761</v>
      </c>
      <c r="N84" s="135" t="s">
        <v>51</v>
      </c>
      <c r="O84" s="135" t="s">
        <v>762</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763</v>
      </c>
      <c r="B85" s="135" t="s">
        <v>447</v>
      </c>
      <c r="C85" s="135" t="s">
        <v>735</v>
      </c>
      <c r="D85" s="135" t="s">
        <v>764</v>
      </c>
      <c r="E85" s="135" t="s">
        <v>765</v>
      </c>
      <c r="F85" s="135" t="s">
        <v>4</v>
      </c>
      <c r="G85" s="135" t="s">
        <v>4</v>
      </c>
      <c r="H85" s="135" t="s">
        <v>4</v>
      </c>
      <c r="I85" s="135" t="s">
        <v>766</v>
      </c>
      <c r="J85" s="135" t="s">
        <v>486</v>
      </c>
      <c r="K85" s="135" t="s">
        <v>741</v>
      </c>
      <c r="L85" s="135" t="s">
        <v>767</v>
      </c>
      <c r="M85" s="135" t="s">
        <v>768</v>
      </c>
      <c r="N85" s="135" t="s">
        <v>51</v>
      </c>
      <c r="O85" s="135" t="s">
        <v>769</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770</v>
      </c>
      <c r="B86" s="135" t="s">
        <v>447</v>
      </c>
      <c r="C86" s="135" t="s">
        <v>771</v>
      </c>
      <c r="D86" s="135" t="s">
        <v>772</v>
      </c>
      <c r="E86" s="135" t="s">
        <v>773</v>
      </c>
      <c r="F86" s="135" t="s">
        <v>774</v>
      </c>
      <c r="G86" s="135" t="s">
        <v>775</v>
      </c>
      <c r="H86" s="135" t="s">
        <v>776</v>
      </c>
      <c r="I86" s="135" t="s">
        <v>777</v>
      </c>
      <c r="J86" s="135" t="s">
        <v>486</v>
      </c>
      <c r="K86" s="135" t="s">
        <v>741</v>
      </c>
      <c r="L86" s="135" t="s">
        <v>778</v>
      </c>
      <c r="M86" s="135" t="s">
        <v>779</v>
      </c>
      <c r="N86" s="135" t="s">
        <v>51</v>
      </c>
      <c r="O86" s="135" t="s">
        <v>780</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781</v>
      </c>
      <c r="B87" s="135" t="s">
        <v>447</v>
      </c>
      <c r="C87" s="135" t="s">
        <v>782</v>
      </c>
      <c r="D87" s="135" t="s">
        <v>783</v>
      </c>
      <c r="E87" s="135" t="s">
        <v>784</v>
      </c>
      <c r="F87" s="135" t="s">
        <v>785</v>
      </c>
      <c r="G87" s="135" t="s">
        <v>786</v>
      </c>
      <c r="H87" s="135" t="s">
        <v>787</v>
      </c>
      <c r="I87" s="135" t="s">
        <v>788</v>
      </c>
      <c r="J87" s="135" t="s">
        <v>789</v>
      </c>
      <c r="K87" s="135" t="s">
        <v>790</v>
      </c>
      <c r="L87" s="135" t="s">
        <v>791</v>
      </c>
      <c r="M87" s="135" t="s">
        <v>792</v>
      </c>
      <c r="N87" s="135" t="s">
        <v>51</v>
      </c>
      <c r="O87" s="135" t="s">
        <v>793</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794</v>
      </c>
      <c r="B88" s="135" t="s">
        <v>447</v>
      </c>
      <c r="C88" s="135" t="s">
        <v>795</v>
      </c>
      <c r="D88" s="135" t="s">
        <v>796</v>
      </c>
      <c r="E88" s="135" t="s">
        <v>4</v>
      </c>
      <c r="F88" s="135" t="s">
        <v>4</v>
      </c>
      <c r="G88" s="135" t="s">
        <v>797</v>
      </c>
      <c r="H88" s="135" t="s">
        <v>798</v>
      </c>
      <c r="I88" s="135" t="s">
        <v>799</v>
      </c>
      <c r="J88" s="135" t="s">
        <v>486</v>
      </c>
      <c r="K88" s="135" t="s">
        <v>790</v>
      </c>
      <c r="L88" s="135" t="s">
        <v>800</v>
      </c>
      <c r="M88" s="135" t="s">
        <v>801</v>
      </c>
      <c r="N88" s="135" t="s">
        <v>51</v>
      </c>
      <c r="O88" s="135" t="s">
        <v>802</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803</v>
      </c>
      <c r="B89" s="135" t="s">
        <v>447</v>
      </c>
      <c r="C89" s="135" t="s">
        <v>804</v>
      </c>
      <c r="D89" s="135" t="s">
        <v>805</v>
      </c>
      <c r="E89" s="135" t="s">
        <v>806</v>
      </c>
      <c r="F89" s="135" t="s">
        <v>807</v>
      </c>
      <c r="G89" s="135" t="s">
        <v>808</v>
      </c>
      <c r="H89" s="135" t="s">
        <v>809</v>
      </c>
      <c r="I89" s="135" t="s">
        <v>810</v>
      </c>
      <c r="J89" s="135" t="s">
        <v>486</v>
      </c>
      <c r="K89" s="135" t="s">
        <v>790</v>
      </c>
      <c r="L89" s="135" t="s">
        <v>811</v>
      </c>
      <c r="M89" s="135" t="s">
        <v>812</v>
      </c>
      <c r="N89" s="135" t="s">
        <v>51</v>
      </c>
      <c r="O89" s="135" t="s">
        <v>813</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814</v>
      </c>
      <c r="B90" s="135" t="s">
        <v>447</v>
      </c>
      <c r="C90" s="135" t="s">
        <v>815</v>
      </c>
      <c r="D90" s="135" t="s">
        <v>816</v>
      </c>
      <c r="E90" s="135" t="s">
        <v>817</v>
      </c>
      <c r="F90" s="135" t="s">
        <v>818</v>
      </c>
      <c r="G90" s="135" t="s">
        <v>819</v>
      </c>
      <c r="H90" s="135" t="s">
        <v>820</v>
      </c>
      <c r="I90" s="135" t="s">
        <v>821</v>
      </c>
      <c r="J90" s="135" t="s">
        <v>486</v>
      </c>
      <c r="K90" s="135" t="s">
        <v>487</v>
      </c>
      <c r="L90" s="135" t="s">
        <v>822</v>
      </c>
      <c r="M90" s="135" t="s">
        <v>823</v>
      </c>
      <c r="N90" s="135" t="s">
        <v>51</v>
      </c>
      <c r="O90" s="135" t="s">
        <v>824</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825</v>
      </c>
      <c r="B91" s="135" t="s">
        <v>447</v>
      </c>
      <c r="C91" s="135" t="s">
        <v>826</v>
      </c>
      <c r="D91" s="135" t="s">
        <v>827</v>
      </c>
      <c r="E91" s="135" t="s">
        <v>4</v>
      </c>
      <c r="F91" s="135" t="s">
        <v>828</v>
      </c>
      <c r="G91" s="135" t="s">
        <v>4</v>
      </c>
      <c r="H91" s="135" t="s">
        <v>829</v>
      </c>
      <c r="I91" s="135" t="s">
        <v>830</v>
      </c>
      <c r="J91" s="135" t="s">
        <v>486</v>
      </c>
      <c r="K91" s="135" t="s">
        <v>487</v>
      </c>
      <c r="L91" s="135" t="s">
        <v>831</v>
      </c>
      <c r="M91" s="135" t="s">
        <v>832</v>
      </c>
      <c r="N91" s="135" t="s">
        <v>51</v>
      </c>
      <c r="O91" s="135" t="s">
        <v>833</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834</v>
      </c>
      <c r="B92" s="135" t="s">
        <v>447</v>
      </c>
      <c r="C92" s="135" t="s">
        <v>835</v>
      </c>
      <c r="D92" s="135" t="s">
        <v>836</v>
      </c>
      <c r="E92" s="135" t="s">
        <v>4</v>
      </c>
      <c r="F92" s="135" t="s">
        <v>837</v>
      </c>
      <c r="G92" s="135" t="s">
        <v>4</v>
      </c>
      <c r="H92" s="135" t="s">
        <v>838</v>
      </c>
      <c r="I92" s="135" t="s">
        <v>839</v>
      </c>
      <c r="J92" s="135" t="s">
        <v>486</v>
      </c>
      <c r="K92" s="135" t="s">
        <v>741</v>
      </c>
      <c r="L92" s="135" t="s">
        <v>840</v>
      </c>
      <c r="M92" s="135" t="s">
        <v>841</v>
      </c>
      <c r="N92" s="135" t="s">
        <v>51</v>
      </c>
      <c r="O92" s="135" t="s">
        <v>842</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843</v>
      </c>
      <c r="B93" s="135" t="s">
        <v>844</v>
      </c>
      <c r="C93" s="135" t="s">
        <v>845</v>
      </c>
      <c r="D93" s="135" t="s">
        <v>846</v>
      </c>
      <c r="E93" s="135" t="s">
        <v>847</v>
      </c>
      <c r="F93" s="135" t="s">
        <v>848</v>
      </c>
      <c r="G93" s="135" t="s">
        <v>849</v>
      </c>
      <c r="H93" s="135" t="s">
        <v>850</v>
      </c>
      <c r="I93" s="135" t="s">
        <v>851</v>
      </c>
      <c r="J93" s="135" t="s">
        <v>486</v>
      </c>
      <c r="K93" s="135" t="s">
        <v>487</v>
      </c>
      <c r="L93" s="135" t="s">
        <v>852</v>
      </c>
      <c r="M93" s="135" t="s">
        <v>853</v>
      </c>
      <c r="N93" s="135" t="s">
        <v>51</v>
      </c>
      <c r="O93" s="135" t="s">
        <v>854</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855</v>
      </c>
      <c r="B94" s="135" t="s">
        <v>447</v>
      </c>
      <c r="C94" s="135" t="s">
        <v>856</v>
      </c>
      <c r="D94" s="135" t="s">
        <v>857</v>
      </c>
      <c r="E94" s="135" t="s">
        <v>4</v>
      </c>
      <c r="F94" s="135" t="s">
        <v>858</v>
      </c>
      <c r="G94" s="135" t="s">
        <v>4</v>
      </c>
      <c r="H94" s="135" t="s">
        <v>859</v>
      </c>
      <c r="I94" s="135" t="s">
        <v>860</v>
      </c>
      <c r="J94" s="135" t="s">
        <v>486</v>
      </c>
      <c r="K94" s="135" t="s">
        <v>741</v>
      </c>
      <c r="L94" s="135" t="s">
        <v>861</v>
      </c>
      <c r="M94" s="135" t="s">
        <v>862</v>
      </c>
      <c r="N94" s="135" t="s">
        <v>51</v>
      </c>
      <c r="O94" s="135" t="s">
        <v>863</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864</v>
      </c>
      <c r="B95" s="135" t="s">
        <v>844</v>
      </c>
      <c r="C95" s="135" t="s">
        <v>865</v>
      </c>
      <c r="D95" s="135" t="s">
        <v>866</v>
      </c>
      <c r="E95" s="135" t="s">
        <v>4</v>
      </c>
      <c r="F95" s="135" t="s">
        <v>867</v>
      </c>
      <c r="G95" s="135" t="s">
        <v>4</v>
      </c>
      <c r="H95" s="135" t="s">
        <v>868</v>
      </c>
      <c r="I95" s="135" t="s">
        <v>869</v>
      </c>
      <c r="J95" s="135" t="s">
        <v>486</v>
      </c>
      <c r="K95" s="135" t="s">
        <v>741</v>
      </c>
      <c r="L95" s="135" t="s">
        <v>870</v>
      </c>
      <c r="M95" s="135" t="s">
        <v>871</v>
      </c>
      <c r="N95" s="135" t="s">
        <v>51</v>
      </c>
      <c r="O95" s="135" t="s">
        <v>872</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873</v>
      </c>
      <c r="B96" s="146" t="s">
        <v>844</v>
      </c>
      <c r="C96" s="146" t="s">
        <v>874</v>
      </c>
      <c r="D96" s="146" t="s">
        <v>875</v>
      </c>
      <c r="E96" s="146" t="s">
        <v>4</v>
      </c>
      <c r="F96" s="146" t="s">
        <v>876</v>
      </c>
      <c r="G96" s="146" t="s">
        <v>4</v>
      </c>
      <c r="H96" s="146" t="s">
        <v>877</v>
      </c>
      <c r="I96" s="146" t="s">
        <v>878</v>
      </c>
      <c r="J96" s="146" t="s">
        <v>51</v>
      </c>
      <c r="K96" s="146" t="s">
        <v>741</v>
      </c>
      <c r="L96" s="146" t="s">
        <v>879</v>
      </c>
      <c r="M96" s="146" t="s">
        <v>880</v>
      </c>
      <c r="N96" s="146" t="s">
        <v>486</v>
      </c>
      <c r="O96" s="146" t="s">
        <v>881</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5" hidden="false" customHeight="false" outlineLevel="0" collapsed="false">
      <c r="A97" s="138" t="s">
        <v>882</v>
      </c>
      <c r="B97" s="138" t="s">
        <v>883</v>
      </c>
      <c r="C97" s="138" t="s">
        <v>884</v>
      </c>
      <c r="D97" s="138" t="s">
        <v>885</v>
      </c>
      <c r="E97" s="138" t="s">
        <v>886</v>
      </c>
      <c r="F97" s="138" t="s">
        <v>887</v>
      </c>
      <c r="G97" s="138" t="s">
        <v>4</v>
      </c>
      <c r="H97" s="138" t="s">
        <v>4</v>
      </c>
      <c r="I97" s="138" t="s">
        <v>888</v>
      </c>
      <c r="J97" s="138" t="s">
        <v>889</v>
      </c>
      <c r="K97" s="138" t="s">
        <v>1</v>
      </c>
      <c r="L97" s="138" t="s">
        <v>890</v>
      </c>
      <c r="M97" s="138" t="s">
        <v>891</v>
      </c>
      <c r="N97" s="138" t="s">
        <v>1</v>
      </c>
      <c r="O97" s="138" t="s">
        <v>892</v>
      </c>
      <c r="P97" s="138"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Not started</v>
      </c>
      <c r="R97" s="146" t="str">
        <f>IF(OR(LEFT(A97,9)="OPERATOR-",LEFT(A97,8)="PAYMENT-",LEFT(A97,7)="DEPLOY-"),"External","Core")</f>
        <v>Core</v>
      </c>
    </row>
    <row r="98" customFormat="false" ht="15" hidden="false" customHeight="false" outlineLevel="0" collapsed="false">
      <c r="A98" s="138" t="s">
        <v>893</v>
      </c>
      <c r="B98" s="138" t="s">
        <v>883</v>
      </c>
      <c r="C98" s="138" t="s">
        <v>894</v>
      </c>
      <c r="D98" s="138" t="s">
        <v>895</v>
      </c>
      <c r="E98" s="138" t="s">
        <v>4</v>
      </c>
      <c r="F98" s="138" t="s">
        <v>896</v>
      </c>
      <c r="G98" s="138" t="s">
        <v>4</v>
      </c>
      <c r="H98" s="138" t="s">
        <v>4</v>
      </c>
      <c r="I98" s="138" t="s">
        <v>897</v>
      </c>
      <c r="J98" s="138" t="s">
        <v>889</v>
      </c>
      <c r="K98" s="138" t="s">
        <v>1</v>
      </c>
      <c r="L98" s="138" t="s">
        <v>898</v>
      </c>
      <c r="M98" s="138" t="s">
        <v>899</v>
      </c>
      <c r="N98" s="138" t="s">
        <v>1</v>
      </c>
      <c r="O98" s="138" t="s">
        <v>900</v>
      </c>
      <c r="P98" s="138"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Not started</v>
      </c>
      <c r="R98" s="146" t="str">
        <f>IF(OR(LEFT(A98,9)="OPERATOR-",LEFT(A98,8)="PAYMENT-",LEFT(A98,7)="DEPLOY-"),"External","Core")</f>
        <v>Core</v>
      </c>
    </row>
    <row r="99" customFormat="false" ht="15" hidden="false" customHeight="false" outlineLevel="0" collapsed="false">
      <c r="A99" s="138" t="s">
        <v>901</v>
      </c>
      <c r="B99" s="138" t="s">
        <v>447</v>
      </c>
      <c r="C99" s="138" t="s">
        <v>902</v>
      </c>
      <c r="D99" s="138" t="s">
        <v>903</v>
      </c>
      <c r="E99" s="138" t="s">
        <v>904</v>
      </c>
      <c r="F99" s="138" t="s">
        <v>905</v>
      </c>
      <c r="G99" s="138" t="s">
        <v>775</v>
      </c>
      <c r="H99" s="138" t="s">
        <v>906</v>
      </c>
      <c r="I99" s="138" t="s">
        <v>907</v>
      </c>
      <c r="J99" s="138" t="s">
        <v>58</v>
      </c>
      <c r="K99" s="138" t="s">
        <v>1</v>
      </c>
      <c r="L99" s="138" t="s">
        <v>553</v>
      </c>
      <c r="M99" s="138" t="s">
        <v>908</v>
      </c>
      <c r="N99" s="138" t="s">
        <v>1</v>
      </c>
      <c r="O99" s="138" t="s">
        <v>909</v>
      </c>
      <c r="P99" s="138"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Not started</v>
      </c>
      <c r="R99" s="146" t="str">
        <f>IF(OR(LEFT(A99,9)="OPERATOR-",LEFT(A99,8)="PAYMENT-",LEFT(A99,7)="DEPLOY-"),"External","Core")</f>
        <v>Core</v>
      </c>
    </row>
    <row r="100" customFormat="false" ht="15" hidden="false" customHeight="false" outlineLevel="0" collapsed="false">
      <c r="A100" s="138" t="s">
        <v>910</v>
      </c>
      <c r="B100" s="138" t="s">
        <v>447</v>
      </c>
      <c r="C100" s="138" t="s">
        <v>902</v>
      </c>
      <c r="D100" s="138" t="s">
        <v>911</v>
      </c>
      <c r="E100" s="138" t="s">
        <v>506</v>
      </c>
      <c r="F100" s="138" t="s">
        <v>912</v>
      </c>
      <c r="G100" s="138" t="s">
        <v>913</v>
      </c>
      <c r="H100" s="138" t="s">
        <v>914</v>
      </c>
      <c r="I100" s="138" t="s">
        <v>915</v>
      </c>
      <c r="J100" s="138" t="s">
        <v>58</v>
      </c>
      <c r="K100" s="138" t="s">
        <v>1</v>
      </c>
      <c r="L100" s="138" t="s">
        <v>916</v>
      </c>
      <c r="M100" s="138" t="s">
        <v>917</v>
      </c>
      <c r="N100" s="138" t="s">
        <v>1</v>
      </c>
      <c r="O100" s="138" t="s">
        <v>918</v>
      </c>
      <c r="P100" s="138"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Not started</v>
      </c>
      <c r="R100" s="146" t="str">
        <f>IF(OR(LEFT(A100,9)="OPERATOR-",LEFT(A100,8)="PAYMENT-",LEFT(A100,7)="DEPLOY-"),"External","Core")</f>
        <v>Core</v>
      </c>
    </row>
    <row r="101" customFormat="false" ht="15" hidden="false" customHeight="false" outlineLevel="0" collapsed="false">
      <c r="A101" s="138" t="s">
        <v>919</v>
      </c>
      <c r="B101" s="138" t="s">
        <v>447</v>
      </c>
      <c r="C101" s="138" t="s">
        <v>902</v>
      </c>
      <c r="D101" s="138" t="s">
        <v>920</v>
      </c>
      <c r="E101" s="138" t="s">
        <v>921</v>
      </c>
      <c r="F101" s="138" t="s">
        <v>922</v>
      </c>
      <c r="G101" s="138" t="s">
        <v>923</v>
      </c>
      <c r="H101" s="138" t="s">
        <v>924</v>
      </c>
      <c r="I101" s="138" t="s">
        <v>925</v>
      </c>
      <c r="J101" s="138" t="s">
        <v>58</v>
      </c>
      <c r="K101" s="138" t="s">
        <v>1</v>
      </c>
      <c r="L101" s="138" t="s">
        <v>926</v>
      </c>
      <c r="M101" s="138" t="s">
        <v>927</v>
      </c>
      <c r="N101" s="138" t="s">
        <v>1</v>
      </c>
      <c r="O101" s="138" t="s">
        <v>928</v>
      </c>
      <c r="P101" s="138"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Not started</v>
      </c>
      <c r="R101" s="146" t="str">
        <f>IF(OR(LEFT(A101,9)="OPERATOR-",LEFT(A101,8)="PAYMENT-",LEFT(A101,7)="DEPLOY-"),"External","Core")</f>
        <v>Core</v>
      </c>
    </row>
    <row r="102" customFormat="false" ht="15" hidden="false" customHeight="false" outlineLevel="0" collapsed="false">
      <c r="A102" s="138" t="s">
        <v>929</v>
      </c>
      <c r="B102" s="138" t="s">
        <v>447</v>
      </c>
      <c r="C102" s="138" t="s">
        <v>930</v>
      </c>
      <c r="D102" s="138" t="s">
        <v>931</v>
      </c>
      <c r="E102" s="138" t="s">
        <v>932</v>
      </c>
      <c r="F102" s="138" t="s">
        <v>933</v>
      </c>
      <c r="G102" s="138" t="s">
        <v>4</v>
      </c>
      <c r="H102" s="138" t="s">
        <v>618</v>
      </c>
      <c r="I102" s="138" t="s">
        <v>934</v>
      </c>
      <c r="J102" s="138" t="s">
        <v>58</v>
      </c>
      <c r="K102" s="138" t="s">
        <v>1</v>
      </c>
      <c r="L102" s="138" t="s">
        <v>935</v>
      </c>
      <c r="M102" s="138" t="s">
        <v>936</v>
      </c>
      <c r="N102" s="138" t="s">
        <v>1</v>
      </c>
      <c r="O102" s="138" t="s">
        <v>937</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938</v>
      </c>
      <c r="B103" s="138" t="s">
        <v>447</v>
      </c>
      <c r="C103" s="138" t="s">
        <v>930</v>
      </c>
      <c r="D103" s="138" t="s">
        <v>939</v>
      </c>
      <c r="E103" s="138" t="s">
        <v>932</v>
      </c>
      <c r="F103" s="138" t="s">
        <v>940</v>
      </c>
      <c r="G103" s="138" t="s">
        <v>4</v>
      </c>
      <c r="H103" s="138" t="s">
        <v>941</v>
      </c>
      <c r="I103" s="138" t="s">
        <v>942</v>
      </c>
      <c r="J103" s="138" t="s">
        <v>58</v>
      </c>
      <c r="K103" s="138" t="s">
        <v>1</v>
      </c>
      <c r="L103" s="138" t="s">
        <v>943</v>
      </c>
      <c r="M103" s="138" t="s">
        <v>944</v>
      </c>
      <c r="N103" s="138" t="s">
        <v>1</v>
      </c>
      <c r="O103" s="138" t="s">
        <v>945</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946</v>
      </c>
      <c r="B104" s="138" t="s">
        <v>447</v>
      </c>
      <c r="C104" s="138" t="s">
        <v>947</v>
      </c>
      <c r="D104" s="138" t="s">
        <v>948</v>
      </c>
      <c r="E104" s="138" t="s">
        <v>949</v>
      </c>
      <c r="F104" s="138" t="s">
        <v>950</v>
      </c>
      <c r="G104" s="138" t="s">
        <v>4</v>
      </c>
      <c r="H104" s="138" t="s">
        <v>951</v>
      </c>
      <c r="I104" s="138" t="s">
        <v>952</v>
      </c>
      <c r="J104" s="138" t="s">
        <v>58</v>
      </c>
      <c r="K104" s="138" t="s">
        <v>1</v>
      </c>
      <c r="L104" s="138" t="s">
        <v>953</v>
      </c>
      <c r="M104" s="138" t="s">
        <v>954</v>
      </c>
      <c r="N104" s="138" t="s">
        <v>1</v>
      </c>
      <c r="O104" s="138" t="s">
        <v>955</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956</v>
      </c>
      <c r="B105" s="243" t="s">
        <v>447</v>
      </c>
      <c r="C105" s="243" t="s">
        <v>957</v>
      </c>
      <c r="D105" s="243" t="s">
        <v>958</v>
      </c>
      <c r="E105" s="243" t="s">
        <v>4</v>
      </c>
      <c r="F105" s="243" t="s">
        <v>959</v>
      </c>
      <c r="G105" s="243" t="s">
        <v>4</v>
      </c>
      <c r="H105" s="243" t="s">
        <v>960</v>
      </c>
      <c r="I105" s="243" t="s">
        <v>961</v>
      </c>
      <c r="J105" s="243" t="s">
        <v>58</v>
      </c>
      <c r="K105" s="243" t="s">
        <v>1</v>
      </c>
      <c r="L105" s="243" t="s">
        <v>962</v>
      </c>
      <c r="M105" s="243" t="s">
        <v>963</v>
      </c>
      <c r="N105" s="243" t="s">
        <v>1</v>
      </c>
      <c r="O105" s="243" t="s">
        <v>964</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965</v>
      </c>
      <c r="B106" s="243" t="s">
        <v>883</v>
      </c>
      <c r="C106" s="243" t="s">
        <v>966</v>
      </c>
      <c r="D106" s="243" t="s">
        <v>967</v>
      </c>
      <c r="E106" s="243" t="s">
        <v>4</v>
      </c>
      <c r="F106" s="243" t="s">
        <v>968</v>
      </c>
      <c r="G106" s="243" t="s">
        <v>4</v>
      </c>
      <c r="H106" s="243" t="s">
        <v>969</v>
      </c>
      <c r="I106" s="243" t="s">
        <v>970</v>
      </c>
      <c r="J106" s="243" t="s">
        <v>971</v>
      </c>
      <c r="K106" s="243" t="s">
        <v>1</v>
      </c>
      <c r="L106" s="243" t="s">
        <v>972</v>
      </c>
      <c r="M106" s="243" t="s">
        <v>973</v>
      </c>
      <c r="N106" s="243" t="s">
        <v>1</v>
      </c>
      <c r="O106" s="243" t="s">
        <v>974</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975</v>
      </c>
      <c r="B107" s="243" t="s">
        <v>883</v>
      </c>
      <c r="C107" s="243" t="s">
        <v>976</v>
      </c>
      <c r="D107" s="243" t="s">
        <v>977</v>
      </c>
      <c r="E107" s="243" t="s">
        <v>4</v>
      </c>
      <c r="F107" s="243" t="s">
        <v>978</v>
      </c>
      <c r="G107" s="243" t="s">
        <v>4</v>
      </c>
      <c r="H107" s="243" t="s">
        <v>4</v>
      </c>
      <c r="I107" s="243" t="s">
        <v>979</v>
      </c>
      <c r="J107" s="243" t="s">
        <v>971</v>
      </c>
      <c r="K107" s="243" t="s">
        <v>1</v>
      </c>
      <c r="L107" s="243" t="s">
        <v>980</v>
      </c>
      <c r="M107" s="243" t="s">
        <v>981</v>
      </c>
      <c r="N107" s="243" t="s">
        <v>1</v>
      </c>
      <c r="O107" s="243" t="s">
        <v>982</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983</v>
      </c>
      <c r="B108" s="138" t="s">
        <v>447</v>
      </c>
      <c r="C108" s="138" t="s">
        <v>984</v>
      </c>
      <c r="D108" s="138" t="s">
        <v>985</v>
      </c>
      <c r="E108" s="138" t="s">
        <v>986</v>
      </c>
      <c r="F108" s="138" t="s">
        <v>987</v>
      </c>
      <c r="G108" s="138" t="s">
        <v>775</v>
      </c>
      <c r="H108" s="138" t="s">
        <v>988</v>
      </c>
      <c r="I108" s="138" t="s">
        <v>989</v>
      </c>
      <c r="J108" s="138" t="s">
        <v>58</v>
      </c>
      <c r="K108" s="138" t="s">
        <v>1</v>
      </c>
      <c r="L108" s="138" t="s">
        <v>990</v>
      </c>
      <c r="M108" s="138" t="s">
        <v>991</v>
      </c>
      <c r="N108" s="138" t="s">
        <v>1</v>
      </c>
      <c r="O108" s="138" t="s">
        <v>992</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993</v>
      </c>
      <c r="B109" s="138" t="s">
        <v>447</v>
      </c>
      <c r="C109" s="138" t="s">
        <v>994</v>
      </c>
      <c r="D109" s="138" t="s">
        <v>995</v>
      </c>
      <c r="E109" s="138" t="s">
        <v>4</v>
      </c>
      <c r="F109" s="138" t="s">
        <v>4</v>
      </c>
      <c r="G109" s="138" t="s">
        <v>4</v>
      </c>
      <c r="H109" s="138" t="s">
        <v>4</v>
      </c>
      <c r="I109" s="138" t="s">
        <v>996</v>
      </c>
      <c r="J109" s="138" t="s">
        <v>58</v>
      </c>
      <c r="K109" s="138" t="s">
        <v>1</v>
      </c>
      <c r="L109" s="138" t="s">
        <v>997</v>
      </c>
      <c r="M109" s="138" t="s">
        <v>998</v>
      </c>
      <c r="N109" s="138" t="s">
        <v>1</v>
      </c>
      <c r="O109" s="138" t="s">
        <v>999</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1000</v>
      </c>
      <c r="B110" s="138" t="s">
        <v>447</v>
      </c>
      <c r="C110" s="138" t="s">
        <v>1001</v>
      </c>
      <c r="D110" s="138" t="s">
        <v>1002</v>
      </c>
      <c r="E110" s="138" t="s">
        <v>1003</v>
      </c>
      <c r="F110" s="138" t="s">
        <v>1004</v>
      </c>
      <c r="G110" s="138" t="s">
        <v>452</v>
      </c>
      <c r="H110" s="138" t="s">
        <v>1005</v>
      </c>
      <c r="I110" s="138" t="s">
        <v>1006</v>
      </c>
      <c r="J110" s="138" t="s">
        <v>58</v>
      </c>
      <c r="K110" s="138" t="s">
        <v>1</v>
      </c>
      <c r="L110" s="138" t="s">
        <v>1007</v>
      </c>
      <c r="M110" s="138" t="s">
        <v>1008</v>
      </c>
      <c r="N110" s="138" t="s">
        <v>1</v>
      </c>
      <c r="O110" s="138" t="s">
        <v>1009</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1010</v>
      </c>
      <c r="B111" s="138" t="s">
        <v>447</v>
      </c>
      <c r="C111" s="138" t="s">
        <v>1011</v>
      </c>
      <c r="D111" s="138" t="s">
        <v>1012</v>
      </c>
      <c r="E111" s="138" t="s">
        <v>1013</v>
      </c>
      <c r="F111" s="138" t="s">
        <v>1014</v>
      </c>
      <c r="G111" s="138" t="s">
        <v>452</v>
      </c>
      <c r="H111" s="138" t="s">
        <v>1015</v>
      </c>
      <c r="I111" s="138" t="s">
        <v>1016</v>
      </c>
      <c r="J111" s="138" t="s">
        <v>58</v>
      </c>
      <c r="K111" s="138" t="s">
        <v>1</v>
      </c>
      <c r="L111" s="138" t="s">
        <v>1017</v>
      </c>
      <c r="M111" s="138" t="s">
        <v>1018</v>
      </c>
      <c r="N111" s="138" t="s">
        <v>1</v>
      </c>
      <c r="O111" s="138" t="s">
        <v>1019</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1020</v>
      </c>
      <c r="B112" s="135" t="s">
        <v>1021</v>
      </c>
      <c r="C112" s="135" t="s">
        <v>448</v>
      </c>
      <c r="D112" s="135" t="s">
        <v>1022</v>
      </c>
      <c r="E112" s="135" t="s">
        <v>4</v>
      </c>
      <c r="F112" s="135" t="s">
        <v>4</v>
      </c>
      <c r="G112" s="135" t="s">
        <v>4</v>
      </c>
      <c r="H112" s="135" t="s">
        <v>4</v>
      </c>
      <c r="I112" s="135" t="s">
        <v>1023</v>
      </c>
      <c r="J112" s="135" t="s">
        <v>1024</v>
      </c>
      <c r="K112" s="135" t="s">
        <v>92</v>
      </c>
      <c r="L112" s="135" t="s">
        <v>1025</v>
      </c>
      <c r="M112" s="135" t="s">
        <v>1026</v>
      </c>
      <c r="N112" s="135" t="s">
        <v>51</v>
      </c>
      <c r="O112" s="135" t="s">
        <v>1027</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1028</v>
      </c>
      <c r="B113" s="135" t="s">
        <v>447</v>
      </c>
      <c r="C113" s="135" t="s">
        <v>1029</v>
      </c>
      <c r="D113" s="135" t="s">
        <v>1030</v>
      </c>
      <c r="E113" s="135" t="s">
        <v>4</v>
      </c>
      <c r="F113" s="135" t="s">
        <v>4</v>
      </c>
      <c r="G113" s="135" t="s">
        <v>4</v>
      </c>
      <c r="H113" s="135" t="s">
        <v>4</v>
      </c>
      <c r="I113" s="135" t="s">
        <v>1031</v>
      </c>
      <c r="J113" s="135" t="s">
        <v>47</v>
      </c>
      <c r="K113" s="135" t="s">
        <v>92</v>
      </c>
      <c r="L113" s="135" t="s">
        <v>1032</v>
      </c>
      <c r="M113" s="135" t="s">
        <v>1033</v>
      </c>
      <c r="N113" s="135" t="s">
        <v>51</v>
      </c>
      <c r="O113" s="135" t="s">
        <v>1034</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1035</v>
      </c>
      <c r="B114" s="135" t="s">
        <v>447</v>
      </c>
      <c r="C114" s="135" t="s">
        <v>1036</v>
      </c>
      <c r="D114" s="135" t="s">
        <v>1037</v>
      </c>
      <c r="E114" s="135" t="s">
        <v>4</v>
      </c>
      <c r="F114" s="135" t="s">
        <v>4</v>
      </c>
      <c r="G114" s="135" t="s">
        <v>4</v>
      </c>
      <c r="H114" s="135" t="s">
        <v>4</v>
      </c>
      <c r="I114" s="135" t="s">
        <v>1038</v>
      </c>
      <c r="J114" s="135" t="s">
        <v>47</v>
      </c>
      <c r="K114" s="135" t="s">
        <v>92</v>
      </c>
      <c r="L114" s="135" t="s">
        <v>1039</v>
      </c>
      <c r="M114" s="135" t="s">
        <v>1040</v>
      </c>
      <c r="N114" s="135" t="s">
        <v>51</v>
      </c>
      <c r="O114" s="135" t="s">
        <v>1041</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1042</v>
      </c>
      <c r="B115" s="136" t="s">
        <v>1043</v>
      </c>
      <c r="C115" s="136" t="s">
        <v>1044</v>
      </c>
      <c r="D115" s="136" t="s">
        <v>1045</v>
      </c>
      <c r="E115" s="136" t="s">
        <v>4</v>
      </c>
      <c r="F115" s="136" t="s">
        <v>4</v>
      </c>
      <c r="G115" s="136" t="s">
        <v>4</v>
      </c>
      <c r="H115" s="136" t="s">
        <v>4</v>
      </c>
      <c r="I115" s="136" t="s">
        <v>1046</v>
      </c>
      <c r="J115" s="136" t="s">
        <v>1047</v>
      </c>
      <c r="K115" s="136" t="s">
        <v>48</v>
      </c>
      <c r="L115" s="136" t="s">
        <v>1048</v>
      </c>
      <c r="M115" s="136" t="s">
        <v>1049</v>
      </c>
      <c r="N115" s="136" t="s">
        <v>1050</v>
      </c>
      <c r="O115" s="136" t="s">
        <v>1051</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1052</v>
      </c>
      <c r="B116" s="243" t="s">
        <v>1053</v>
      </c>
      <c r="C116" s="243" t="s">
        <v>1054</v>
      </c>
      <c r="D116" s="243" t="s">
        <v>1055</v>
      </c>
      <c r="E116" s="243" t="s">
        <v>4</v>
      </c>
      <c r="F116" s="243" t="s">
        <v>1056</v>
      </c>
      <c r="G116" s="243" t="s">
        <v>4</v>
      </c>
      <c r="H116" s="243" t="s">
        <v>4</v>
      </c>
      <c r="I116" s="243" t="s">
        <v>1057</v>
      </c>
      <c r="J116" s="243" t="s">
        <v>1058</v>
      </c>
      <c r="K116" s="243" t="s">
        <v>1</v>
      </c>
      <c r="L116" s="243" t="s">
        <v>1059</v>
      </c>
      <c r="M116" s="243" t="s">
        <v>1060</v>
      </c>
      <c r="N116" s="243" t="s">
        <v>1</v>
      </c>
      <c r="O116" s="243" t="s">
        <v>1061</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1062</v>
      </c>
      <c r="B117" s="243" t="s">
        <v>1053</v>
      </c>
      <c r="C117" s="243" t="s">
        <v>1054</v>
      </c>
      <c r="D117" s="243" t="s">
        <v>1063</v>
      </c>
      <c r="E117" s="243" t="s">
        <v>1064</v>
      </c>
      <c r="F117" s="243" t="s">
        <v>1065</v>
      </c>
      <c r="G117" s="243" t="s">
        <v>4</v>
      </c>
      <c r="H117" s="243" t="s">
        <v>1066</v>
      </c>
      <c r="I117" s="243" t="s">
        <v>1067</v>
      </c>
      <c r="J117" s="243" t="s">
        <v>1058</v>
      </c>
      <c r="K117" s="243" t="s">
        <v>1</v>
      </c>
      <c r="L117" s="243" t="s">
        <v>1068</v>
      </c>
      <c r="M117" s="243" t="s">
        <v>1069</v>
      </c>
      <c r="N117" s="243" t="s">
        <v>1</v>
      </c>
      <c r="O117" s="243" t="s">
        <v>1070</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1071</v>
      </c>
      <c r="B118" s="243" t="s">
        <v>1053</v>
      </c>
      <c r="C118" s="243" t="s">
        <v>1072</v>
      </c>
      <c r="D118" s="243" t="s">
        <v>1073</v>
      </c>
      <c r="E118" s="243" t="s">
        <v>4</v>
      </c>
      <c r="F118" s="243" t="s">
        <v>1074</v>
      </c>
      <c r="G118" s="243" t="s">
        <v>4</v>
      </c>
      <c r="H118" s="243" t="s">
        <v>4</v>
      </c>
      <c r="I118" s="243" t="s">
        <v>1075</v>
      </c>
      <c r="J118" s="243" t="s">
        <v>1058</v>
      </c>
      <c r="K118" s="243" t="s">
        <v>1</v>
      </c>
      <c r="L118" s="243" t="s">
        <v>1076</v>
      </c>
      <c r="M118" s="243" t="s">
        <v>1077</v>
      </c>
      <c r="N118" s="243" t="s">
        <v>1</v>
      </c>
      <c r="O118" s="243" t="s">
        <v>1078</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1079</v>
      </c>
      <c r="B119" s="243" t="s">
        <v>1053</v>
      </c>
      <c r="C119" s="243" t="s">
        <v>1080</v>
      </c>
      <c r="D119" s="243" t="s">
        <v>1081</v>
      </c>
      <c r="E119" s="243" t="s">
        <v>4</v>
      </c>
      <c r="F119" s="243" t="s">
        <v>1082</v>
      </c>
      <c r="G119" s="243" t="s">
        <v>4</v>
      </c>
      <c r="H119" s="243" t="s">
        <v>1083</v>
      </c>
      <c r="I119" s="243" t="s">
        <v>1084</v>
      </c>
      <c r="J119" s="243" t="s">
        <v>1058</v>
      </c>
      <c r="K119" s="243" t="s">
        <v>1</v>
      </c>
      <c r="L119" s="243" t="s">
        <v>1085</v>
      </c>
      <c r="M119" s="243" t="s">
        <v>1086</v>
      </c>
      <c r="N119" s="243" t="s">
        <v>1</v>
      </c>
      <c r="O119" s="243" t="s">
        <v>1087</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1088</v>
      </c>
      <c r="B120" s="243" t="s">
        <v>1053</v>
      </c>
      <c r="C120" s="243" t="s">
        <v>1089</v>
      </c>
      <c r="D120" s="243" t="s">
        <v>1090</v>
      </c>
      <c r="E120" s="243" t="s">
        <v>4</v>
      </c>
      <c r="F120" s="243" t="s">
        <v>1091</v>
      </c>
      <c r="G120" s="243" t="s">
        <v>4</v>
      </c>
      <c r="H120" s="243" t="s">
        <v>1092</v>
      </c>
      <c r="I120" s="243" t="s">
        <v>1093</v>
      </c>
      <c r="J120" s="243" t="s">
        <v>1058</v>
      </c>
      <c r="K120" s="243" t="s">
        <v>1</v>
      </c>
      <c r="L120" s="243" t="s">
        <v>1094</v>
      </c>
      <c r="M120" s="243" t="s">
        <v>1095</v>
      </c>
      <c r="N120" s="243" t="s">
        <v>1</v>
      </c>
      <c r="O120" s="243" t="s">
        <v>1096</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1097</v>
      </c>
      <c r="B121" s="243" t="s">
        <v>1053</v>
      </c>
      <c r="C121" s="243" t="s">
        <v>1054</v>
      </c>
      <c r="D121" s="243" t="s">
        <v>1098</v>
      </c>
      <c r="E121" s="243" t="s">
        <v>1064</v>
      </c>
      <c r="F121" s="243" t="s">
        <v>1099</v>
      </c>
      <c r="G121" s="243" t="s">
        <v>4</v>
      </c>
      <c r="H121" s="243" t="s">
        <v>1066</v>
      </c>
      <c r="I121" s="243" t="s">
        <v>1100</v>
      </c>
      <c r="J121" s="243" t="s">
        <v>1058</v>
      </c>
      <c r="K121" s="243" t="s">
        <v>1</v>
      </c>
      <c r="L121" s="243" t="s">
        <v>1101</v>
      </c>
      <c r="M121" s="243" t="s">
        <v>1102</v>
      </c>
      <c r="N121" s="243" t="s">
        <v>1</v>
      </c>
      <c r="O121" s="243" t="s">
        <v>1103</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1104</v>
      </c>
      <c r="B122" s="243" t="s">
        <v>1053</v>
      </c>
      <c r="C122" s="243" t="s">
        <v>1105</v>
      </c>
      <c r="D122" s="243" t="s">
        <v>1106</v>
      </c>
      <c r="E122" s="243" t="s">
        <v>4</v>
      </c>
      <c r="F122" s="243" t="s">
        <v>1107</v>
      </c>
      <c r="G122" s="243" t="s">
        <v>4</v>
      </c>
      <c r="H122" s="243" t="s">
        <v>1108</v>
      </c>
      <c r="I122" s="243" t="s">
        <v>1109</v>
      </c>
      <c r="J122" s="243" t="s">
        <v>1058</v>
      </c>
      <c r="K122" s="243" t="s">
        <v>1</v>
      </c>
      <c r="L122" s="243" t="s">
        <v>1110</v>
      </c>
      <c r="M122" s="243" t="s">
        <v>1111</v>
      </c>
      <c r="N122" s="243" t="s">
        <v>1</v>
      </c>
      <c r="O122" s="243" t="s">
        <v>1112</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1113</v>
      </c>
      <c r="B123" s="243" t="s">
        <v>1114</v>
      </c>
      <c r="C123" s="243" t="s">
        <v>1115</v>
      </c>
      <c r="D123" s="243" t="s">
        <v>1116</v>
      </c>
      <c r="E123" s="243" t="s">
        <v>1117</v>
      </c>
      <c r="F123" s="243" t="s">
        <v>1118</v>
      </c>
      <c r="G123" s="243" t="s">
        <v>4</v>
      </c>
      <c r="H123" s="243" t="s">
        <v>1119</v>
      </c>
      <c r="I123" s="243" t="s">
        <v>1120</v>
      </c>
      <c r="J123" s="243" t="s">
        <v>1058</v>
      </c>
      <c r="K123" s="243" t="s">
        <v>1</v>
      </c>
      <c r="L123" s="243" t="s">
        <v>1121</v>
      </c>
      <c r="M123" s="243" t="s">
        <v>1122</v>
      </c>
      <c r="N123" s="243" t="s">
        <v>1</v>
      </c>
      <c r="O123" s="243" t="s">
        <v>1123</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1124</v>
      </c>
      <c r="B124" s="243" t="s">
        <v>1114</v>
      </c>
      <c r="C124" s="243" t="s">
        <v>1125</v>
      </c>
      <c r="D124" s="243" t="s">
        <v>1126</v>
      </c>
      <c r="E124" s="243" t="s">
        <v>4</v>
      </c>
      <c r="F124" s="243" t="s">
        <v>1127</v>
      </c>
      <c r="G124" s="243" t="s">
        <v>4</v>
      </c>
      <c r="H124" s="243" t="s">
        <v>1128</v>
      </c>
      <c r="I124" s="243" t="s">
        <v>1129</v>
      </c>
      <c r="J124" s="243" t="s">
        <v>1058</v>
      </c>
      <c r="K124" s="243" t="s">
        <v>1</v>
      </c>
      <c r="L124" s="243" t="s">
        <v>1130</v>
      </c>
      <c r="M124" s="243" t="s">
        <v>1131</v>
      </c>
      <c r="N124" s="243" t="s">
        <v>1</v>
      </c>
      <c r="O124" s="243" t="s">
        <v>1132</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1133</v>
      </c>
      <c r="B125" s="243" t="s">
        <v>1114</v>
      </c>
      <c r="C125" s="243" t="s">
        <v>1125</v>
      </c>
      <c r="D125" s="243" t="s">
        <v>1134</v>
      </c>
      <c r="E125" s="243" t="s">
        <v>4</v>
      </c>
      <c r="F125" s="243" t="s">
        <v>1135</v>
      </c>
      <c r="G125" s="243" t="s">
        <v>4</v>
      </c>
      <c r="H125" s="243" t="s">
        <v>1136</v>
      </c>
      <c r="I125" s="243" t="s">
        <v>1137</v>
      </c>
      <c r="J125" s="243" t="s">
        <v>1058</v>
      </c>
      <c r="K125" s="243" t="s">
        <v>1</v>
      </c>
      <c r="L125" s="243" t="s">
        <v>1138</v>
      </c>
      <c r="M125" s="243" t="s">
        <v>1139</v>
      </c>
      <c r="N125" s="243" t="s">
        <v>1</v>
      </c>
      <c r="O125" s="243" t="s">
        <v>1140</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1141</v>
      </c>
      <c r="B126" s="243" t="s">
        <v>1114</v>
      </c>
      <c r="C126" s="243" t="s">
        <v>1142</v>
      </c>
      <c r="D126" s="243" t="s">
        <v>1143</v>
      </c>
      <c r="E126" s="243" t="s">
        <v>1144</v>
      </c>
      <c r="F126" s="243" t="s">
        <v>1145</v>
      </c>
      <c r="G126" s="243" t="s">
        <v>4</v>
      </c>
      <c r="H126" s="243" t="s">
        <v>1146</v>
      </c>
      <c r="I126" s="243" t="s">
        <v>1147</v>
      </c>
      <c r="J126" s="243" t="s">
        <v>1148</v>
      </c>
      <c r="K126" s="243" t="s">
        <v>1</v>
      </c>
      <c r="L126" s="243" t="s">
        <v>1149</v>
      </c>
      <c r="M126" s="243" t="s">
        <v>1150</v>
      </c>
      <c r="N126" s="243" t="s">
        <v>1</v>
      </c>
      <c r="O126" s="243" t="s">
        <v>1151</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1152</v>
      </c>
      <c r="B127" s="243" t="s">
        <v>1114</v>
      </c>
      <c r="C127" s="243" t="s">
        <v>1153</v>
      </c>
      <c r="D127" s="243" t="s">
        <v>1154</v>
      </c>
      <c r="E127" s="243" t="s">
        <v>4</v>
      </c>
      <c r="F127" s="243" t="s">
        <v>1155</v>
      </c>
      <c r="G127" s="243" t="s">
        <v>4</v>
      </c>
      <c r="H127" s="243" t="s">
        <v>1156</v>
      </c>
      <c r="I127" s="243" t="s">
        <v>1157</v>
      </c>
      <c r="J127" s="243" t="s">
        <v>1148</v>
      </c>
      <c r="K127" s="243" t="s">
        <v>1</v>
      </c>
      <c r="L127" s="243" t="s">
        <v>1158</v>
      </c>
      <c r="M127" s="243" t="s">
        <v>1159</v>
      </c>
      <c r="N127" s="243" t="s">
        <v>1</v>
      </c>
      <c r="O127" s="243" t="s">
        <v>1160</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1161</v>
      </c>
      <c r="B128" s="243" t="s">
        <v>1114</v>
      </c>
      <c r="C128" s="243" t="s">
        <v>1115</v>
      </c>
      <c r="D128" s="243" t="s">
        <v>1162</v>
      </c>
      <c r="E128" s="243" t="s">
        <v>1163</v>
      </c>
      <c r="F128" s="243" t="s">
        <v>1164</v>
      </c>
      <c r="G128" s="243" t="s">
        <v>4</v>
      </c>
      <c r="H128" s="243" t="s">
        <v>1165</v>
      </c>
      <c r="I128" s="243" t="s">
        <v>1166</v>
      </c>
      <c r="J128" s="243" t="s">
        <v>889</v>
      </c>
      <c r="K128" s="243" t="s">
        <v>1</v>
      </c>
      <c r="L128" s="243" t="s">
        <v>1167</v>
      </c>
      <c r="M128" s="243" t="s">
        <v>1168</v>
      </c>
      <c r="N128" s="243" t="s">
        <v>1</v>
      </c>
      <c r="O128" s="243" t="s">
        <v>1169</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1170</v>
      </c>
      <c r="B129" s="243" t="s">
        <v>1114</v>
      </c>
      <c r="C129" s="243" t="s">
        <v>1171</v>
      </c>
      <c r="D129" s="243" t="s">
        <v>1172</v>
      </c>
      <c r="E129" s="243" t="s">
        <v>4</v>
      </c>
      <c r="F129" s="243" t="s">
        <v>1173</v>
      </c>
      <c r="G129" s="243" t="s">
        <v>4</v>
      </c>
      <c r="H129" s="243" t="s">
        <v>4</v>
      </c>
      <c r="I129" s="243" t="s">
        <v>1174</v>
      </c>
      <c r="J129" s="243" t="s">
        <v>1058</v>
      </c>
      <c r="K129" s="243" t="s">
        <v>1</v>
      </c>
      <c r="L129" s="243" t="s">
        <v>1175</v>
      </c>
      <c r="M129" s="243" t="s">
        <v>1176</v>
      </c>
      <c r="N129" s="243" t="s">
        <v>1</v>
      </c>
      <c r="O129" s="243" t="s">
        <v>1177</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1178</v>
      </c>
      <c r="B130" s="243" t="s">
        <v>1114</v>
      </c>
      <c r="C130" s="243" t="s">
        <v>1179</v>
      </c>
      <c r="D130" s="243" t="s">
        <v>1180</v>
      </c>
      <c r="E130" s="243" t="s">
        <v>4</v>
      </c>
      <c r="F130" s="243" t="s">
        <v>1181</v>
      </c>
      <c r="G130" s="243" t="s">
        <v>4</v>
      </c>
      <c r="H130" s="243" t="s">
        <v>4</v>
      </c>
      <c r="I130" s="243" t="s">
        <v>1182</v>
      </c>
      <c r="J130" s="243" t="s">
        <v>1058</v>
      </c>
      <c r="K130" s="243" t="s">
        <v>1</v>
      </c>
      <c r="L130" s="243" t="s">
        <v>1183</v>
      </c>
      <c r="M130" s="243" t="s">
        <v>1184</v>
      </c>
      <c r="N130" s="243" t="s">
        <v>1</v>
      </c>
      <c r="O130" s="243" t="s">
        <v>1185</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1186</v>
      </c>
      <c r="B131" s="243" t="s">
        <v>1114</v>
      </c>
      <c r="C131" s="243" t="s">
        <v>1187</v>
      </c>
      <c r="D131" s="243" t="s">
        <v>1188</v>
      </c>
      <c r="E131" s="243" t="s">
        <v>4</v>
      </c>
      <c r="F131" s="243" t="s">
        <v>1189</v>
      </c>
      <c r="G131" s="243" t="s">
        <v>4</v>
      </c>
      <c r="H131" s="243" t="s">
        <v>1190</v>
      </c>
      <c r="I131" s="243" t="s">
        <v>1191</v>
      </c>
      <c r="J131" s="243" t="s">
        <v>1058</v>
      </c>
      <c r="K131" s="243" t="s">
        <v>1</v>
      </c>
      <c r="L131" s="243" t="s">
        <v>1192</v>
      </c>
      <c r="M131" s="243" t="s">
        <v>1193</v>
      </c>
      <c r="N131" s="243" t="s">
        <v>1</v>
      </c>
      <c r="O131" s="243" t="s">
        <v>1194</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1195</v>
      </c>
      <c r="B132" s="135" t="s">
        <v>1196</v>
      </c>
      <c r="C132" s="135" t="s">
        <v>1197</v>
      </c>
      <c r="D132" s="135" t="s">
        <v>1198</v>
      </c>
      <c r="E132" s="135" t="s">
        <v>1199</v>
      </c>
      <c r="F132" s="135" t="s">
        <v>1200</v>
      </c>
      <c r="G132" s="135" t="s">
        <v>1201</v>
      </c>
      <c r="H132" s="135" t="s">
        <v>4</v>
      </c>
      <c r="I132" s="135" t="s">
        <v>1202</v>
      </c>
      <c r="J132" s="135" t="s">
        <v>1203</v>
      </c>
      <c r="K132" s="135" t="s">
        <v>487</v>
      </c>
      <c r="L132" s="135" t="s">
        <v>1204</v>
      </c>
      <c r="M132" s="135" t="s">
        <v>1205</v>
      </c>
      <c r="N132" s="135" t="s">
        <v>51</v>
      </c>
      <c r="O132" s="135" t="s">
        <v>1206</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1207</v>
      </c>
      <c r="B133" s="138" t="s">
        <v>1196</v>
      </c>
      <c r="C133" s="138" t="s">
        <v>1197</v>
      </c>
      <c r="D133" s="138" t="s">
        <v>1208</v>
      </c>
      <c r="E133" s="138" t="s">
        <v>1199</v>
      </c>
      <c r="F133" s="138" t="s">
        <v>1209</v>
      </c>
      <c r="G133" s="138" t="s">
        <v>1201</v>
      </c>
      <c r="H133" s="138" t="s">
        <v>4</v>
      </c>
      <c r="I133" s="138" t="s">
        <v>1210</v>
      </c>
      <c r="J133" s="138" t="s">
        <v>889</v>
      </c>
      <c r="K133" s="138" t="s">
        <v>1</v>
      </c>
      <c r="L133" s="138" t="s">
        <v>1211</v>
      </c>
      <c r="M133" s="138" t="s">
        <v>1212</v>
      </c>
      <c r="N133" s="138" t="s">
        <v>1</v>
      </c>
      <c r="O133" s="138" t="s">
        <v>1213</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1214</v>
      </c>
      <c r="B134" s="135" t="s">
        <v>1196</v>
      </c>
      <c r="C134" s="135" t="s">
        <v>1215</v>
      </c>
      <c r="D134" s="135" t="s">
        <v>1216</v>
      </c>
      <c r="E134" s="135" t="s">
        <v>4</v>
      </c>
      <c r="F134" s="135" t="s">
        <v>1217</v>
      </c>
      <c r="G134" s="135" t="s">
        <v>4</v>
      </c>
      <c r="H134" s="135" t="s">
        <v>4</v>
      </c>
      <c r="I134" s="135" t="s">
        <v>1218</v>
      </c>
      <c r="J134" s="135" t="s">
        <v>1203</v>
      </c>
      <c r="K134" s="135" t="s">
        <v>487</v>
      </c>
      <c r="L134" s="135" t="s">
        <v>1219</v>
      </c>
      <c r="M134" s="135" t="s">
        <v>1220</v>
      </c>
      <c r="N134" s="135" t="s">
        <v>51</v>
      </c>
      <c r="O134" s="135" t="s">
        <v>1221</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0" hidden="false" customHeight="true" outlineLevel="0" collapsed="false">
      <c r="A135" s="135" t="s">
        <v>1222</v>
      </c>
      <c r="B135" s="135" t="s">
        <v>1196</v>
      </c>
      <c r="C135" s="135" t="s">
        <v>1215</v>
      </c>
      <c r="D135" s="135" t="s">
        <v>1223</v>
      </c>
      <c r="E135" s="135" t="s">
        <v>4</v>
      </c>
      <c r="F135" s="135" t="s">
        <v>1224</v>
      </c>
      <c r="G135" s="135" t="s">
        <v>4</v>
      </c>
      <c r="H135" s="135" t="s">
        <v>4</v>
      </c>
      <c r="I135" s="135" t="s">
        <v>1225</v>
      </c>
      <c r="J135" s="135" t="s">
        <v>1203</v>
      </c>
      <c r="K135" s="135" t="s">
        <v>487</v>
      </c>
      <c r="L135" s="135" t="s">
        <v>1226</v>
      </c>
      <c r="M135" s="135" t="s">
        <v>1227</v>
      </c>
      <c r="N135" s="135" t="s">
        <v>51</v>
      </c>
      <c r="O135" s="135" t="s">
        <v>1228</v>
      </c>
      <c r="P135" s="135"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Done</v>
      </c>
      <c r="R135" s="146" t="str">
        <f>IF(OR(LEFT(A135,9)="OPERATOR-",LEFT(A135,8)="PAYMENT-",LEFT(A135,7)="DEPLOY-"),"External","Core")</f>
        <v>Core</v>
      </c>
    </row>
    <row r="136" customFormat="false" ht="15" hidden="false" customHeight="false" outlineLevel="0" collapsed="false">
      <c r="A136" s="243" t="s">
        <v>1229</v>
      </c>
      <c r="B136" s="243" t="s">
        <v>1196</v>
      </c>
      <c r="C136" s="243" t="s">
        <v>1230</v>
      </c>
      <c r="D136" s="243" t="s">
        <v>1231</v>
      </c>
      <c r="E136" s="243" t="s">
        <v>4</v>
      </c>
      <c r="F136" s="243" t="s">
        <v>1232</v>
      </c>
      <c r="G136" s="243" t="s">
        <v>4</v>
      </c>
      <c r="H136" s="243" t="s">
        <v>4</v>
      </c>
      <c r="I136" s="243" t="s">
        <v>1233</v>
      </c>
      <c r="J136" s="243" t="s">
        <v>889</v>
      </c>
      <c r="K136" s="243" t="s">
        <v>1</v>
      </c>
      <c r="L136" s="243" t="s">
        <v>1234</v>
      </c>
      <c r="M136" s="243" t="s">
        <v>1235</v>
      </c>
      <c r="N136" s="243" t="s">
        <v>1</v>
      </c>
      <c r="O136" s="243" t="s">
        <v>1236</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1237</v>
      </c>
      <c r="B137" s="243" t="s">
        <v>1196</v>
      </c>
      <c r="C137" s="243" t="s">
        <v>1238</v>
      </c>
      <c r="D137" s="243" t="s">
        <v>1239</v>
      </c>
      <c r="E137" s="243" t="s">
        <v>4</v>
      </c>
      <c r="F137" s="243" t="s">
        <v>1240</v>
      </c>
      <c r="G137" s="243" t="s">
        <v>4</v>
      </c>
      <c r="H137" s="243" t="s">
        <v>4</v>
      </c>
      <c r="I137" s="243" t="s">
        <v>1241</v>
      </c>
      <c r="J137" s="243" t="s">
        <v>889</v>
      </c>
      <c r="K137" s="243" t="s">
        <v>1</v>
      </c>
      <c r="L137" s="243" t="s">
        <v>1242</v>
      </c>
      <c r="M137" s="243" t="s">
        <v>1243</v>
      </c>
      <c r="N137" s="243" t="s">
        <v>1</v>
      </c>
      <c r="O137" s="243" t="s">
        <v>1244</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1245</v>
      </c>
      <c r="B138" s="243" t="s">
        <v>1196</v>
      </c>
      <c r="C138" s="243" t="s">
        <v>1246</v>
      </c>
      <c r="D138" s="243" t="s">
        <v>1247</v>
      </c>
      <c r="E138" s="243" t="s">
        <v>4</v>
      </c>
      <c r="F138" s="243" t="s">
        <v>1248</v>
      </c>
      <c r="G138" s="243" t="s">
        <v>4</v>
      </c>
      <c r="H138" s="243" t="s">
        <v>4</v>
      </c>
      <c r="I138" s="243" t="s">
        <v>1249</v>
      </c>
      <c r="J138" s="243" t="s">
        <v>889</v>
      </c>
      <c r="K138" s="243" t="s">
        <v>1</v>
      </c>
      <c r="L138" s="243" t="s">
        <v>1250</v>
      </c>
      <c r="M138" s="243" t="s">
        <v>1251</v>
      </c>
      <c r="N138" s="243" t="s">
        <v>1</v>
      </c>
      <c r="O138" s="243" t="s">
        <v>1252</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1253</v>
      </c>
      <c r="B139" s="243" t="s">
        <v>1196</v>
      </c>
      <c r="C139" s="243" t="s">
        <v>1254</v>
      </c>
      <c r="D139" s="243" t="s">
        <v>1255</v>
      </c>
      <c r="E139" s="243" t="s">
        <v>4</v>
      </c>
      <c r="F139" s="243" t="s">
        <v>1256</v>
      </c>
      <c r="G139" s="243" t="s">
        <v>4</v>
      </c>
      <c r="H139" s="243" t="s">
        <v>4</v>
      </c>
      <c r="I139" s="243" t="s">
        <v>1257</v>
      </c>
      <c r="J139" s="243" t="s">
        <v>889</v>
      </c>
      <c r="K139" s="243" t="s">
        <v>1</v>
      </c>
      <c r="L139" s="243" t="s">
        <v>1258</v>
      </c>
      <c r="M139" s="243" t="s">
        <v>1259</v>
      </c>
      <c r="N139" s="243" t="s">
        <v>1</v>
      </c>
      <c r="O139" s="243" t="s">
        <v>1260</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1261</v>
      </c>
      <c r="B140" s="243" t="s">
        <v>1196</v>
      </c>
      <c r="C140" s="243" t="s">
        <v>1254</v>
      </c>
      <c r="D140" s="243" t="s">
        <v>1262</v>
      </c>
      <c r="E140" s="243" t="s">
        <v>4</v>
      </c>
      <c r="F140" s="243" t="s">
        <v>1263</v>
      </c>
      <c r="G140" s="243" t="s">
        <v>4</v>
      </c>
      <c r="H140" s="243" t="s">
        <v>4</v>
      </c>
      <c r="I140" s="243" t="s">
        <v>1264</v>
      </c>
      <c r="J140" s="243" t="s">
        <v>889</v>
      </c>
      <c r="K140" s="243" t="s">
        <v>1</v>
      </c>
      <c r="L140" s="243" t="s">
        <v>1265</v>
      </c>
      <c r="M140" s="243" t="s">
        <v>1266</v>
      </c>
      <c r="N140" s="243" t="s">
        <v>1</v>
      </c>
      <c r="O140" s="243" t="s">
        <v>1267</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1268</v>
      </c>
      <c r="B141" s="243" t="s">
        <v>1269</v>
      </c>
      <c r="C141" s="243" t="s">
        <v>1270</v>
      </c>
      <c r="D141" s="243" t="s">
        <v>1271</v>
      </c>
      <c r="E141" s="243" t="s">
        <v>4</v>
      </c>
      <c r="F141" s="243" t="s">
        <v>1272</v>
      </c>
      <c r="G141" s="243" t="s">
        <v>4</v>
      </c>
      <c r="H141" s="243" t="s">
        <v>1273</v>
      </c>
      <c r="I141" s="243" t="s">
        <v>1274</v>
      </c>
      <c r="J141" s="243" t="s">
        <v>889</v>
      </c>
      <c r="K141" s="243" t="s">
        <v>1</v>
      </c>
      <c r="L141" s="243" t="s">
        <v>1275</v>
      </c>
      <c r="M141" s="243" t="s">
        <v>1276</v>
      </c>
      <c r="N141" s="243" t="s">
        <v>1</v>
      </c>
      <c r="O141" s="243" t="s">
        <v>1277</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1278</v>
      </c>
      <c r="B142" s="243" t="s">
        <v>1269</v>
      </c>
      <c r="C142" s="243" t="s">
        <v>1270</v>
      </c>
      <c r="D142" s="243" t="s">
        <v>1279</v>
      </c>
      <c r="E142" s="243" t="s">
        <v>4</v>
      </c>
      <c r="F142" s="243" t="s">
        <v>1280</v>
      </c>
      <c r="G142" s="243" t="s">
        <v>4</v>
      </c>
      <c r="H142" s="243" t="s">
        <v>1281</v>
      </c>
      <c r="I142" s="243" t="s">
        <v>1282</v>
      </c>
      <c r="J142" s="243" t="s">
        <v>1283</v>
      </c>
      <c r="K142" s="243" t="s">
        <v>1</v>
      </c>
      <c r="L142" s="243" t="s">
        <v>1284</v>
      </c>
      <c r="M142" s="243" t="s">
        <v>1285</v>
      </c>
      <c r="N142" s="243" t="s">
        <v>1</v>
      </c>
      <c r="O142" s="243" t="s">
        <v>1286</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1287</v>
      </c>
      <c r="B143" s="138" t="s">
        <v>1269</v>
      </c>
      <c r="C143" s="138" t="s">
        <v>1288</v>
      </c>
      <c r="D143" s="138" t="s">
        <v>1289</v>
      </c>
      <c r="E143" s="138" t="s">
        <v>1290</v>
      </c>
      <c r="F143" s="138" t="s">
        <v>1291</v>
      </c>
      <c r="G143" s="138" t="s">
        <v>4</v>
      </c>
      <c r="H143" s="138" t="s">
        <v>1292</v>
      </c>
      <c r="I143" s="138" t="s">
        <v>1293</v>
      </c>
      <c r="J143" s="138" t="s">
        <v>1283</v>
      </c>
      <c r="K143" s="138" t="s">
        <v>1</v>
      </c>
      <c r="L143" s="138" t="s">
        <v>1294</v>
      </c>
      <c r="M143" s="138" t="s">
        <v>1295</v>
      </c>
      <c r="N143" s="138" t="s">
        <v>1</v>
      </c>
      <c r="O143" s="138" t="s">
        <v>1296</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1297</v>
      </c>
      <c r="B144" s="138" t="s">
        <v>1269</v>
      </c>
      <c r="C144" s="138" t="s">
        <v>1288</v>
      </c>
      <c r="D144" s="138" t="s">
        <v>1298</v>
      </c>
      <c r="E144" s="138" t="s">
        <v>1290</v>
      </c>
      <c r="F144" s="138" t="s">
        <v>1299</v>
      </c>
      <c r="G144" s="138" t="s">
        <v>4</v>
      </c>
      <c r="H144" s="138" t="s">
        <v>1292</v>
      </c>
      <c r="I144" s="138" t="s">
        <v>1300</v>
      </c>
      <c r="J144" s="138" t="s">
        <v>1283</v>
      </c>
      <c r="K144" s="138" t="s">
        <v>1</v>
      </c>
      <c r="L144" s="138" t="s">
        <v>1301</v>
      </c>
      <c r="M144" s="138" t="s">
        <v>1302</v>
      </c>
      <c r="N144" s="138" t="s">
        <v>1</v>
      </c>
      <c r="O144" s="138" t="s">
        <v>1303</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1304</v>
      </c>
      <c r="B145" s="138" t="s">
        <v>1269</v>
      </c>
      <c r="C145" s="138" t="s">
        <v>1305</v>
      </c>
      <c r="D145" s="138" t="s">
        <v>1306</v>
      </c>
      <c r="E145" s="138" t="s">
        <v>1307</v>
      </c>
      <c r="F145" s="138" t="s">
        <v>1308</v>
      </c>
      <c r="G145" s="138" t="s">
        <v>4</v>
      </c>
      <c r="H145" s="138" t="s">
        <v>4</v>
      </c>
      <c r="I145" s="138" t="s">
        <v>1309</v>
      </c>
      <c r="J145" s="138" t="s">
        <v>1283</v>
      </c>
      <c r="K145" s="138" t="s">
        <v>1</v>
      </c>
      <c r="L145" s="138" t="s">
        <v>1310</v>
      </c>
      <c r="M145" s="138" t="s">
        <v>1311</v>
      </c>
      <c r="N145" s="138" t="s">
        <v>1</v>
      </c>
      <c r="O145" s="138" t="s">
        <v>1312</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1313</v>
      </c>
      <c r="B146" s="138" t="s">
        <v>1269</v>
      </c>
      <c r="C146" s="138" t="s">
        <v>1314</v>
      </c>
      <c r="D146" s="138" t="s">
        <v>1315</v>
      </c>
      <c r="E146" s="138" t="s">
        <v>4</v>
      </c>
      <c r="F146" s="138" t="s">
        <v>1316</v>
      </c>
      <c r="G146" s="138" t="s">
        <v>4</v>
      </c>
      <c r="H146" s="138" t="s">
        <v>1317</v>
      </c>
      <c r="I146" s="138" t="s">
        <v>1318</v>
      </c>
      <c r="J146" s="138" t="s">
        <v>1283</v>
      </c>
      <c r="K146" s="138" t="s">
        <v>1</v>
      </c>
      <c r="L146" s="138" t="s">
        <v>1319</v>
      </c>
      <c r="M146" s="138" t="s">
        <v>1320</v>
      </c>
      <c r="N146" s="138" t="s">
        <v>1</v>
      </c>
      <c r="O146" s="138" t="s">
        <v>1321</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1322</v>
      </c>
      <c r="B147" s="243" t="s">
        <v>1323</v>
      </c>
      <c r="C147" s="243" t="s">
        <v>1324</v>
      </c>
      <c r="D147" s="243" t="s">
        <v>1325</v>
      </c>
      <c r="E147" s="243" t="s">
        <v>4</v>
      </c>
      <c r="F147" s="243" t="s">
        <v>1326</v>
      </c>
      <c r="G147" s="243" t="s">
        <v>4</v>
      </c>
      <c r="H147" s="243" t="s">
        <v>4</v>
      </c>
      <c r="I147" s="243" t="s">
        <v>1327</v>
      </c>
      <c r="J147" s="243" t="s">
        <v>889</v>
      </c>
      <c r="K147" s="243" t="s">
        <v>1</v>
      </c>
      <c r="L147" s="243" t="s">
        <v>1328</v>
      </c>
      <c r="M147" s="243" t="s">
        <v>1329</v>
      </c>
      <c r="N147" s="243" t="s">
        <v>1</v>
      </c>
      <c r="O147" s="243" t="s">
        <v>1330</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1331</v>
      </c>
      <c r="B148" s="243" t="s">
        <v>1323</v>
      </c>
      <c r="C148" s="243" t="s">
        <v>1324</v>
      </c>
      <c r="D148" s="243" t="s">
        <v>1332</v>
      </c>
      <c r="E148" s="243" t="s">
        <v>4</v>
      </c>
      <c r="F148" s="243" t="s">
        <v>1333</v>
      </c>
      <c r="G148" s="243" t="s">
        <v>4</v>
      </c>
      <c r="H148" s="243" t="s">
        <v>1334</v>
      </c>
      <c r="I148" s="243" t="s">
        <v>1335</v>
      </c>
      <c r="J148" s="243" t="s">
        <v>889</v>
      </c>
      <c r="K148" s="243" t="s">
        <v>1</v>
      </c>
      <c r="L148" s="243" t="s">
        <v>1336</v>
      </c>
      <c r="M148" s="243" t="s">
        <v>1337</v>
      </c>
      <c r="N148" s="243" t="s">
        <v>1</v>
      </c>
      <c r="O148" s="243" t="s">
        <v>1338</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1339</v>
      </c>
      <c r="B149" s="243" t="s">
        <v>1323</v>
      </c>
      <c r="C149" s="243" t="s">
        <v>1340</v>
      </c>
      <c r="D149" s="243" t="s">
        <v>1341</v>
      </c>
      <c r="E149" s="243" t="s">
        <v>4</v>
      </c>
      <c r="F149" s="243" t="s">
        <v>1342</v>
      </c>
      <c r="G149" s="243" t="s">
        <v>4</v>
      </c>
      <c r="H149" s="243" t="s">
        <v>1343</v>
      </c>
      <c r="I149" s="243" t="s">
        <v>1344</v>
      </c>
      <c r="J149" s="243" t="s">
        <v>889</v>
      </c>
      <c r="K149" s="243" t="s">
        <v>1</v>
      </c>
      <c r="L149" s="243" t="s">
        <v>1345</v>
      </c>
      <c r="M149" s="243" t="s">
        <v>1346</v>
      </c>
      <c r="N149" s="243" t="s">
        <v>1</v>
      </c>
      <c r="O149" s="243" t="s">
        <v>1347</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1348</v>
      </c>
      <c r="B150" s="243" t="s">
        <v>1323</v>
      </c>
      <c r="C150" s="243" t="s">
        <v>1349</v>
      </c>
      <c r="D150" s="243" t="s">
        <v>1350</v>
      </c>
      <c r="E150" s="243" t="s">
        <v>4</v>
      </c>
      <c r="F150" s="243" t="s">
        <v>1351</v>
      </c>
      <c r="G150" s="243" t="s">
        <v>4</v>
      </c>
      <c r="H150" s="243" t="s">
        <v>1352</v>
      </c>
      <c r="I150" s="243" t="s">
        <v>1353</v>
      </c>
      <c r="J150" s="243" t="s">
        <v>889</v>
      </c>
      <c r="K150" s="243" t="s">
        <v>1</v>
      </c>
      <c r="L150" s="243" t="s">
        <v>1354</v>
      </c>
      <c r="M150" s="243" t="s">
        <v>1355</v>
      </c>
      <c r="N150" s="243" t="s">
        <v>1</v>
      </c>
      <c r="O150" s="243" t="s">
        <v>1356</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1357</v>
      </c>
      <c r="B151" s="243" t="s">
        <v>1323</v>
      </c>
      <c r="C151" s="243" t="s">
        <v>1358</v>
      </c>
      <c r="D151" s="243" t="s">
        <v>1359</v>
      </c>
      <c r="E151" s="243" t="s">
        <v>4</v>
      </c>
      <c r="F151" s="243" t="s">
        <v>1360</v>
      </c>
      <c r="G151" s="243" t="s">
        <v>4</v>
      </c>
      <c r="H151" s="243" t="s">
        <v>4</v>
      </c>
      <c r="I151" s="243" t="s">
        <v>1361</v>
      </c>
      <c r="J151" s="243" t="s">
        <v>889</v>
      </c>
      <c r="K151" s="243" t="s">
        <v>1</v>
      </c>
      <c r="L151" s="243" t="s">
        <v>1362</v>
      </c>
      <c r="M151" s="243" t="s">
        <v>1363</v>
      </c>
      <c r="N151" s="243" t="s">
        <v>1</v>
      </c>
      <c r="O151" s="243" t="s">
        <v>1364</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1365</v>
      </c>
      <c r="B152" s="243" t="s">
        <v>1323</v>
      </c>
      <c r="C152" s="243" t="s">
        <v>1366</v>
      </c>
      <c r="D152" s="243" t="s">
        <v>1367</v>
      </c>
      <c r="E152" s="243" t="s">
        <v>4</v>
      </c>
      <c r="F152" s="243" t="s">
        <v>1368</v>
      </c>
      <c r="G152" s="243" t="s">
        <v>4</v>
      </c>
      <c r="H152" s="243" t="s">
        <v>4</v>
      </c>
      <c r="I152" s="243" t="s">
        <v>1369</v>
      </c>
      <c r="J152" s="243" t="s">
        <v>889</v>
      </c>
      <c r="K152" s="243" t="s">
        <v>1</v>
      </c>
      <c r="L152" s="243" t="s">
        <v>1370</v>
      </c>
      <c r="M152" s="243" t="s">
        <v>1371</v>
      </c>
      <c r="N152" s="243" t="s">
        <v>1</v>
      </c>
      <c r="O152" s="243" t="s">
        <v>1372</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1373</v>
      </c>
      <c r="B153" s="243" t="s">
        <v>1323</v>
      </c>
      <c r="C153" s="243" t="s">
        <v>1374</v>
      </c>
      <c r="D153" s="243" t="s">
        <v>1375</v>
      </c>
      <c r="E153" s="243" t="s">
        <v>4</v>
      </c>
      <c r="F153" s="243" t="s">
        <v>1376</v>
      </c>
      <c r="G153" s="243" t="s">
        <v>4</v>
      </c>
      <c r="H153" s="243" t="s">
        <v>1377</v>
      </c>
      <c r="I153" s="243" t="s">
        <v>1378</v>
      </c>
      <c r="J153" s="243" t="s">
        <v>889</v>
      </c>
      <c r="K153" s="243" t="s">
        <v>1</v>
      </c>
      <c r="L153" s="243" t="s">
        <v>1379</v>
      </c>
      <c r="M153" s="243" t="s">
        <v>1380</v>
      </c>
      <c r="N153" s="243" t="s">
        <v>1</v>
      </c>
      <c r="O153" s="243" t="s">
        <v>1381</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1382</v>
      </c>
      <c r="B154" s="243" t="s">
        <v>1323</v>
      </c>
      <c r="C154" s="243" t="s">
        <v>1383</v>
      </c>
      <c r="D154" s="243" t="s">
        <v>1384</v>
      </c>
      <c r="E154" s="243" t="s">
        <v>1385</v>
      </c>
      <c r="F154" s="243" t="s">
        <v>1386</v>
      </c>
      <c r="G154" s="243" t="s">
        <v>4</v>
      </c>
      <c r="H154" s="243" t="s">
        <v>1387</v>
      </c>
      <c r="I154" s="243" t="s">
        <v>1388</v>
      </c>
      <c r="J154" s="243" t="s">
        <v>889</v>
      </c>
      <c r="K154" s="243" t="s">
        <v>1</v>
      </c>
      <c r="L154" s="243" t="s">
        <v>1389</v>
      </c>
      <c r="M154" s="243" t="s">
        <v>1390</v>
      </c>
      <c r="N154" s="243" t="s">
        <v>1</v>
      </c>
      <c r="O154" s="243" t="s">
        <v>1391</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1392</v>
      </c>
      <c r="B155" s="243" t="s">
        <v>1323</v>
      </c>
      <c r="C155" s="243" t="s">
        <v>1393</v>
      </c>
      <c r="D155" s="243" t="s">
        <v>1394</v>
      </c>
      <c r="E155" s="243" t="s">
        <v>1395</v>
      </c>
      <c r="F155" s="243" t="s">
        <v>4</v>
      </c>
      <c r="G155" s="243" t="s">
        <v>1396</v>
      </c>
      <c r="H155" s="243" t="s">
        <v>4</v>
      </c>
      <c r="I155" s="243" t="s">
        <v>1397</v>
      </c>
      <c r="J155" s="243" t="s">
        <v>889</v>
      </c>
      <c r="K155" s="243" t="s">
        <v>1</v>
      </c>
      <c r="L155" s="243" t="s">
        <v>1398</v>
      </c>
      <c r="M155" s="243" t="s">
        <v>1399</v>
      </c>
      <c r="N155" s="243" t="s">
        <v>1</v>
      </c>
      <c r="O155" s="243" t="s">
        <v>1400</v>
      </c>
      <c r="P155" s="243" t="s">
        <v>1401</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1402</v>
      </c>
      <c r="B156" s="243" t="s">
        <v>1323</v>
      </c>
      <c r="C156" s="243" t="s">
        <v>1403</v>
      </c>
      <c r="D156" s="243" t="s">
        <v>1404</v>
      </c>
      <c r="E156" s="243" t="s">
        <v>1405</v>
      </c>
      <c r="F156" s="243" t="s">
        <v>1406</v>
      </c>
      <c r="G156" s="243" t="s">
        <v>4</v>
      </c>
      <c r="H156" s="243" t="s">
        <v>1407</v>
      </c>
      <c r="I156" s="243" t="s">
        <v>1408</v>
      </c>
      <c r="J156" s="243" t="s">
        <v>889</v>
      </c>
      <c r="K156" s="243" t="s">
        <v>1</v>
      </c>
      <c r="L156" s="243" t="s">
        <v>1409</v>
      </c>
      <c r="M156" s="243" t="s">
        <v>1410</v>
      </c>
      <c r="N156" s="243" t="s">
        <v>1</v>
      </c>
      <c r="O156" s="243" t="s">
        <v>1411</v>
      </c>
      <c r="P156" s="243" t="s">
        <v>1401</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1412</v>
      </c>
      <c r="B157" s="243" t="s">
        <v>1323</v>
      </c>
      <c r="C157" s="243" t="s">
        <v>1413</v>
      </c>
      <c r="D157" s="243" t="s">
        <v>1414</v>
      </c>
      <c r="E157" s="243" t="s">
        <v>4</v>
      </c>
      <c r="F157" s="243" t="s">
        <v>1415</v>
      </c>
      <c r="G157" s="243" t="s">
        <v>4</v>
      </c>
      <c r="H157" s="243" t="s">
        <v>4</v>
      </c>
      <c r="I157" s="243" t="s">
        <v>1416</v>
      </c>
      <c r="J157" s="243" t="s">
        <v>889</v>
      </c>
      <c r="K157" s="243" t="s">
        <v>1</v>
      </c>
      <c r="L157" s="243" t="s">
        <v>1417</v>
      </c>
      <c r="M157" s="243" t="s">
        <v>1418</v>
      </c>
      <c r="N157" s="243" t="s">
        <v>1</v>
      </c>
      <c r="O157" s="243" t="s">
        <v>1419</v>
      </c>
      <c r="P157" s="243" t="s">
        <v>1420</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1421</v>
      </c>
      <c r="B158" s="243" t="s">
        <v>1422</v>
      </c>
      <c r="C158" s="243" t="s">
        <v>1423</v>
      </c>
      <c r="D158" s="243" t="s">
        <v>1424</v>
      </c>
      <c r="E158" s="243" t="s">
        <v>4</v>
      </c>
      <c r="F158" s="243" t="s">
        <v>1425</v>
      </c>
      <c r="G158" s="243" t="s">
        <v>4</v>
      </c>
      <c r="H158" s="243" t="s">
        <v>1426</v>
      </c>
      <c r="I158" s="243" t="s">
        <v>1427</v>
      </c>
      <c r="J158" s="243" t="s">
        <v>889</v>
      </c>
      <c r="K158" s="243" t="s">
        <v>1</v>
      </c>
      <c r="L158" s="243" t="s">
        <v>1428</v>
      </c>
      <c r="M158" s="243" t="s">
        <v>1429</v>
      </c>
      <c r="N158" s="243" t="s">
        <v>1</v>
      </c>
      <c r="O158" s="243" t="s">
        <v>1430</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1431</v>
      </c>
      <c r="B159" s="243" t="s">
        <v>1422</v>
      </c>
      <c r="C159" s="243" t="s">
        <v>1423</v>
      </c>
      <c r="D159" s="243" t="s">
        <v>1432</v>
      </c>
      <c r="E159" s="243" t="s">
        <v>4</v>
      </c>
      <c r="F159" s="243" t="s">
        <v>1433</v>
      </c>
      <c r="G159" s="243" t="s">
        <v>4</v>
      </c>
      <c r="H159" s="243" t="s">
        <v>1434</v>
      </c>
      <c r="I159" s="243" t="s">
        <v>1435</v>
      </c>
      <c r="J159" s="243" t="s">
        <v>889</v>
      </c>
      <c r="K159" s="243" t="s">
        <v>1</v>
      </c>
      <c r="L159" s="243" t="s">
        <v>1436</v>
      </c>
      <c r="M159" s="243" t="s">
        <v>1437</v>
      </c>
      <c r="N159" s="243" t="s">
        <v>1</v>
      </c>
      <c r="O159" s="243" t="s">
        <v>1438</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1439</v>
      </c>
      <c r="B160" s="243" t="s">
        <v>1422</v>
      </c>
      <c r="C160" s="243" t="s">
        <v>1440</v>
      </c>
      <c r="D160" s="243" t="s">
        <v>1441</v>
      </c>
      <c r="E160" s="243" t="s">
        <v>4</v>
      </c>
      <c r="F160" s="243" t="s">
        <v>1442</v>
      </c>
      <c r="G160" s="243" t="s">
        <v>4</v>
      </c>
      <c r="H160" s="243" t="s">
        <v>1443</v>
      </c>
      <c r="I160" s="243" t="s">
        <v>1444</v>
      </c>
      <c r="J160" s="243" t="s">
        <v>889</v>
      </c>
      <c r="K160" s="243" t="s">
        <v>1</v>
      </c>
      <c r="L160" s="243" t="s">
        <v>1445</v>
      </c>
      <c r="M160" s="243" t="s">
        <v>1446</v>
      </c>
      <c r="N160" s="243" t="s">
        <v>1</v>
      </c>
      <c r="O160" s="243" t="s">
        <v>1447</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1448</v>
      </c>
      <c r="B161" s="243" t="s">
        <v>1422</v>
      </c>
      <c r="C161" s="243" t="s">
        <v>1449</v>
      </c>
      <c r="D161" s="243" t="s">
        <v>1450</v>
      </c>
      <c r="E161" s="243" t="s">
        <v>4</v>
      </c>
      <c r="F161" s="243" t="s">
        <v>1451</v>
      </c>
      <c r="G161" s="243" t="s">
        <v>4</v>
      </c>
      <c r="H161" s="243" t="s">
        <v>1452</v>
      </c>
      <c r="I161" s="243" t="s">
        <v>1453</v>
      </c>
      <c r="J161" s="243" t="s">
        <v>889</v>
      </c>
      <c r="K161" s="243" t="s">
        <v>1</v>
      </c>
      <c r="L161" s="243" t="s">
        <v>1454</v>
      </c>
      <c r="M161" s="243" t="s">
        <v>1455</v>
      </c>
      <c r="N161" s="243" t="s">
        <v>1</v>
      </c>
      <c r="O161" s="243" t="s">
        <v>1456</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1457</v>
      </c>
      <c r="B162" s="243" t="s">
        <v>1422</v>
      </c>
      <c r="C162" s="243" t="s">
        <v>1458</v>
      </c>
      <c r="D162" s="243" t="s">
        <v>1459</v>
      </c>
      <c r="E162" s="243" t="s">
        <v>4</v>
      </c>
      <c r="F162" s="243" t="s">
        <v>1460</v>
      </c>
      <c r="G162" s="243" t="s">
        <v>4</v>
      </c>
      <c r="H162" s="243" t="s">
        <v>1461</v>
      </c>
      <c r="I162" s="243" t="s">
        <v>1462</v>
      </c>
      <c r="J162" s="243" t="s">
        <v>889</v>
      </c>
      <c r="K162" s="243" t="s">
        <v>1</v>
      </c>
      <c r="L162" s="243" t="s">
        <v>1463</v>
      </c>
      <c r="M162" s="243" t="s">
        <v>1464</v>
      </c>
      <c r="N162" s="243" t="s">
        <v>1</v>
      </c>
      <c r="O162" s="243" t="s">
        <v>1465</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1466</v>
      </c>
      <c r="B163" s="243" t="s">
        <v>1422</v>
      </c>
      <c r="C163" s="243" t="s">
        <v>1467</v>
      </c>
      <c r="D163" s="243" t="s">
        <v>1468</v>
      </c>
      <c r="E163" s="243" t="s">
        <v>4</v>
      </c>
      <c r="F163" s="243" t="s">
        <v>1469</v>
      </c>
      <c r="G163" s="243" t="s">
        <v>4</v>
      </c>
      <c r="H163" s="243" t="s">
        <v>1470</v>
      </c>
      <c r="I163" s="243" t="s">
        <v>1471</v>
      </c>
      <c r="J163" s="243" t="s">
        <v>889</v>
      </c>
      <c r="K163" s="243" t="s">
        <v>1</v>
      </c>
      <c r="L163" s="243" t="s">
        <v>1472</v>
      </c>
      <c r="M163" s="243" t="s">
        <v>1473</v>
      </c>
      <c r="N163" s="243" t="s">
        <v>1</v>
      </c>
      <c r="O163" s="243" t="s">
        <v>1474</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1475</v>
      </c>
      <c r="B164" s="243" t="s">
        <v>1422</v>
      </c>
      <c r="C164" s="243" t="s">
        <v>1476</v>
      </c>
      <c r="D164" s="243" t="s">
        <v>1477</v>
      </c>
      <c r="E164" s="243" t="s">
        <v>4</v>
      </c>
      <c r="F164" s="243" t="s">
        <v>4</v>
      </c>
      <c r="G164" s="243" t="s">
        <v>4</v>
      </c>
      <c r="H164" s="243" t="s">
        <v>4</v>
      </c>
      <c r="I164" s="243" t="s">
        <v>1478</v>
      </c>
      <c r="J164" s="243" t="s">
        <v>889</v>
      </c>
      <c r="K164" s="243" t="s">
        <v>1</v>
      </c>
      <c r="L164" s="243" t="s">
        <v>1479</v>
      </c>
      <c r="M164" s="243" t="s">
        <v>1480</v>
      </c>
      <c r="N164" s="243" t="s">
        <v>1</v>
      </c>
      <c r="O164" s="243" t="s">
        <v>1481</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1482</v>
      </c>
      <c r="B165" s="243" t="s">
        <v>1422</v>
      </c>
      <c r="C165" s="243" t="s">
        <v>1483</v>
      </c>
      <c r="D165" s="243" t="s">
        <v>1484</v>
      </c>
      <c r="E165" s="243" t="s">
        <v>4</v>
      </c>
      <c r="F165" s="243" t="s">
        <v>1485</v>
      </c>
      <c r="G165" s="243" t="s">
        <v>4</v>
      </c>
      <c r="H165" s="243" t="s">
        <v>1486</v>
      </c>
      <c r="I165" s="243" t="s">
        <v>1487</v>
      </c>
      <c r="J165" s="243" t="s">
        <v>889</v>
      </c>
      <c r="K165" s="243" t="s">
        <v>1</v>
      </c>
      <c r="L165" s="243" t="s">
        <v>1488</v>
      </c>
      <c r="M165" s="243" t="s">
        <v>1489</v>
      </c>
      <c r="N165" s="243" t="s">
        <v>1</v>
      </c>
      <c r="O165" s="243" t="s">
        <v>1490</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1491</v>
      </c>
      <c r="B166" s="243" t="s">
        <v>1422</v>
      </c>
      <c r="C166" s="243" t="s">
        <v>1492</v>
      </c>
      <c r="D166" s="243" t="s">
        <v>1493</v>
      </c>
      <c r="E166" s="243" t="s">
        <v>4</v>
      </c>
      <c r="F166" s="243" t="s">
        <v>1494</v>
      </c>
      <c r="G166" s="243" t="s">
        <v>4</v>
      </c>
      <c r="H166" s="243" t="s">
        <v>1495</v>
      </c>
      <c r="I166" s="243" t="s">
        <v>1496</v>
      </c>
      <c r="J166" s="243" t="s">
        <v>889</v>
      </c>
      <c r="K166" s="243" t="s">
        <v>1</v>
      </c>
      <c r="L166" s="243" t="s">
        <v>1497</v>
      </c>
      <c r="M166" s="243" t="s">
        <v>1498</v>
      </c>
      <c r="N166" s="243" t="s">
        <v>1</v>
      </c>
      <c r="O166" s="243" t="s">
        <v>1499</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1500</v>
      </c>
      <c r="B167" s="243" t="s">
        <v>1422</v>
      </c>
      <c r="C167" s="243" t="s">
        <v>1501</v>
      </c>
      <c r="D167" s="243" t="s">
        <v>1502</v>
      </c>
      <c r="E167" s="243" t="s">
        <v>1503</v>
      </c>
      <c r="F167" s="243" t="s">
        <v>1504</v>
      </c>
      <c r="G167" s="243" t="s">
        <v>4</v>
      </c>
      <c r="H167" s="243" t="s">
        <v>1505</v>
      </c>
      <c r="I167" s="243" t="s">
        <v>1506</v>
      </c>
      <c r="J167" s="243" t="s">
        <v>889</v>
      </c>
      <c r="K167" s="243" t="s">
        <v>1</v>
      </c>
      <c r="L167" s="243" t="s">
        <v>1507</v>
      </c>
      <c r="M167" s="243" t="s">
        <v>1508</v>
      </c>
      <c r="N167" s="243" t="s">
        <v>1</v>
      </c>
      <c r="O167" s="243" t="s">
        <v>1509</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1510</v>
      </c>
      <c r="B168" s="243" t="s">
        <v>1422</v>
      </c>
      <c r="C168" s="243" t="s">
        <v>1511</v>
      </c>
      <c r="D168" s="243" t="s">
        <v>1512</v>
      </c>
      <c r="E168" s="243" t="s">
        <v>4</v>
      </c>
      <c r="F168" s="243" t="s">
        <v>1513</v>
      </c>
      <c r="G168" s="243" t="s">
        <v>4</v>
      </c>
      <c r="H168" s="243" t="s">
        <v>4</v>
      </c>
      <c r="I168" s="243" t="s">
        <v>1514</v>
      </c>
      <c r="J168" s="243" t="s">
        <v>889</v>
      </c>
      <c r="K168" s="243" t="s">
        <v>1</v>
      </c>
      <c r="L168" s="243" t="s">
        <v>1515</v>
      </c>
      <c r="M168" s="243" t="s">
        <v>1516</v>
      </c>
      <c r="N168" s="243" t="s">
        <v>1</v>
      </c>
      <c r="O168" s="243" t="s">
        <v>1517</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1518</v>
      </c>
      <c r="B169" s="243" t="s">
        <v>1422</v>
      </c>
      <c r="C169" s="243" t="s">
        <v>1519</v>
      </c>
      <c r="D169" s="243" t="s">
        <v>1520</v>
      </c>
      <c r="E169" s="243" t="s">
        <v>4</v>
      </c>
      <c r="F169" s="243" t="s">
        <v>1521</v>
      </c>
      <c r="G169" s="243" t="s">
        <v>4</v>
      </c>
      <c r="H169" s="243" t="s">
        <v>1522</v>
      </c>
      <c r="I169" s="243" t="s">
        <v>1523</v>
      </c>
      <c r="J169" s="243" t="s">
        <v>889</v>
      </c>
      <c r="K169" s="243" t="s">
        <v>1</v>
      </c>
      <c r="L169" s="243" t="s">
        <v>1524</v>
      </c>
      <c r="M169" s="243" t="s">
        <v>1525</v>
      </c>
      <c r="N169" s="243" t="s">
        <v>1</v>
      </c>
      <c r="O169" s="243" t="s">
        <v>1526</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1527</v>
      </c>
      <c r="B170" s="243" t="s">
        <v>1422</v>
      </c>
      <c r="C170" s="243" t="s">
        <v>1528</v>
      </c>
      <c r="D170" s="243" t="s">
        <v>1529</v>
      </c>
      <c r="E170" s="243" t="s">
        <v>4</v>
      </c>
      <c r="F170" s="243" t="s">
        <v>1530</v>
      </c>
      <c r="G170" s="243" t="s">
        <v>4</v>
      </c>
      <c r="H170" s="243" t="s">
        <v>1531</v>
      </c>
      <c r="I170" s="243" t="s">
        <v>1532</v>
      </c>
      <c r="J170" s="243" t="s">
        <v>889</v>
      </c>
      <c r="K170" s="243" t="s">
        <v>1</v>
      </c>
      <c r="L170" s="243" t="s">
        <v>1533</v>
      </c>
      <c r="M170" s="243" t="s">
        <v>1534</v>
      </c>
      <c r="N170" s="243" t="s">
        <v>1</v>
      </c>
      <c r="O170" s="243" t="s">
        <v>1535</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1536</v>
      </c>
      <c r="B171" s="243" t="s">
        <v>1422</v>
      </c>
      <c r="C171" s="243" t="s">
        <v>1537</v>
      </c>
      <c r="D171" s="243" t="s">
        <v>1538</v>
      </c>
      <c r="E171" s="243" t="s">
        <v>4</v>
      </c>
      <c r="F171" s="243" t="s">
        <v>1539</v>
      </c>
      <c r="G171" s="243" t="s">
        <v>4</v>
      </c>
      <c r="H171" s="243" t="s">
        <v>4</v>
      </c>
      <c r="I171" s="243" t="s">
        <v>1540</v>
      </c>
      <c r="J171" s="243" t="s">
        <v>889</v>
      </c>
      <c r="K171" s="243" t="s">
        <v>1</v>
      </c>
      <c r="L171" s="243" t="s">
        <v>1541</v>
      </c>
      <c r="M171" s="243" t="s">
        <v>1542</v>
      </c>
      <c r="N171" s="243" t="s">
        <v>1</v>
      </c>
      <c r="O171" s="243" t="s">
        <v>1543</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1544</v>
      </c>
      <c r="B172" s="243" t="s">
        <v>1545</v>
      </c>
      <c r="C172" s="243" t="s">
        <v>1546</v>
      </c>
      <c r="D172" s="243" t="s">
        <v>1547</v>
      </c>
      <c r="E172" s="243" t="s">
        <v>1548</v>
      </c>
      <c r="F172" s="243" t="s">
        <v>1549</v>
      </c>
      <c r="G172" s="243" t="s">
        <v>4</v>
      </c>
      <c r="H172" s="243" t="s">
        <v>1550</v>
      </c>
      <c r="I172" s="243" t="s">
        <v>1551</v>
      </c>
      <c r="J172" s="243" t="s">
        <v>889</v>
      </c>
      <c r="K172" s="243" t="s">
        <v>1</v>
      </c>
      <c r="L172" s="243" t="s">
        <v>1552</v>
      </c>
      <c r="M172" s="243" t="s">
        <v>1553</v>
      </c>
      <c r="N172" s="243" t="s">
        <v>1</v>
      </c>
      <c r="O172" s="243" t="s">
        <v>1554</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1555</v>
      </c>
      <c r="B173" s="243" t="s">
        <v>1545</v>
      </c>
      <c r="C173" s="243" t="s">
        <v>1556</v>
      </c>
      <c r="D173" s="243" t="s">
        <v>1557</v>
      </c>
      <c r="E173" s="243" t="s">
        <v>4</v>
      </c>
      <c r="F173" s="243" t="s">
        <v>1558</v>
      </c>
      <c r="G173" s="243" t="s">
        <v>4</v>
      </c>
      <c r="H173" s="243" t="s">
        <v>1559</v>
      </c>
      <c r="I173" s="243" t="s">
        <v>1560</v>
      </c>
      <c r="J173" s="243" t="s">
        <v>889</v>
      </c>
      <c r="K173" s="243" t="s">
        <v>1</v>
      </c>
      <c r="L173" s="243" t="s">
        <v>1561</v>
      </c>
      <c r="M173" s="243" t="s">
        <v>1562</v>
      </c>
      <c r="N173" s="243" t="s">
        <v>1</v>
      </c>
      <c r="O173" s="243" t="s">
        <v>1563</v>
      </c>
      <c r="P173" s="243" t="s">
        <v>1564</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1565</v>
      </c>
      <c r="B174" s="243" t="s">
        <v>1545</v>
      </c>
      <c r="C174" s="243" t="s">
        <v>1566</v>
      </c>
      <c r="D174" s="243" t="s">
        <v>1567</v>
      </c>
      <c r="E174" s="243" t="s">
        <v>1568</v>
      </c>
      <c r="F174" s="243" t="s">
        <v>1569</v>
      </c>
      <c r="G174" s="243" t="s">
        <v>4</v>
      </c>
      <c r="H174" s="243" t="s">
        <v>4</v>
      </c>
      <c r="I174" s="243" t="s">
        <v>1570</v>
      </c>
      <c r="J174" s="243" t="s">
        <v>889</v>
      </c>
      <c r="K174" s="243" t="s">
        <v>1</v>
      </c>
      <c r="L174" s="243" t="s">
        <v>1571</v>
      </c>
      <c r="M174" s="243" t="s">
        <v>1572</v>
      </c>
      <c r="N174" s="243" t="s">
        <v>1</v>
      </c>
      <c r="O174" s="243" t="s">
        <v>1573</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1574</v>
      </c>
      <c r="B175" s="243" t="s">
        <v>1545</v>
      </c>
      <c r="C175" s="243" t="s">
        <v>1575</v>
      </c>
      <c r="D175" s="243" t="s">
        <v>1576</v>
      </c>
      <c r="E175" s="243" t="s">
        <v>1577</v>
      </c>
      <c r="F175" s="243" t="s">
        <v>1578</v>
      </c>
      <c r="G175" s="243" t="s">
        <v>1579</v>
      </c>
      <c r="H175" s="243" t="s">
        <v>1580</v>
      </c>
      <c r="I175" s="243" t="s">
        <v>1581</v>
      </c>
      <c r="J175" s="243" t="s">
        <v>889</v>
      </c>
      <c r="K175" s="243" t="s">
        <v>1</v>
      </c>
      <c r="L175" s="243" t="s">
        <v>1582</v>
      </c>
      <c r="M175" s="243" t="s">
        <v>1583</v>
      </c>
      <c r="N175" s="243" t="s">
        <v>1</v>
      </c>
      <c r="O175" s="243" t="s">
        <v>1584</v>
      </c>
      <c r="P175" s="243" t="s">
        <v>1401</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1585</v>
      </c>
      <c r="B176" s="243" t="s">
        <v>1545</v>
      </c>
      <c r="C176" s="243" t="s">
        <v>1586</v>
      </c>
      <c r="D176" s="243" t="s">
        <v>1587</v>
      </c>
      <c r="E176" s="243" t="s">
        <v>4</v>
      </c>
      <c r="F176" s="243" t="s">
        <v>1588</v>
      </c>
      <c r="G176" s="243" t="s">
        <v>4</v>
      </c>
      <c r="H176" s="243" t="s">
        <v>1559</v>
      </c>
      <c r="I176" s="243" t="s">
        <v>1589</v>
      </c>
      <c r="J176" s="243" t="s">
        <v>889</v>
      </c>
      <c r="K176" s="243" t="s">
        <v>1</v>
      </c>
      <c r="L176" s="243" t="s">
        <v>1590</v>
      </c>
      <c r="M176" s="243" t="s">
        <v>1591</v>
      </c>
      <c r="N176" s="243" t="s">
        <v>1</v>
      </c>
      <c r="O176" s="243" t="s">
        <v>1592</v>
      </c>
      <c r="P176" s="243" t="s">
        <v>1401</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1593</v>
      </c>
      <c r="B177" s="138" t="s">
        <v>1594</v>
      </c>
      <c r="C177" s="138" t="s">
        <v>1595</v>
      </c>
      <c r="D177" s="138" t="s">
        <v>1596</v>
      </c>
      <c r="E177" s="138" t="s">
        <v>4</v>
      </c>
      <c r="F177" s="138" t="s">
        <v>1597</v>
      </c>
      <c r="G177" s="138" t="s">
        <v>4</v>
      </c>
      <c r="H177" s="138" t="s">
        <v>4</v>
      </c>
      <c r="I177" s="138" t="s">
        <v>1598</v>
      </c>
      <c r="J177" s="138" t="s">
        <v>889</v>
      </c>
      <c r="K177" s="138" t="s">
        <v>1</v>
      </c>
      <c r="L177" s="138" t="s">
        <v>1599</v>
      </c>
      <c r="M177" s="138" t="s">
        <v>1600</v>
      </c>
      <c r="N177" s="138" t="s">
        <v>1</v>
      </c>
      <c r="O177" s="138" t="s">
        <v>1601</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1602</v>
      </c>
      <c r="B178" s="138" t="s">
        <v>1594</v>
      </c>
      <c r="C178" s="138" t="s">
        <v>1603</v>
      </c>
      <c r="D178" s="138" t="s">
        <v>1604</v>
      </c>
      <c r="E178" s="138" t="s">
        <v>1605</v>
      </c>
      <c r="F178" s="138" t="s">
        <v>1606</v>
      </c>
      <c r="G178" s="138" t="s">
        <v>4</v>
      </c>
      <c r="H178" s="138" t="s">
        <v>1607</v>
      </c>
      <c r="I178" s="138" t="s">
        <v>1608</v>
      </c>
      <c r="J178" s="138" t="s">
        <v>889</v>
      </c>
      <c r="K178" s="138" t="s">
        <v>1</v>
      </c>
      <c r="L178" s="138" t="s">
        <v>1609</v>
      </c>
      <c r="M178" s="138" t="s">
        <v>1610</v>
      </c>
      <c r="N178" s="138" t="s">
        <v>1</v>
      </c>
      <c r="O178" s="138" t="s">
        <v>1611</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1612</v>
      </c>
      <c r="B179" s="138" t="s">
        <v>1594</v>
      </c>
      <c r="C179" s="138" t="s">
        <v>1603</v>
      </c>
      <c r="D179" s="138" t="s">
        <v>1613</v>
      </c>
      <c r="E179" s="138" t="s">
        <v>1614</v>
      </c>
      <c r="F179" s="138" t="s">
        <v>1615</v>
      </c>
      <c r="G179" s="138" t="s">
        <v>4</v>
      </c>
      <c r="H179" s="138" t="s">
        <v>1616</v>
      </c>
      <c r="I179" s="138" t="s">
        <v>1617</v>
      </c>
      <c r="J179" s="138" t="s">
        <v>889</v>
      </c>
      <c r="K179" s="138" t="s">
        <v>1</v>
      </c>
      <c r="L179" s="138" t="s">
        <v>1618</v>
      </c>
      <c r="M179" s="138" t="s">
        <v>1619</v>
      </c>
      <c r="N179" s="138" t="s">
        <v>1</v>
      </c>
      <c r="O179" s="138" t="s">
        <v>1620</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1621</v>
      </c>
      <c r="B180" s="138" t="s">
        <v>1594</v>
      </c>
      <c r="C180" s="138" t="s">
        <v>1622</v>
      </c>
      <c r="D180" s="138" t="s">
        <v>1623</v>
      </c>
      <c r="E180" s="138" t="s">
        <v>1624</v>
      </c>
      <c r="F180" s="138" t="s">
        <v>1625</v>
      </c>
      <c r="G180" s="138" t="s">
        <v>4</v>
      </c>
      <c r="H180" s="138" t="s">
        <v>1626</v>
      </c>
      <c r="I180" s="138" t="s">
        <v>1627</v>
      </c>
      <c r="J180" s="138" t="s">
        <v>889</v>
      </c>
      <c r="K180" s="138" t="s">
        <v>1</v>
      </c>
      <c r="L180" s="138" t="s">
        <v>1628</v>
      </c>
      <c r="M180" s="138" t="s">
        <v>1629</v>
      </c>
      <c r="N180" s="138" t="s">
        <v>1</v>
      </c>
      <c r="O180" s="138" t="s">
        <v>1630</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1631</v>
      </c>
      <c r="B181" s="138" t="s">
        <v>1594</v>
      </c>
      <c r="C181" s="138" t="s">
        <v>1622</v>
      </c>
      <c r="D181" s="138" t="s">
        <v>1632</v>
      </c>
      <c r="E181" s="138" t="s">
        <v>1633</v>
      </c>
      <c r="F181" s="138" t="s">
        <v>1634</v>
      </c>
      <c r="G181" s="138" t="s">
        <v>4</v>
      </c>
      <c r="H181" s="138" t="s">
        <v>4</v>
      </c>
      <c r="I181" s="138" t="s">
        <v>1635</v>
      </c>
      <c r="J181" s="138" t="s">
        <v>889</v>
      </c>
      <c r="K181" s="138" t="s">
        <v>1</v>
      </c>
      <c r="L181" s="138" t="s">
        <v>1636</v>
      </c>
      <c r="M181" s="138" t="s">
        <v>1637</v>
      </c>
      <c r="N181" s="138" t="s">
        <v>1</v>
      </c>
      <c r="O181" s="138" t="s">
        <v>1638</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1639</v>
      </c>
      <c r="B182" s="138" t="s">
        <v>1640</v>
      </c>
      <c r="C182" s="138" t="s">
        <v>1641</v>
      </c>
      <c r="D182" s="138" t="s">
        <v>1642</v>
      </c>
      <c r="E182" s="138" t="s">
        <v>4</v>
      </c>
      <c r="F182" s="138" t="s">
        <v>1643</v>
      </c>
      <c r="G182" s="138" t="s">
        <v>4</v>
      </c>
      <c r="H182" s="138" t="s">
        <v>4</v>
      </c>
      <c r="I182" s="138" t="s">
        <v>1644</v>
      </c>
      <c r="J182" s="138" t="s">
        <v>889</v>
      </c>
      <c r="K182" s="138" t="s">
        <v>1</v>
      </c>
      <c r="L182" s="138" t="s">
        <v>1645</v>
      </c>
      <c r="M182" s="138" t="s">
        <v>1646</v>
      </c>
      <c r="N182" s="138" t="s">
        <v>1</v>
      </c>
      <c r="O182" s="138" t="s">
        <v>1647</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1648</v>
      </c>
      <c r="B183" s="138" t="s">
        <v>1640</v>
      </c>
      <c r="C183" s="138" t="s">
        <v>1649</v>
      </c>
      <c r="D183" s="138" t="s">
        <v>1650</v>
      </c>
      <c r="E183" s="138" t="s">
        <v>1290</v>
      </c>
      <c r="F183" s="138" t="s">
        <v>1651</v>
      </c>
      <c r="G183" s="138" t="s">
        <v>4</v>
      </c>
      <c r="H183" s="138" t="s">
        <v>1652</v>
      </c>
      <c r="I183" s="138" t="s">
        <v>1653</v>
      </c>
      <c r="J183" s="138" t="s">
        <v>889</v>
      </c>
      <c r="K183" s="138" t="s">
        <v>1</v>
      </c>
      <c r="L183" s="138" t="s">
        <v>1654</v>
      </c>
      <c r="M183" s="138" t="s">
        <v>1655</v>
      </c>
      <c r="N183" s="138" t="s">
        <v>1</v>
      </c>
      <c r="O183" s="138" t="s">
        <v>1656</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1657</v>
      </c>
      <c r="B184" s="138" t="s">
        <v>1640</v>
      </c>
      <c r="C184" s="138" t="s">
        <v>1658</v>
      </c>
      <c r="D184" s="138" t="s">
        <v>1659</v>
      </c>
      <c r="E184" s="138" t="s">
        <v>4</v>
      </c>
      <c r="F184" s="138" t="s">
        <v>1660</v>
      </c>
      <c r="G184" s="138" t="s">
        <v>4</v>
      </c>
      <c r="H184" s="138" t="s">
        <v>4</v>
      </c>
      <c r="I184" s="138" t="s">
        <v>1661</v>
      </c>
      <c r="J184" s="138" t="s">
        <v>889</v>
      </c>
      <c r="K184" s="138" t="s">
        <v>1</v>
      </c>
      <c r="L184" s="138" t="s">
        <v>1662</v>
      </c>
      <c r="M184" s="138" t="s">
        <v>1663</v>
      </c>
      <c r="N184" s="138" t="s">
        <v>1</v>
      </c>
      <c r="O184" s="138" t="s">
        <v>1664</v>
      </c>
      <c r="P184" s="138" t="s">
        <v>1564</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1665</v>
      </c>
      <c r="B185" s="138" t="s">
        <v>1640</v>
      </c>
      <c r="C185" s="138" t="s">
        <v>1666</v>
      </c>
      <c r="D185" s="138" t="s">
        <v>1667</v>
      </c>
      <c r="E185" s="138" t="s">
        <v>4</v>
      </c>
      <c r="F185" s="138" t="s">
        <v>1668</v>
      </c>
      <c r="G185" s="138" t="s">
        <v>4</v>
      </c>
      <c r="H185" s="138" t="s">
        <v>4</v>
      </c>
      <c r="I185" s="138" t="s">
        <v>1669</v>
      </c>
      <c r="J185" s="138" t="s">
        <v>889</v>
      </c>
      <c r="K185" s="138" t="s">
        <v>1</v>
      </c>
      <c r="L185" s="138" t="s">
        <v>1670</v>
      </c>
      <c r="M185" s="138" t="s">
        <v>1671</v>
      </c>
      <c r="N185" s="138" t="s">
        <v>1</v>
      </c>
      <c r="O185" s="138" t="s">
        <v>1672</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1673</v>
      </c>
      <c r="B186" s="138" t="s">
        <v>1640</v>
      </c>
      <c r="C186" s="138" t="s">
        <v>1674</v>
      </c>
      <c r="D186" s="138" t="s">
        <v>1675</v>
      </c>
      <c r="E186" s="138" t="s">
        <v>4</v>
      </c>
      <c r="F186" s="138" t="s">
        <v>1676</v>
      </c>
      <c r="G186" s="138" t="s">
        <v>4</v>
      </c>
      <c r="H186" s="138" t="s">
        <v>4</v>
      </c>
      <c r="I186" s="138" t="s">
        <v>1677</v>
      </c>
      <c r="J186" s="138" t="s">
        <v>889</v>
      </c>
      <c r="K186" s="138" t="s">
        <v>1</v>
      </c>
      <c r="L186" s="138" t="s">
        <v>1678</v>
      </c>
      <c r="M186" s="138" t="s">
        <v>1679</v>
      </c>
      <c r="N186" s="138" t="s">
        <v>1</v>
      </c>
      <c r="O186" s="138" t="s">
        <v>1680</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1681</v>
      </c>
      <c r="B187" s="138" t="s">
        <v>1640</v>
      </c>
      <c r="C187" s="138" t="s">
        <v>1682</v>
      </c>
      <c r="D187" s="138" t="s">
        <v>1683</v>
      </c>
      <c r="E187" s="138" t="s">
        <v>1684</v>
      </c>
      <c r="F187" s="138" t="s">
        <v>1685</v>
      </c>
      <c r="G187" s="138" t="s">
        <v>4</v>
      </c>
      <c r="H187" s="138" t="s">
        <v>4</v>
      </c>
      <c r="I187" s="138" t="s">
        <v>1686</v>
      </c>
      <c r="J187" s="138" t="s">
        <v>889</v>
      </c>
      <c r="K187" s="138" t="s">
        <v>1</v>
      </c>
      <c r="L187" s="138" t="s">
        <v>1687</v>
      </c>
      <c r="M187" s="138" t="s">
        <v>1688</v>
      </c>
      <c r="N187" s="138" t="s">
        <v>1</v>
      </c>
      <c r="O187" s="138" t="s">
        <v>1689</v>
      </c>
      <c r="P187" s="138" t="s">
        <v>1401</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1690</v>
      </c>
      <c r="B188" s="138" t="s">
        <v>1640</v>
      </c>
      <c r="C188" s="138" t="s">
        <v>1691</v>
      </c>
      <c r="D188" s="138" t="s">
        <v>1692</v>
      </c>
      <c r="E188" s="138" t="s">
        <v>4</v>
      </c>
      <c r="F188" s="138" t="s">
        <v>1693</v>
      </c>
      <c r="G188" s="138" t="s">
        <v>4</v>
      </c>
      <c r="H188" s="138" t="s">
        <v>4</v>
      </c>
      <c r="I188" s="138" t="s">
        <v>1694</v>
      </c>
      <c r="J188" s="138" t="s">
        <v>889</v>
      </c>
      <c r="K188" s="138" t="s">
        <v>1</v>
      </c>
      <c r="L188" s="138" t="s">
        <v>1695</v>
      </c>
      <c r="M188" s="138" t="s">
        <v>1696</v>
      </c>
      <c r="N188" s="138" t="s">
        <v>1</v>
      </c>
      <c r="O188" s="138" t="s">
        <v>1697</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1698</v>
      </c>
      <c r="B189" s="138" t="s">
        <v>1699</v>
      </c>
      <c r="C189" s="138" t="s">
        <v>1700</v>
      </c>
      <c r="D189" s="138" t="s">
        <v>1701</v>
      </c>
      <c r="E189" s="138" t="s">
        <v>4</v>
      </c>
      <c r="F189" s="138" t="s">
        <v>1702</v>
      </c>
      <c r="G189" s="138" t="s">
        <v>4</v>
      </c>
      <c r="H189" s="138" t="s">
        <v>4</v>
      </c>
      <c r="I189" s="138" t="s">
        <v>1703</v>
      </c>
      <c r="J189" s="138" t="s">
        <v>1283</v>
      </c>
      <c r="K189" s="138" t="s">
        <v>1</v>
      </c>
      <c r="L189" s="138" t="s">
        <v>1704</v>
      </c>
      <c r="M189" s="138" t="s">
        <v>1705</v>
      </c>
      <c r="N189" s="138" t="s">
        <v>1</v>
      </c>
      <c r="O189" s="138" t="s">
        <v>1706</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1707</v>
      </c>
      <c r="B190" s="138" t="s">
        <v>1699</v>
      </c>
      <c r="C190" s="138" t="s">
        <v>1708</v>
      </c>
      <c r="D190" s="138" t="s">
        <v>1709</v>
      </c>
      <c r="E190" s="138" t="s">
        <v>1710</v>
      </c>
      <c r="F190" s="138" t="s">
        <v>1711</v>
      </c>
      <c r="G190" s="138" t="s">
        <v>4</v>
      </c>
      <c r="H190" s="138" t="s">
        <v>1712</v>
      </c>
      <c r="I190" s="138" t="s">
        <v>1713</v>
      </c>
      <c r="J190" s="138" t="s">
        <v>1283</v>
      </c>
      <c r="K190" s="138" t="s">
        <v>1</v>
      </c>
      <c r="L190" s="138" t="s">
        <v>1714</v>
      </c>
      <c r="M190" s="138" t="s">
        <v>1715</v>
      </c>
      <c r="N190" s="138" t="s">
        <v>1</v>
      </c>
      <c r="O190" s="138" t="s">
        <v>1716</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1717</v>
      </c>
      <c r="B191" s="138" t="s">
        <v>1699</v>
      </c>
      <c r="C191" s="138" t="s">
        <v>1718</v>
      </c>
      <c r="D191" s="138" t="s">
        <v>1719</v>
      </c>
      <c r="E191" s="138" t="s">
        <v>4</v>
      </c>
      <c r="F191" s="138" t="s">
        <v>1720</v>
      </c>
      <c r="G191" s="138" t="s">
        <v>4</v>
      </c>
      <c r="H191" s="138" t="s">
        <v>4</v>
      </c>
      <c r="I191" s="138" t="s">
        <v>1721</v>
      </c>
      <c r="J191" s="138" t="s">
        <v>1283</v>
      </c>
      <c r="K191" s="138" t="s">
        <v>1</v>
      </c>
      <c r="L191" s="138" t="s">
        <v>1722</v>
      </c>
      <c r="M191" s="138" t="s">
        <v>1723</v>
      </c>
      <c r="N191" s="138" t="s">
        <v>1</v>
      </c>
      <c r="O191" s="138" t="s">
        <v>1724</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1725</v>
      </c>
      <c r="B192" s="138" t="s">
        <v>1699</v>
      </c>
      <c r="C192" s="138" t="s">
        <v>1726</v>
      </c>
      <c r="D192" s="138" t="s">
        <v>1727</v>
      </c>
      <c r="E192" s="138" t="s">
        <v>4</v>
      </c>
      <c r="F192" s="138" t="s">
        <v>1728</v>
      </c>
      <c r="G192" s="138" t="s">
        <v>4</v>
      </c>
      <c r="H192" s="138" t="s">
        <v>4</v>
      </c>
      <c r="I192" s="138" t="s">
        <v>1729</v>
      </c>
      <c r="J192" s="138" t="s">
        <v>1283</v>
      </c>
      <c r="K192" s="138" t="s">
        <v>1</v>
      </c>
      <c r="L192" s="138" t="s">
        <v>1730</v>
      </c>
      <c r="M192" s="138" t="s">
        <v>1731</v>
      </c>
      <c r="N192" s="138" t="s">
        <v>1</v>
      </c>
      <c r="O192" s="138" t="s">
        <v>1732</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1733</v>
      </c>
      <c r="B193" s="138" t="s">
        <v>1734</v>
      </c>
      <c r="C193" s="138" t="s">
        <v>1735</v>
      </c>
      <c r="D193" s="138" t="s">
        <v>1736</v>
      </c>
      <c r="E193" s="138" t="s">
        <v>1737</v>
      </c>
      <c r="F193" s="138" t="s">
        <v>1738</v>
      </c>
      <c r="G193" s="138" t="s">
        <v>4</v>
      </c>
      <c r="H193" s="138" t="s">
        <v>4</v>
      </c>
      <c r="I193" s="138" t="s">
        <v>1739</v>
      </c>
      <c r="J193" s="138" t="s">
        <v>889</v>
      </c>
      <c r="K193" s="138" t="s">
        <v>1</v>
      </c>
      <c r="L193" s="138" t="s">
        <v>1740</v>
      </c>
      <c r="M193" s="138" t="s">
        <v>1741</v>
      </c>
      <c r="N193" s="138" t="s">
        <v>1</v>
      </c>
      <c r="O193" s="138" t="s">
        <v>1742</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1743</v>
      </c>
      <c r="B194" s="138" t="s">
        <v>1734</v>
      </c>
      <c r="C194" s="138" t="s">
        <v>1744</v>
      </c>
      <c r="D194" s="138" t="s">
        <v>1745</v>
      </c>
      <c r="E194" s="138" t="s">
        <v>4</v>
      </c>
      <c r="F194" s="138" t="s">
        <v>1746</v>
      </c>
      <c r="G194" s="138" t="s">
        <v>4</v>
      </c>
      <c r="H194" s="138" t="s">
        <v>4</v>
      </c>
      <c r="I194" s="138" t="s">
        <v>1747</v>
      </c>
      <c r="J194" s="138" t="s">
        <v>889</v>
      </c>
      <c r="K194" s="138" t="s">
        <v>1</v>
      </c>
      <c r="L194" s="138" t="s">
        <v>1748</v>
      </c>
      <c r="M194" s="138" t="s">
        <v>1749</v>
      </c>
      <c r="N194" s="138" t="s">
        <v>1</v>
      </c>
      <c r="O194" s="138" t="s">
        <v>1750</v>
      </c>
      <c r="P194" s="138" t="s">
        <v>1751</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1752</v>
      </c>
      <c r="B195" s="138" t="s">
        <v>1734</v>
      </c>
      <c r="C195" s="138" t="s">
        <v>1753</v>
      </c>
      <c r="D195" s="138" t="s">
        <v>1754</v>
      </c>
      <c r="E195" s="138" t="s">
        <v>4</v>
      </c>
      <c r="F195" s="138" t="s">
        <v>1755</v>
      </c>
      <c r="G195" s="138" t="s">
        <v>4</v>
      </c>
      <c r="H195" s="138" t="s">
        <v>1756</v>
      </c>
      <c r="I195" s="138" t="s">
        <v>1757</v>
      </c>
      <c r="J195" s="138" t="s">
        <v>889</v>
      </c>
      <c r="K195" s="138" t="s">
        <v>1</v>
      </c>
      <c r="L195" s="138" t="s">
        <v>1758</v>
      </c>
      <c r="M195" s="138" t="s">
        <v>1759</v>
      </c>
      <c r="N195" s="138" t="s">
        <v>1</v>
      </c>
      <c r="O195" s="138" t="s">
        <v>1760</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1761</v>
      </c>
      <c r="B196" s="138" t="s">
        <v>1734</v>
      </c>
      <c r="C196" s="138" t="s">
        <v>1762</v>
      </c>
      <c r="D196" s="138" t="s">
        <v>1763</v>
      </c>
      <c r="E196" s="138" t="s">
        <v>1764</v>
      </c>
      <c r="F196" s="138" t="s">
        <v>1765</v>
      </c>
      <c r="G196" s="138" t="s">
        <v>4</v>
      </c>
      <c r="H196" s="138" t="s">
        <v>4</v>
      </c>
      <c r="I196" s="138" t="s">
        <v>1766</v>
      </c>
      <c r="J196" s="138" t="s">
        <v>889</v>
      </c>
      <c r="K196" s="138" t="s">
        <v>1</v>
      </c>
      <c r="L196" s="138" t="s">
        <v>1767</v>
      </c>
      <c r="M196" s="138" t="s">
        <v>1768</v>
      </c>
      <c r="N196" s="138" t="s">
        <v>1</v>
      </c>
      <c r="O196" s="138" t="s">
        <v>1769</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1770</v>
      </c>
      <c r="B197" s="138" t="s">
        <v>1734</v>
      </c>
      <c r="C197" s="138" t="s">
        <v>1771</v>
      </c>
      <c r="D197" s="138" t="s">
        <v>1772</v>
      </c>
      <c r="E197" s="138" t="s">
        <v>1385</v>
      </c>
      <c r="F197" s="138" t="s">
        <v>1773</v>
      </c>
      <c r="G197" s="138" t="s">
        <v>4</v>
      </c>
      <c r="H197" s="138" t="s">
        <v>1774</v>
      </c>
      <c r="I197" s="138" t="s">
        <v>1775</v>
      </c>
      <c r="J197" s="138" t="s">
        <v>889</v>
      </c>
      <c r="K197" s="138" t="s">
        <v>1</v>
      </c>
      <c r="L197" s="138" t="s">
        <v>1776</v>
      </c>
      <c r="M197" s="138" t="s">
        <v>1777</v>
      </c>
      <c r="N197" s="138" t="s">
        <v>1</v>
      </c>
      <c r="O197" s="138" t="s">
        <v>1778</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row r="198" customFormat="false" ht="90" hidden="false" customHeight="true" outlineLevel="0" collapsed="false">
      <c r="A198" s="135" t="s">
        <v>1779</v>
      </c>
      <c r="B198" s="135" t="s">
        <v>1196</v>
      </c>
      <c r="C198" s="135" t="s">
        <v>1215</v>
      </c>
      <c r="D198" s="135" t="s">
        <v>1780</v>
      </c>
      <c r="E198" s="135" t="s">
        <v>4</v>
      </c>
      <c r="F198" s="135" t="s">
        <v>1781</v>
      </c>
      <c r="G198" s="135" t="s">
        <v>4</v>
      </c>
      <c r="H198" s="135" t="s">
        <v>4</v>
      </c>
      <c r="I198" s="135" t="s">
        <v>1782</v>
      </c>
      <c r="J198" s="135" t="s">
        <v>486</v>
      </c>
      <c r="K198" s="135" t="s">
        <v>487</v>
      </c>
      <c r="L198" s="135" t="s">
        <v>1783</v>
      </c>
      <c r="M198" s="135" t="s">
        <v>1784</v>
      </c>
      <c r="N198" s="135" t="s">
        <v>51</v>
      </c>
      <c r="O198" s="135" t="s">
        <v>1785</v>
      </c>
      <c r="P198" s="135" t="s">
        <v>433</v>
      </c>
      <c r="Q198" s="146" t="str">
        <f>IF(OR(ISNUMBER(SEARCH("FAIL",J198&amp;" "&amp;N198)),ISNUMBER(SEARCH("CLEAN RETEST REQUIRED",J198&amp;" "&amp;N198))),"Failed",IF(OR(ISNUMBER(SEARCH("NOT RUN",J198&amp;" "&amp;N198)),ISNUMBER(SEARCH("NOT IMPLEMENTED",J198&amp;" "&amp;N198))),"Not started",IF(OR(ISNUMBER(SEARCH("PARTIAL",J198&amp;" "&amp;N198)),ISNUMBER(SEARCH("PENDING",J198&amp;" "&amp;N198)),ISNUMBER(SEARCH("IN PROGRESS",J198&amp;" "&amp;N198)),ISNUMBER(SEARCH("OPEN",J198&amp;" "&amp;N198)),ISNUMBER(SEARCH("RETEST REQUIRED",J198&amp;" "&amp;N198)),ISNUMBER(SEARCH("IMPLEMENTATION UPDATED",J198&amp;" "&amp;N198)),ISNUMBER(SEARCH("REQUIRED EVERY SESSION",J198&amp;" "&amp;N198))),"Pending",IF(OR(N198="PASS",ISNUMBER(SEARCH("PASS",J198&amp;" "&amp;N198))),"Done","Pending"))))</f>
        <v>Done</v>
      </c>
      <c r="R198" s="146" t="str">
        <f>IF(OR(LEFT(A198,9)="OPERATOR-",LEFT(A198,8)="PAYMENT-",LEFT(A198,7)="DEPLOY-"),"External","Core")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