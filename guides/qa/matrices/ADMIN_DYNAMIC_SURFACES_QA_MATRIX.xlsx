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<sst xmlns="http://schemas.openxmlformats.org/spreadsheetml/2006/main" count="3200" uniqueCount="1813">
  <si>
    <t>EFFECT / SCOPE MARKERS</t>
  </si>
  <si>
    <t/>
  </si>
  <si>
    <t>Done</t>
  </si>
  <si>
    <t>55 (41%)</t>
  </si>
  <si>
    <t>X</t>
  </si>
  <si>
    <t>No expected effect — An unchanged X cell is PASS</t>
  </si>
  <si>
    <t>Pending</t>
  </si>
  <si>
    <t>19</t>
  </si>
  <si>
    <t>DELTA</t>
  </si>
  <si>
    <t>Required direct effect — Record before/after count and direction</t>
  </si>
  <si>
    <t>Not started</t>
  </si>
  <si>
    <t>61</t>
  </si>
  <si>
    <t>INDIRECT</t>
  </si>
  <si>
    <t>Conditional effect — State the condition and prove it occurred</t>
  </si>
  <si>
    <t>Failed</t>
  </si>
  <si>
    <t>0</t>
  </si>
  <si>
    <t>GAP</t>
  </si>
  <si>
    <t>Known observability gap — Record FAIL/GAP separately from domain PASS</t>
  </si>
  <si>
    <t>Core</t>
  </si>
  <si>
    <t>135</t>
  </si>
  <si>
    <t>EXT</t>
  </si>
  <si>
    <t>External operator, payment, Registry or deployment boundary — IDs beginning OPERATOR-, PAYMENT- or DEPLOY- are classified EXT and receive the external color</t>
  </si>
  <si>
    <t>External</t>
  </si>
  <si>
    <t>56</t>
  </si>
  <si>
    <t>Total</t>
  </si>
  <si>
    <t>191</t>
  </si>
  <si>
    <t>QA TEST CASES</t>
  </si>
  <si>
    <t>ID</t>
  </si>
  <si>
    <t>Type</t>
  </si>
  <si>
    <t>Area</t>
  </si>
  <si>
    <t>Scenario</t>
  </si>
  <si>
    <t>Statistics</t>
  </si>
  <si>
    <t>Monitoring / Metrics</t>
  </si>
  <si>
    <t>Affinity Graph</t>
  </si>
  <si>
    <t>Admin Jobs</t>
  </si>
  <si>
    <t>Domain / other UI</t>
  </si>
  <si>
    <t>Manual status</t>
  </si>
  <si>
    <t>Last manual date</t>
  </si>
  <si>
    <t>Automated coverage</t>
  </si>
  <si>
    <t>Next manual oracle</t>
  </si>
  <si>
    <t>Result</t>
  </si>
  <si>
    <t>Evidence / notes</t>
  </si>
  <si>
    <t>Manual QA priority</t>
  </si>
  <si>
    <t>BASE-STAT</t>
  </si>
  <si>
    <t>Baseline</t>
  </si>
  <si>
    <t>Render and refresh persisted dashboard</t>
  </si>
  <si>
    <t>All sections stable; refresh reloads snapshot</t>
  </si>
  <si>
    <t>MANUAL UI PASS</t>
  </si>
  <si>
    <t>2026-08-04</t>
  </si>
  <si>
    <t>DTO/service support only</t>
  </si>
  <si>
    <t>Proceed with the controlled causal Statistics rows</t>
  </si>
  <si>
    <t>PASS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</si>
  <si>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</si>
  <si>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</si>
  <si>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</si>
  <si>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</si>
  <si>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</si>
  <si>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</si>
  <si>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NOT RUN</t>
  </si>
  <si>
    <t>Security/DTO support only</t>
  </si>
  <si>
    <t>Record category/filter counts and health</t>
  </si>
  <si>
    <t>Queue counts are live; event totals accumulate</t>
  </si>
  <si>
    <t>P0 82</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</si>
  <si>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</si>
  <si>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</si>
  <si>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</si>
  <si>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</si>
  <si>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</si>
  <si>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</si>
  <si>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</si>
  <si>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</si>
  <si>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</si>
  <si>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</si>
  <si>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</si>
  <si>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</si>
  <si>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</si>
  <si>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</si>
  <si>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</si>
  <si>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</si>
  <si>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</si>
  <si>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</si>
  <si>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</si>
  <si>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PASS / PARTIAL</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</si>
  <si>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</si>
  <si>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P1 78</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</si>
  <si>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</si>
  <si>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</si>
  <si>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</si>
  <si>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</si>
  <si>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</si>
  <si>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</si>
  <si>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MANUAL UI + FUNCTIONAL PASS</t>
  </si>
  <si>
    <t>2026-08-05</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</si>
  <si>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</si>
  <si>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</si>
  <si>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</si>
  <si>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</si>
  <si>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</si>
  <si>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</si>
  <si>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</si>
  <si>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</si>
  <si>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INDIRECT after affinity evidence/recompute</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</si>
  <si>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</si>
  <si>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</si>
  <si>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</si>
  <si>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</si>
  <si>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</si>
  <si>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P1 74</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</si>
  <si>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</si>
  <si>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</si>
  <si>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</si>
  <si>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</si>
  <si>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</si>
  <si>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</si>
  <si>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</si>
  <si>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</si>
  <si>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</si>
  <si>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</si>
  <si>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</si>
  <si>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</si>
  <si>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</si>
  <si>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</si>
  <si>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2026-07-29</t>
  </si>
  <si>
    <t>Capture exact before/after and health direction</t>
  </si>
  <si>
    <t>Rating/feedback functional API oracle passed; visual stats not run</t>
  </si>
  <si>
    <t>P0 86</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</si>
  <si>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</si>
  <si>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</si>
  <si>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</si>
  <si>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</si>
  <si>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</si>
  <si>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</si>
  <si>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</si>
  <si>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</si>
  <si>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</si>
  <si>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</si>
  <si>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</si>
  <si>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</si>
  <si>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</si>
  <si>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</si>
  <si>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</si>
  <si>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</si>
  <si>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</si>
  <si>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</si>
  <si>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</si>
  <si>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</si>
  <si>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</si>
  <si>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P0 90</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</si>
  <si>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</si>
  <si>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</si>
  <si>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</si>
  <si>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</si>
  <si>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</si>
  <si>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</si>
  <si>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</si>
  <si>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</si>
  <si>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</si>
  <si>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P0 92</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</si>
  <si>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</si>
  <si>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</si>
  <si>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</si>
  <si>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</si>
  <si>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</si>
  <si>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</si>
  <si>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</si>
  <si>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</si>
  <si>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</si>
  <si>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</si>
  <si>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</si>
  <si>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</si>
  <si>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P0 94</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</si>
  <si>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</si>
  <si>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</si>
  <si>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</si>
  <si>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</si>
  <si>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</si>
  <si>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</si>
  <si>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</si>
  <si>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</si>
  <si>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</si>
  <si>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</si>
  <si>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</si>
  <si>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</si>
  <si>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</si>
  <si>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</si>
  <si>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</si>
  <si>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</si>
  <si>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</si>
  <si>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</si>
  <si>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</si>
  <si>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</si>
  <si>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</si>
  <si>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P1 72</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</si>
  <si>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</si>
  <si>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</si>
  <si>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</si>
  <si>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</si>
  <si>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</si>
  <si>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</si>
  <si>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</si>
  <si>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</si>
  <si>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</si>
  <si>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</si>
  <si>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</si>
  <si>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</si>
  <si>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</si>
  <si>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</si>
  <si>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</si>
  <si>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</si>
  <si>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</si>
  <si>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</si>
  <si>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</si>
  <si>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</si>
  <si>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</si>
  <si>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</si>
  <si>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</si>
  <si>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</si>
  <si>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</si>
  <si>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</si>
  <si>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</si>
  <si>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</si>
  <si>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</si>
  <si>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</si>
  <si>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</si>
  <si>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</si>
  <si>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</si>
  <si>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</si>
  <si>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P0 96</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</si>
  <si>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</si>
  <si>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</si>
  <si>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</si>
  <si>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</si>
  <si>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</si>
  <si>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</si>
  <si>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</si>
  <si>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</si>
  <si>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</si>
  <si>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</si>
  <si>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</si>
  <si>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</si>
  <si>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</si>
  <si>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</si>
  <si>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</si>
  <si>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P0 88</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</si>
  <si>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</si>
  <si>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</si>
  <si>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</si>
  <si>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</si>
  <si>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</si>
  <si>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</si>
  <si>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</si>
  <si>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</si>
  <si>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</si>
  <si>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</si>
  <si>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</si>
  <si>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</si>
  <si>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</si>
  <si>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</si>
  <si>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</si>
  <si>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</si>
  <si>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</si>
  <si>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</si>
  <si>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</si>
  <si>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</si>
  <si>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</si>
  <si>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</si>
  <si>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</si>
  <si>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</si>
  <si>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</si>
  <si>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</si>
  <si>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</si>
  <si>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</si>
  <si>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</si>
  <si>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</si>
  <si>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</si>
  <si>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</si>
  <si>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</si>
  <si>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</si>
  <si>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</si>
  <si>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</si>
  <si>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</si>
  <si>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</si>
  <si>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</si>
  <si>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</si>
  <si>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</si>
  <si>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P0 84</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</si>
  <si>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</si>
  <si>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</si>
  <si>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</si>
  <si>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</si>
  <si>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</si>
  <si>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</si>
  <si>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</si>
  <si>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</si>
  <si>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</si>
  <si>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</si>
  <si>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</si>
  <si>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</si>
  <si>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</si>
  <si>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</si>
  <si>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</si>
  <si>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</si>
  <si>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</si>
  <si>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</si>
  <si>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</si>
  <si>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</si>
  <si>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</si>
  <si>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</si>
  <si>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</si>
  <si>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</si>
  <si>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P1 76</t>
  </si>
  <si>
    <t>JOB-RANDOM</t>
  </si>
  <si>
    <t>Scheduled job</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</si>
  <si>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</si>
  <si>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</si>
  <si>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</si>
  <si>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</si>
  <si>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</si>
  <si>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</si>
  <si>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</si>
  <si>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</si>
  <si>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</si>
  <si>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</si>
  <si>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JOB-AUTO</t>
  </si>
  <si>
    <t>event-auto-inviter</t>
  </si>
  <si>
    <t>Real scheduler invites eligible users</t>
  </si>
  <si>
    <t>DELTA event/member activity when invites created</t>
  </si>
  <si>
    <t>DELTA scheduler/audit and Events/Members/outbox</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</si>
  <si>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</si>
  <si>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</si>
  <si>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</si>
  <si>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</si>
  <si>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JOB-TOURNAMENT</t>
  </si>
  <si>
    <t>event-tournament-review</t>
  </si>
  <si>
    <t>Real scheduler reviews stage transitions</t>
  </si>
  <si>
    <t>DELTA scheduler/audit; INDIRECT domain/outbox</t>
  </si>
  <si>
    <t>DELTA stage review/advancement/score-plan/notifications</t>
  </si>
  <si>
    <t>MANUAL FUNCTIONAL PASS</t>
  </si>
  <si>
    <t>Fixture/service/common lifecycle tests</t>
  </si>
  <si>
    <t>Capture Monitoring plus key browser state</t>
  </si>
  <si>
    <t>Primary domain oracle passed</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</si>
  <si>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</si>
  <si>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</si>
  <si>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</si>
  <si>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</si>
  <si>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</si>
  <si>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</si>
  <si>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JOB-BASKET</t>
  </si>
  <si>
    <t>event-checkout-basket-purge</t>
  </si>
  <si>
    <t>Real scheduler purges expired basket rows</t>
  </si>
  <si>
    <t>DELTA scheduler/audit</t>
  </si>
  <si>
    <t>DELTA basket resultState deleted and pending count</t>
  </si>
  <si>
    <t>Capture Monitoring delta in browser</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</si>
  <si>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</si>
  <si>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</si>
  <si>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</si>
  <si>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</si>
  <si>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</si>
  <si>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</si>
  <si>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</si>
  <si>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</si>
  <si>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</si>
  <si>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</si>
  <si>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</si>
  <si>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</si>
  <si>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</si>
  <si>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</si>
  <si>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</si>
  <si>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</si>
  <si>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</si>
  <si>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</si>
  <si>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</si>
  <si>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</si>
  <si>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</si>
  <si>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</si>
  <si>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</si>
  <si>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</si>
  <si>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</si>
  <si>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JOB-MESSAGES</t>
  </si>
  <si>
    <t>scheduled-messages</t>
  </si>
  <si>
    <t>Real scheduler dispatches due messages</t>
  </si>
  <si>
    <t>DELTA scheduler/audit; INDIRECT Notifications/outbox</t>
  </si>
  <si>
    <t>DELTA task audit plus notification/email result</t>
  </si>
  <si>
    <t>Capture recipient UI and Monitoring</t>
  </si>
  <si>
    <t>JOB-PURGE</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</si>
  <si>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</si>
  <si>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</si>
  <si>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</si>
  <si>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</si>
  <si>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</si>
  <si>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</si>
  <si>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Capture graph totals and Monitoring delta</t>
  </si>
  <si>
    <t>P0 98</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</si>
  <si>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</si>
  <si>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</si>
  <si>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</si>
  <si>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</si>
  <si>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</si>
  <si>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</si>
  <si>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</si>
  <si>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</si>
  <si>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</si>
  <si>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</si>
  <si>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</si>
  <si>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</si>
  <si>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</si>
  <si>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</si>
  <si>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</si>
  <si>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</si>
  <si>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</si>
  <si>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</si>
  <si>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</si>
  <si>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</si>
  <si>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</si>
  <si>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</si>
  <si>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</si>
  <si>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</si>
  <si>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</si>
  <si>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</si>
  <si>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</si>
  <si>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</si>
  <si>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</si>
  <si>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</si>
  <si>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</si>
  <si>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</si>
  <si>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</si>
  <si>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</si>
  <si>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</si>
  <si>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</si>
  <si>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</si>
  <si>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</si>
  <si>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</si>
  <si>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</si>
  <si>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</si>
  <si>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</si>
  <si>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</si>
  <si>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</si>
  <si>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</si>
  <si>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</si>
  <si>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</si>
  <si>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</si>
  <si>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</si>
  <si>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</si>
  <si>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</si>
  <si>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</si>
  <si>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</si>
  <si>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</si>
  <si>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</si>
  <si>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</si>
  <si>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</si>
  <si>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</si>
  <si>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</si>
  <si>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</si>
  <si>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</si>
  <si>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</si>
  <si>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</si>
  <si>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</si>
  <si>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</si>
  <si>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</si>
  <si>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</si>
  <si>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</si>
  <si>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</si>
  <si>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</si>
  <si>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</si>
  <si>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</si>
  <si>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</si>
  <si>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</si>
  <si>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</si>
  <si>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</si>
  <si>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</si>
  <si>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</si>
  <si>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</si>
  <si>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</si>
  <si>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</si>
  <si>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</si>
  <si>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</si>
  <si>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</si>
  <si>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</si>
  <si>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</si>
  <si>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</si>
  <si>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</si>
  <si>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</si>
  <si>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</si>
  <si>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</si>
  <si>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</si>
  <si>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</si>
  <si>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PASS / CLOSED</t>
  </si>
  <si>
    <t>2026-08-13</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</si>
  <si>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</si>
  <si>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</si>
  <si>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</si>
  <si>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</si>
  <si>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</si>
  <si>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</si>
  <si>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</si>
  <si>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</si>
  <si>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</si>
  <si>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</si>
  <si>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</si>
  <si>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</si>
  <si>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</si>
  <si>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</si>
  <si>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</si>
  <si>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</si>
  <si>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</si>
  <si>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</si>
  <si>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</si>
  <si>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</si>
  <si>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</si>
  <si>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</si>
  <si>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</si>
  <si>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</si>
  <si>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</si>
  <si>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</si>
  <si>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</si>
  <si>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</si>
  <si>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</si>
  <si>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</si>
  <si>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</si>
  <si>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</si>
  <si>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</si>
  <si>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</si>
  <si>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</si>
  <si>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</si>
  <si>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</si>
  <si>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</si>
  <si>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</si>
  <si>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</si>
  <si>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</si>
  <si>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</si>
  <si>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</si>
  <si>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</si>
  <si>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</si>
  <si>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</si>
  <si>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</si>
  <si>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</si>
  <si>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</si>
  <si>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</si>
  <si>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</si>
  <si>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</si>
  <si>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</si>
  <si>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</si>
  <si>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</si>
  <si>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</si>
  <si>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</si>
  <si>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</si>
  <si>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</si>
  <si>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</si>
  <si>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</si>
  <si>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</si>
  <si>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</si>
  <si>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</si>
  <si>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</si>
  <si>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</si>
  <si>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</si>
  <si>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</si>
  <si>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</si>
  <si>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</si>
  <si>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</si>
  <si>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</si>
  <si>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</si>
  <si>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</si>
  <si>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</si>
  <si>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</si>
  <si>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</si>
  <si>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</si>
  <si>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</si>
  <si>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</si>
  <si>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</si>
  <si>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</si>
  <si>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</si>
  <si>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</si>
  <si>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</si>
  <si>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</si>
  <si>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</si>
  <si>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</si>
  <si>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</si>
  <si>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</si>
  <si>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</si>
  <si>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</si>
  <si>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</si>
  <si>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</si>
  <si>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</si>
  <si>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</si>
  <si>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</si>
  <si>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</si>
  <si>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</si>
  <si>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</si>
  <si>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</si>
  <si>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</si>
  <si>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</si>
  <si>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2026-08-14</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</si>
  <si>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</si>
  <si>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</si>
  <si>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</si>
  <si>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</si>
  <si>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</si>
  <si>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</si>
  <si>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</si>
  <si>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</si>
  <si>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</si>
  <si>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</si>
  <si>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</si>
  <si>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</si>
  <si>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</si>
  <si>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</si>
  <si>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</si>
  <si>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</si>
  <si>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</si>
  <si>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</si>
  <si>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</si>
  <si>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</si>
  <si>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</si>
  <si>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</si>
  <si>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</si>
  <si>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</si>
  <si>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</si>
  <si>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</si>
  <si>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</si>
  <si>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</si>
  <si>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</si>
  <si>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</si>
  <si>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</si>
  <si>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</si>
  <si>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</si>
  <si>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</si>
  <si>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</si>
  <si>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</si>
  <si>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</si>
  <si>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</si>
  <si>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</si>
  <si>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</si>
  <si>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</si>
  <si>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</si>
  <si>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</si>
  <si>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</si>
  <si>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</si>
  <si>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</si>
  <si>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</si>
  <si>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</si>
  <si>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</si>
  <si>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</si>
  <si>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</si>
  <si>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</si>
  <si>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</si>
  <si>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</si>
  <si>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</si>
  <si>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</si>
  <si>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</si>
  <si>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</si>
  <si>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</si>
  <si>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</si>
  <si>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</si>
  <si>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</si>
  <si>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</si>
  <si>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</si>
  <si>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</si>
  <si>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</si>
  <si>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</si>
  <si>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</si>
  <si>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</si>
  <si>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</si>
  <si>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</si>
  <si>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</si>
  <si>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</si>
  <si>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</si>
  <si>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</si>
  <si>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</si>
  <si>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</si>
  <si>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</si>
  <si>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</si>
  <si>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</si>
  <si>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</si>
  <si>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</si>
  <si>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</si>
  <si>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</si>
  <si>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</si>
  <si>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</si>
  <si>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</si>
  <si>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</si>
  <si>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</si>
  <si>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</si>
  <si>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</si>
  <si>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</si>
  <si>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</si>
  <si>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</si>
  <si>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</si>
  <si>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</si>
  <si>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</si>
  <si>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</si>
  <si>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</si>
  <si>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</si>
  <si>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</si>
  <si>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</si>
  <si>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</si>
  <si>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</si>
  <si>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</si>
  <si>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</si>
  <si>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</si>
  <si>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</si>
  <si>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</si>
  <si>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</si>
  <si>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</si>
  <si>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</si>
  <si>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</si>
  <si>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</si>
  <si>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</si>
  <si>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</si>
  <si>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</si>
  <si>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</si>
  <si>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</si>
  <si>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</si>
  <si>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</si>
  <si>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</si>
  <si>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</si>
  <si>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</si>
  <si>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</si>
  <si>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</si>
  <si>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</si>
  <si>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</si>
  <si>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</si>
  <si>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</si>
  <si>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</si>
  <si>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</si>
  <si>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</si>
  <si>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</si>
  <si>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</si>
  <si>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</si>
  <si>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</si>
  <si>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</si>
  <si>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</si>
  <si>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</si>
  <si>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</si>
  <si>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</si>
  <si>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</si>
  <si>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</si>
  <si>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</si>
  <si>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</si>
  <si>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</si>
  <si>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</si>
  <si>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</si>
  <si>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</si>
  <si>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</si>
  <si>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</si>
  <si>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</si>
  <si>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</si>
  <si>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</si>
  <si>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</si>
  <si>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</si>
  <si>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</si>
  <si>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</si>
  <si>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</si>
  <si>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</si>
  <si>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</si>
  <si>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</si>
  <si>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</si>
  <si>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</si>
  <si>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</si>
  <si>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</si>
  <si>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</si>
  <si>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</si>
  <si>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</si>
  <si>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</si>
  <si>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</si>
  <si>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</si>
  <si>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</si>
  <si>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</si>
  <si>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</si>
  <si>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</si>
  <si>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</si>
  <si>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</si>
  <si>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</si>
  <si>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</si>
  <si>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</si>
  <si>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</si>
  <si>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</si>
  <si>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</si>
  <si>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</si>
  <si>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</si>
  <si>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</si>
  <si>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</si>
  <si>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</si>
  <si>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</si>
  <si>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</si>
  <si>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</si>
  <si>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</si>
  <si>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</si>
  <si>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</si>
  <si>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</si>
  <si>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</si>
  <si>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</si>
  <si>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</si>
  <si>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</si>
  <si>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</si>
  <si>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</si>
  <si>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</si>
  <si>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</si>
  <si>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</si>
  <si>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</si>
  <si>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</si>
  <si>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</si>
  <si>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</si>
  <si>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</si>
  <si>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</si>
  <si>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</si>
  <si>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</si>
  <si>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</si>
  <si>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</si>
  <si>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</si>
  <si>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</si>
  <si>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</si>
  <si>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</si>
  <si>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</si>
  <si>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</si>
  <si>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</si>
  <si>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</si>
  <si>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</si>
  <si>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</si>
  <si>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</si>
  <si>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</si>
  <si>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</si>
  <si>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</si>
  <si>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</si>
  <si>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</si>
  <si>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</si>
  <si>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</si>
  <si>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</si>
  <si>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</si>
  <si>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</si>
  <si>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</si>
  <si>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</si>
  <si>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</si>
  <si>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</si>
  <si>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</si>
  <si>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</si>
  <si>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</si>
  <si>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</si>
  <si>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</si>
  <si>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</si>
  <si>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</si>
  <si>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</si>
  <si>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</si>
  <si>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</si>
  <si>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</si>
  <si>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</si>
  <si>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</si>
  <si>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</si>
  <si>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</si>
  <si>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</si>
  <si>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</si>
  <si>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</si>
  <si>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</si>
  <si>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</si>
  <si>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</si>
  <si>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</si>
  <si>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</si>
  <si>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</si>
  <si>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</si>
  <si>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</si>
  <si>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</si>
  <si>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</si>
  <si>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</si>
  <si>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</si>
  <si>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</si>
  <si>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</si>
  <si>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</si>
  <si>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</si>
  <si>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</si>
  <si>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</si>
  <si>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</si>
  <si>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</si>
  <si>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</si>
  <si>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</si>
  <si>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</si>
  <si>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</si>
  <si>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</si>
  <si>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</si>
  <si>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</si>
  <si>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</si>
  <si>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</si>
  <si>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</si>
  <si>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</si>
  <si>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</si>
  <si>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</si>
  <si>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</si>
  <si>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</si>
  <si>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</si>
  <si>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</si>
  <si>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</si>
  <si>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</si>
  <si>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</si>
  <si>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</si>
  <si>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</si>
  <si>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</si>
  <si>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</si>
  <si>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</si>
  <si>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</si>
  <si>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</si>
  <si>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</si>
  <si>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PARTIAL PASS / FIREBASE LOGIN PENDING</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</si>
  <si>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</si>
  <si>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 Real Firebase login partition retention is not executed because deployment Firebase client configuration is inactive.</t>
  </si>
  <si>
    <t>• Activate a verified deployment Firebase client revision in its operator checkpoint
• In a fresh eligible browser complete ordinary Firebase authentication
• Prove the resolved country partition survives the authentication/profile path and no demo fallback was used</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</si>
  <si>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Demo selection is a public CTA control, not evidence for Firebase authentication.</t>
  </si>
  <si>
    <t>TOURNAMENT-001</t>
  </si>
  <si>
    <t>Tournament</t>
  </si>
  <si>
    <t>Inspect saved tournament definition before grouping</t>
  </si>
  <si>
    <t>INDIRECT event inventory only</t>
  </si>
  <si>
    <t>DELTA definition write; runtime processing X</t>
  </si>
  <si>
    <t>Tournament grouping/review X</t>
  </si>
  <si>
    <t>Parent, stages, capacities, sequence and initial counts agree</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</si>
  <si>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</si>
  <si>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</si>
  <si>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</si>
  <si>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</si>
  <si>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</si>
  <si>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</si>
  <si>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</si>
  <si>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</si>
  <si>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</si>
  <si>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</si>
  <si>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</si>
  <si>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</si>
  <si>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</si>
  <si>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</si>
  <si>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</si>
  <si>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</si>
  <si>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</si>
  <si>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</si>
  <si>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</si>
  <si>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IN PROGRESS / VISUAL OUTCOME SPLIT NEXT</t>
  </si>
  <si>
    <t>Tournament-review fixture/service coverage; deterministic review harness, exact notification no-op verifier, manual actor-boundary regression, separate advanced/not-advanced outcomes and EN/HU keys added</t>
  </si>
  <si>
    <t>Compare Nova, Casey and Riley unread lists without another Finalize or worker replay</t>
  </si>
  <si>
    <t>Persisted PASS: Casey manual Finalize remains a separate human-sender Nova+Riley intent; worker count1 wrote exact Casey+Riley Final membership, automatic Casey+Riley advancement and automatic Nova non-advancement with source/destination stages and matching stage avatars. Worker count0 replay preserved byte-exact domain and notification state. Only three-browser visual rendering remains.</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</si>
  <si>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</si>
  <si>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</si>
  <si>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</si>
  <si>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</si>
  <si>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</si>
  <si>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</si>
  <si>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</si>
  <si>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</si>
  <si>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</si>
  <si>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</si>
  <si>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</si>
  <si>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</si>
  <si>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</si>
  <si>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</si>
  <si>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</si>
  <si>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</si>
  <si>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</si>
  <si>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ASSET-ASSIGN-001</t>
  </si>
  <si>
    <t>Event resources</t>
  </si>
  <si>
    <t>Assign one accepted user's asset to one sub-event</t>
  </si>
  <si>
    <t>INDIRECT asset/event activity</t>
  </si>
  <si>
    <t>DELTA assignment and availability projection</t>
  </si>
  <si>
    <t>CONDITIONAL availability/outbox; scheduler X unless explicitly documented</t>
  </si>
  <si>
    <t>Event, sub-event, asset owner, asset ID and capacity agree</t>
  </si>
  <si>
    <t>Asset assignment lifecycle coverage partial</t>
  </si>
  <si>
    <t>Compare assignment record, Event Resources and asset UI</t>
  </si>
  <si>
    <t>Assignment must not create a second membership</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</si>
  <si>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</si>
  <si>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</si>
  <si>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</si>
  <si>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</si>
  <si>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</si>
  <si>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</si>
  <si>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</si>
  <si>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</si>
  <si>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</si>
  <si>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</si>
  <si>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</si>
  <si>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</si>
  <si>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</si>
  <si>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</si>
  <si>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</si>
  <si>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</si>
  <si>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</si>
  <si>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</si>
  <si>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</si>
  <si>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</si>
  <si>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</si>
  <si>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</si>
  <si>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</si>
  <si>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</si>
  <si>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</si>
  <si>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</si>
  <si>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</si>
  <si>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</si>
  <si>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</si>
  <si>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</si>
  <si>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</si>
  <si>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</si>
  <si>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</si>
  <si>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</si>
  <si>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</si>
  <si>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</si>
  <si>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</si>
  <si>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</si>
  <si>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</si>
  <si>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</si>
  <si>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</si>
  <si>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</si>
  <si>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</si>
  <si>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</si>
  <si>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</si>
  <si>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</si>
  <si>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</si>
  <si>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</si>
  <si>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</si>
  <si>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</si>
  <si>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</si>
  <si>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</si>
  <si>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</si>
  <si>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</si>
  <si>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</si>
  <si>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</si>
  <si>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</si>
  <si>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</si>
  <si>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</si>
  <si>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</si>
  <si>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</si>
  <si>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</si>
  <si>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</si>
  <si>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</si>
  <si>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</si>
  <si>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</si>
  <si>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</si>
  <si>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</si>
  <si>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</si>
  <si>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</si>
  <si>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</si>
  <si>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</si>
  <si>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</si>
  <si>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</si>
  <si>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</si>
  <si>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</si>
  <si>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</si>
  <si>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</si>
  <si>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</si>
  <si>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</si>
  <si>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</si>
  <si>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</si>
  <si>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</si>
  <si>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</si>
  <si>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</si>
  <si>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</si>
  <si>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</si>
  <si>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</si>
  <si>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</si>
  <si>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</si>
  <si>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</si>
  <si>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</si>
  <si>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</si>
  <si>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</si>
  <si>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</si>
  <si>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</si>
  <si>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</si>
  <si>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</si>
  <si>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</si>
  <si>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</si>
  <si>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</si>
  <si>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</si>
  <si>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</si>
  <si>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</si>
  <si>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</si>
  <si>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</si>
  <si>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</si>
  <si>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</si>
  <si>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</si>
  <si>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</si>
  <si>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</si>
  <si>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</si>
  <si>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</si>
  <si>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</si>
  <si>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</si>
  <si>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</si>
  <si>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</si>
  <si>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</si>
  <si>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</si>
  <si>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</si>
  <si>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</si>
  <si>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</si>
  <si>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</si>
  <si>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</si>
  <si>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</si>
  <si>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</si>
  <si>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</si>
  <si>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</si>
  <si>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</si>
  <si>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</si>
  <si>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</si>
  <si>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</si>
  <si>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</si>
  <si>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</si>
  <si>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</si>
  <si>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</si>
  <si>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</si>
  <si>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</si>
  <si>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</si>
  <si>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</si>
  <si>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</si>
  <si>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</si>
  <si>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</si>
  <si>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</si>
  <si>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</si>
  <si>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</si>
  <si>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</si>
  <si>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</si>
  <si>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</si>
  <si>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</si>
  <si>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</si>
  <si>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</si>
  <si>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</si>
  <si>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</si>
  <si>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</si>
  <si>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</si>
  <si>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</si>
  <si>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</si>
  <si>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</si>
  <si>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</si>
  <si>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</si>
  <si>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</si>
  <si>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</si>
  <si>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</si>
  <si>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</si>
  <si>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</si>
  <si>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</si>
  <si>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</si>
  <si>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</si>
  <si>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</si>
  <si>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</si>
  <si>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</si>
  <si>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</si>
  <si>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</si>
  <si>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</si>
  <si>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</si>
  <si>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</si>
  <si>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</si>
  <si>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</si>
  <si>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</si>
  <si>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</si>
  <si>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</si>
  <si>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</si>
  <si>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</si>
  <si>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</si>
  <si>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</si>
  <si>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</si>
  <si>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</si>
  <si>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</si>
  <si>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</si>
  <si>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</si>
  <si>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</si>
  <si>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</si>
  <si>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</si>
  <si>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</si>
  <si>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</si>
  <si>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</si>
  <si>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</si>
  <si>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</si>
  <si>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</si>
  <si>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</si>
  <si>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</si>
  <si>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</si>
  <si>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</si>
  <si>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</si>
  <si>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</si>
  <si>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</si>
  <si>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</si>
  <si>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</si>
  <si>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</si>
  <si>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</si>
  <si>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DESIGN CAPTURED / NOT RUN</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</si>
  <si>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</si>
  <si>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</si>
  <si>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</si>
  <si>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</si>
  <si>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</si>
  <si>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</si>
  <si>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</si>
  <si>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</si>
  <si>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</si>
  <si>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</si>
  <si>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</si>
  <si>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</si>
  <si>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</si>
  <si>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</si>
  <si>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</si>
  <si>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</si>
  <si>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</si>
  <si>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</si>
  <si>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</si>
  <si>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</si>
  <si>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</si>
  <si>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</si>
  <si>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</si>
  <si>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</si>
  <si>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</si>
  <si>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</si>
  <si>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</si>
  <si>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</si>
  <si>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</si>
  <si>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</si>
  <si>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</si>
  <si>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</si>
  <si>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</si>
  <si>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</si>
  <si>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</si>
  <si>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</si>
  <si>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</si>
  <si>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</si>
  <si>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</si>
  <si>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</si>
  <si>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ENTRY-FIREBASE-REG-001</t>
  </si>
  <si>
    <t>Register and onboard one new verified Firebase identity</t>
  </si>
  <si>
    <t>DELTA one subject/user/profile link</t>
  </si>
  <si>
    <t>Reload/login reuses one user and cannot collide with demo or global identity</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</si>
  <si>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</si>
  <si>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</si>
  <si>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</si>
  <si>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</si>
  <si>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</si>
  <si>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</si>
  <si>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</si>
  <si>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</si>
  <si>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</si>
  <si>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</si>
  <si>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</si>
  <si>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</si>
  <si>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</si>
  <si>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</si>
  <si>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</si>
  <si>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</si>
  <si>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</si>
  <si>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</si>
  <si>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</si>
  <si>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</si>
  <si>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</si>
  <si>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</si>
  <si>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</si>
  <si>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</si>
  <si>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</si>
  <si>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</si>
  <si>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</si>
  <si>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</si>
  <si>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</si>
  <si>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</si>
  <si>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</si>
  <si>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</si>
  <si>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</si>
  <si>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</si>
  <si>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</si>
  <si>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</si>
  <si>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</si>
  <si>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</si>
  <si>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</si>
  <si>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</si>
  <si>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</si>
  <si>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</si>
  <si>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</si>
  <si>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</si>
  <si>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</si>
  <si>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</si>
  <si>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</si>
  <si>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</si>
  <si>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</si>
  <si>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</si>
  <si>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</si>
  <si>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</si>
  <si>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</si>
  <si>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</si>
  <si>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</si>
  <si>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</si>
  <si>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</si>
  <si>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</si>
  <si>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Expansion checkpoint CP04</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</si>
  <si>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</si>
  <si>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</si>
  <si>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</si>
  <si>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</si>
  <si>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</si>
  <si>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</si>
  <si>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</si>
  <si>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</si>
  <si>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</si>
  <si>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</si>
  <si>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</si>
  <si>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</si>
  <si>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</si>
  <si>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DESIGN CAPTURED / REAL DEVICE NOT RUN</t>
  </si>
  <si>
    <t>Firebase messaging implementation exists; real-device capability run pending</t>
  </si>
  <si>
    <t>Use ADB/device and backend outbox/provider oracle; inspect secret-safe evidence</t>
  </si>
  <si>
    <t>Do not record the raw token in QA files</t>
  </si>
  <si>
    <t>MOBILE-PUSH-001</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</si>
  <si>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</si>
  <si>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</si>
  <si>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</si>
  <si>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</si>
  <si>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</si>
  <si>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</si>
  <si>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</si>
  <si>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</si>
  <si>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</si>
  <si>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</si>
  <si>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</si>
  <si>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</si>
  <si>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</si>
  <si>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</si>
  <si>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</si>
  <si>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</si>
  <si>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</si>
  <si>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</si>
  <si>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</si>
  <si>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</si>
  <si>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</si>
  <si>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</si>
  <si>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</si>
  <si>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</si>
  <si>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</si>
  <si>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</si>
  <si>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</si>
  <si>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</si>
  <si>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</si>
  <si>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</si>
  <si>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</si>
  <si>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</si>
  <si>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</si>
  <si>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</si>
  <si>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</si>
  <si>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</si>
  <si>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</si>
  <si>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</si>
  <si>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</si>
  <si>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</si>
  <si>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</si>
  <si>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</si>
  <si>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</si>
  <si>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</si>
  <si>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</si>
  <si>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</si>
  <si>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</si>
  <si>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</si>
  <si>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</si>
  <si>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</si>
  <si>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</si>
  <si>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</si>
  <si>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</si>
  <si>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</si>
  <si>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</si>
  <si>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</si>
  <si>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</si>
  <si>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</si>
  <si>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</si>
  <si>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</si>
  <si>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</si>
  <si>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</si>
  <si>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</si>
  <si>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</si>
  <si>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</si>
  <si>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</si>
  <si>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</si>
  <si>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</si>
  <si>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</si>
  <si>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</si>
  <si>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</si>
  <si>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</si>
  <si>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</si>
  <si>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</si>
  <si>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</si>
  <si>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</si>
  <si>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</si>
  <si>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</si>
  <si>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</si>
  <si>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</si>
  <si>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</si>
  <si>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</si>
  <si>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</si>
  <si>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</si>
  <si>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</si>
  <si>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</si>
  <si>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</si>
  <si>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</si>
  <si>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</si>
  <si>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</si>
  <si>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</si>
  <si>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</si>
  <si>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</si>
  <si>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</si>
  <si>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</si>
  <si>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</si>
  <si>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</si>
  <si>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INDIRECT consumer/admin availability</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</si>
  <si>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</si>
  <si>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</si>
  <si>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</si>
  <si>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</si>
  <si>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</si>
  <si>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</si>
  <si>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</si>
  <si>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</si>
  <si>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</si>
  <si>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</si>
  <si>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</si>
  <si>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</si>
  <si>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</si>
  <si>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</si>
  <si>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</si>
  <si>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P1 90</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</si>
  <si>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</si>
  <si>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</si>
  <si>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</si>
  <si>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</si>
  <si>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</si>
  <si>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</si>
  <si>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</si>
  <si>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</si>
  <si>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</si>
  <si>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</si>
  <si>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</si>
  <si>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</si>
  <si>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</si>
  <si>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</si>
  <si>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</si>
  <si>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</si>
  <si>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</si>
  <si>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</si>
  <si>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</si>
  <si>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</si>
  <si>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</si>
  <si>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</si>
  <si>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</si>
  <si>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</si>
  <si>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</si>
  <si>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</si>
  <si>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</si>
  <si>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</si>
  <si>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</si>
  <si>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</si>
  <si>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</si>
  <si>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</si>
  <si>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</si>
  <si>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</si>
  <si>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</si>
  <si>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</si>
  <si>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</si>
  <si>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</si>
  <si>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</si>
  <si>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</si>
  <si>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</si>
  <si>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</si>
  <si>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</si>
  <si>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</si>
  <si>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</si>
  <si>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</si>
  <si>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</si>
  <si>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</si>
  <si>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</si>
  <si>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</si>
  <si>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</si>
  <si>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</si>
  <si>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</si>
  <si>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</si>
  <si>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</si>
  <si>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</si>
  <si>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</si>
  <si>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</si>
  <si>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</si>
  <si>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</si>
  <si>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</si>
  <si>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</si>
  <si>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</si>
  <si>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</si>
  <si>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</si>
  <si>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</si>
  <si>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</si>
  <si>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</si>
  <si>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</si>
  <si>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</si>
  <si>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</si>
  <si>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</si>
  <si>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</si>
  <si>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</si>
  <si>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</si>
  <si>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</si>
  <si>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</si>
  <si>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</si>
  <si>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</si>
  <si>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</si>
  <si>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</si>
  <si>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</si>
  <si>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</si>
  <si>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</si>
  <si>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</si>
  <si>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</si>
  <si>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</si>
  <si>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</si>
  <si>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</si>
  <si>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</si>
  <si>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</si>
  <si>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</si>
  <si>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</si>
  <si>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</si>
  <si>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</si>
  <si>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</si>
  <si>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</si>
  <si>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</si>
  <si>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</si>
  <si>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</si>
  <si>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</si>
  <si>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</si>
  <si>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</si>
  <si>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</si>
  <si>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</si>
  <si>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</si>
  <si>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</si>
  <si>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</si>
  <si>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</si>
  <si>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</si>
  <si>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</si>
  <si>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</si>
  <si>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</si>
  <si>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</si>
  <si>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</si>
  <si>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</si>
  <si>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</si>
  <si>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</si>
  <si>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</si>
  <si>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</si>
  <si>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</si>
  <si>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</si>
  <si>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</si>
  <si>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</si>
  <si>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</si>
  <si>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</si>
  <si>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</si>
  <si>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</si>
  <si>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</si>
  <si>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</si>
  <si>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</si>
  <si>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</si>
  <si>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</si>
  <si>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</si>
  <si>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</si>
  <si>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</si>
  <si>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</si>
  <si>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</si>
  <si>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</si>
  <si>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</si>
  <si>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</si>
  <si>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</si>
  <si>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</si>
  <si>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</si>
  <si>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</si>
  <si>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</si>
  <si>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</si>
  <si>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</si>
  <si>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</si>
  <si>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</si>
  <si>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</si>
  <si>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</si>
  <si>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</si>
  <si>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</si>
  <si>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</si>
  <si>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</si>
  <si>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</si>
  <si>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</si>
  <si>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</si>
  <si>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</si>
  <si>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</si>
  <si>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</si>
  <si>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P1 92</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</si>
  <si>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</si>
  <si>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</si>
  <si>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</si>
  <si>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</si>
  <si>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</si>
  <si>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</si>
  <si>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</si>
  <si>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</si>
  <si>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</si>
  <si>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</si>
  <si>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</si>
  <si>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</si>
  <si>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</si>
  <si>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</si>
  <si>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</si>
  <si>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</si>
  <si>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</si>
  <si>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</si>
  <si>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</si>
  <si>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</si>
  <si>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</si>
  <si>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</si>
  <si>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</si>
  <si>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</si>
  <si>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</si>
  <si>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</si>
  <si>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</si>
  <si>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</si>
  <si>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</si>
  <si>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</si>
  <si>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</si>
  <si>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</si>
  <si>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</si>
  <si>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</si>
  <si>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</si>
  <si>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</si>
  <si>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</si>
  <si>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</si>
  <si>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</si>
  <si>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</si>
  <si>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</si>
  <si>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</si>
  <si>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</si>
  <si>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</si>
  <si>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</si>
  <si>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</si>
  <si>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</si>
  <si>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</si>
  <si>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</si>
  <si>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</si>
  <si>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</si>
  <si>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</si>
  <si>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</si>
  <si>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</si>
  <si>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</si>
  <si>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</si>
  <si>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</si>
  <si>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</si>
  <si>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</si>
  <si>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</si>
  <si>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</si>
  <si>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</si>
  <si>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</si>
  <si>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</si>
  <si>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</si>
  <si>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</si>
  <si>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</si>
  <si>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</si>
  <si>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</si>
  <si>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</si>
  <si>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</si>
  <si>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</si>
  <si>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</si>
  <si>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</si>
  <si>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ADMIN-NOTIFICATION-RULE-001</t>
  </si>
  <si>
    <t>Expansion checkpoint CP09</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</si>
  <si>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</si>
  <si>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</si>
  <si>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</si>
  <si>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</si>
  <si>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</si>
  <si>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</si>
  <si>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</si>
  <si>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</si>
  <si>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</si>
  <si>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</si>
  <si>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</si>
  <si>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</si>
  <si>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</si>
  <si>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</si>
  <si>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</si>
  <si>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</si>
  <si>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</si>
  <si>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</si>
  <si>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</si>
  <si>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</si>
  <si>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</si>
  <si>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</si>
  <si>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</si>
  <si>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</si>
  <si>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</si>
  <si>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</si>
  <si>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</si>
  <si>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</si>
  <si>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</si>
  <si>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</si>
  <si>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</si>
  <si>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</si>
  <si>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</si>
  <si>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</si>
  <si>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</si>
  <si>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</si>
  <si>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</si>
  <si>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</si>
  <si>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</si>
  <si>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</si>
  <si>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</si>
  <si>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</si>
  <si>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</si>
  <si>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</si>
  <si>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</si>
  <si>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</si>
  <si>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</si>
  <si>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</si>
  <si>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</si>
  <si>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ADMIN-SUPPORT-SESSION-001</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</si>
  <si>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</si>
  <si>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</si>
  <si>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</si>
  <si>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</si>
  <si>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</si>
  <si>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</si>
  <si>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</si>
  <si>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</si>
  <si>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</si>
  <si>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</si>
  <si>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</si>
  <si>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</si>
  <si>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</si>
  <si>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</si>
  <si>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</si>
  <si>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</si>
  <si>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</si>
  <si>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</si>
  <si>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</si>
  <si>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</si>
  <si>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</si>
  <si>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</si>
  <si>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</si>
  <si>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</si>
  <si>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</si>
  <si>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</si>
  <si>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</si>
  <si>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</si>
  <si>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</si>
  <si>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</si>
  <si>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</si>
  <si>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</si>
  <si>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</si>
  <si>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</si>
  <si>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</si>
  <si>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</si>
  <si>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</si>
  <si>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</si>
  <si>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</si>
  <si>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</si>
  <si>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</si>
  <si>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</si>
  <si>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</si>
  <si>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</si>
  <si>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</si>
  <si>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</si>
  <si>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</si>
  <si>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</si>
  <si>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</si>
  <si>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</si>
  <si>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</si>
  <si>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</si>
  <si>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</si>
  <si>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</si>
  <si>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</si>
  <si>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</si>
  <si>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</si>
  <si>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</si>
  <si>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</si>
  <si>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</si>
  <si>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</si>
  <si>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</si>
  <si>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</si>
  <si>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</si>
  <si>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</si>
  <si>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</si>
  <si>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</si>
  <si>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</si>
  <si>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</si>
  <si>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</si>
  <si>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</si>
  <si>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</si>
  <si>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</si>
  <si>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</si>
  <si>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</si>
  <si>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</si>
  <si>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</si>
  <si>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</si>
  <si>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</si>
  <si>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</si>
  <si>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</si>
  <si>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</si>
  <si>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</si>
  <si>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</si>
  <si>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</si>
  <si>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</si>
  <si>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</si>
  <si>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</si>
  <si>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</si>
  <si>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</si>
  <si>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</si>
  <si>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</si>
  <si>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</si>
  <si>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</si>
  <si>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</si>
  <si>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TOURNAMENT-ROOM-LIFE-001</t>
  </si>
  <si>
    <t>Expansion checkpoint CP12</t>
  </si>
  <si>
    <t>Tournament room lifecycle</t>
  </si>
  <si>
    <t>One accepted generated-room member selects Leave event once</t>
  </si>
  <si>
    <t>DELTA member Active/All/Trash and Chat counters per participant-leave contract</t>
  </si>
  <si>
    <t>DELTA room membership, capacity and chat projection</t>
  </si>
  <si>
    <t>INDIRECT only if the documented withdrawal schedules recompute</t>
  </si>
  <si>
    <t>Generated-room membership/card/chat leave once; parent tournament role, stage and other rooms remain intact</t>
  </si>
  <si>
    <t>Generic participant leave coverage exists; generated tournament-room isolation is not yet exercised</t>
  </si>
  <si>
    <t>Capture room/parent membership, stage/group/standings/chat/counters before Leave; compare one terminal write and unchanged controls</t>
  </si>
  <si>
    <t>Discovered from the visible Casey R1 Leave event action during TOURNAMENT-002; menu visibility alone is not execution evidence</t>
  </si>
  <si>
    <t>TOURNAMENT-004</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</si>
  <si>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</si>
  <si>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</si>
  <si>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</si>
  <si>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</si>
  <si>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</si>
  <si>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</si>
  <si>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Shared tournament lifecycle write path, stage-name i18n payload and common stage-accent avatar coverage added; full final-stage browser replay not run</t>
  </si>
  <si>
    <t>Carry the proven Casey+Riley Final membership forward; compare manual and automatic actor rules, persisted Start/Finalize order, EN/HU rendering, stage avatar hue and unchanged replay</t>
  </si>
  <si>
    <t>Separate continuation after TOURNAMENT-003: assignment to Final is not Final Start, and Final stage closure is not merely another intermediate-stage finalized message</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</si>
</sst>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14">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R2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collapsed="false" customWidth="true" hidden="false" outlineLevel="0" max="1" min="1" style="0" width="23.0"/>
    <col collapsed="false" customWidth="true" hidden="false" outlineLevel="0" max="2" min="2" style="0" width="157.0"/>
    <col collapsed="false" customWidth="true" hidden="false" outlineLevel="0" max="3" min="3" style="0" width="2.5"/>
    <col collapsed="false" customWidth="true" hidden="false" outlineLevel="0" max="4" min="4" style="0" width="12.0"/>
    <col collapsed="false" customWidth="true" hidden="false" outlineLevel="0" max="5" min="5" style="0" width="9.0"/>
    <col collapsed="false" customWidth="true" hidden="false" outlineLevel="0" max="6" min="6" style="0" width="73.96"/>
    <col collapsed="false" customWidth="true" hidden="false" outlineLevel="0" max="7" min="7" style="0" width="58.68"/>
    <col collapsed="false" customWidth="true" hidden="false" outlineLevel="0" max="8" min="8" style="0" width="127.59"/>
    <col collapsed="false" customWidth="true" hidden="false" outlineLevel="0" max="9" min="9" style="0" width="129.67"/>
    <col collapsed="false" customWidth="true" hidden="false" outlineLevel="0" max="10" min="10" style="0" width="102.03"/>
    <col collapsed="false" customWidth="true" hidden="false" outlineLevel="0" max="11" min="11" style="0" width="15.46"/>
    <col collapsed="false" customWidth="true" hidden="false" outlineLevel="0" max="12" min="12" style="0" width="189.7"/>
    <col collapsed="false" customWidth="true" hidden="false" outlineLevel="0" max="13" min="13" style="0" width="173.03"/>
    <col collapsed="false" customWidth="true" hidden="false" outlineLevel="0" max="14" min="14" style="0" width="21.3"/>
    <col collapsed="false" customWidth="true" hidden="false" outlineLevel="0" max="15" min="15" style="0" width="295.9"/>
    <col collapsed="false" customWidth="true" hidden="false" outlineLevel="0" max="16" min="16" style="0" width="16.43"/>
    <col min="17" max="17" hidden="true" width="0.1" customWidth="true"/>
    <col min="18" max="18" hidden="true" width="0.1" customWidth="true"/>
  </cols>
  <sheetData>
    <row r="1" customFormat="false" ht="20" hidden="false" customHeight="true" outlineLevel="0" collapsed="false">
      <c r="A1" s="219" t="s">
        <v>0</v>
      </c>
      <c r="B1" s="221" t="s">
        <v>1</v>
      </c>
      <c r="C1" s="146" t="s">
        <v>1</v>
      </c>
      <c r="D1" s="147" t="s">
        <v>2</v>
      </c>
      <c r="E1" s="149" t="str">
        <f>COUNTIFS(Q10:Q200,"Done",R10:R200,"Core")&amp;" ("&amp;IF(COUNTIF(R10:R200,"Core")=0,"0%",TEXT(COUNTIFS(Q10:Q200,"Done",R10:R200,"Core")/COUNTIF(R10:R200,"Core"),"0%"))&amp;")"</f>
        <v>55 (41%)</v>
      </c>
      <c r="F1" s="146" t="s">
        <v>1</v>
      </c>
      <c r="G1" s="146" t="s">
        <v>1</v>
      </c>
      <c r="H1" s="146" t="s">
        <v>1</v>
      </c>
      <c r="I1" s="146" t="s">
        <v>1</v>
      </c>
      <c r="J1" s="146" t="s">
        <v>1</v>
      </c>
      <c r="K1" s="146" t="s">
        <v>1</v>
      </c>
      <c r="L1" s="146" t="s">
        <v>1</v>
      </c>
      <c r="M1" s="146" t="s">
        <v>1</v>
      </c>
      <c r="N1" s="146" t="s">
        <v>1</v>
      </c>
      <c r="O1" s="146" t="s">
        <v>1</v>
      </c>
      <c r="P1" s="146" t="s">
        <v>1</v>
      </c>
    </row>
    <row r="2" customFormat="false" ht="15" hidden="false" customHeight="false" outlineLevel="0" collapsed="false">
      <c r="A2" s="182" t="s">
        <v>4</v>
      </c>
      <c r="B2" s="183" t="s">
        <v>5</v>
      </c>
      <c r="C2" s="146" t="s">
        <v>1</v>
      </c>
      <c r="D2" s="158" t="s">
        <v>6</v>
      </c>
      <c r="E2" s="159">
        <f>COUNTIFS(Q10:Q200,"Pending",R10:R200,"Core")</f>
        <v>19</v>
      </c>
      <c r="F2" s="146" t="s">
        <v>1</v>
      </c>
      <c r="G2" s="146" t="s">
        <v>1</v>
      </c>
      <c r="H2" s="146" t="s">
        <v>1</v>
      </c>
      <c r="I2" s="146" t="s">
        <v>1</v>
      </c>
      <c r="J2" s="146" t="s">
        <v>1</v>
      </c>
      <c r="K2" s="146" t="s">
        <v>1</v>
      </c>
      <c r="L2" s="146" t="s">
        <v>1</v>
      </c>
      <c r="M2" s="146" t="s">
        <v>1</v>
      </c>
      <c r="N2" s="146" t="s">
        <v>1</v>
      </c>
      <c r="O2" s="146" t="s">
        <v>1</v>
      </c>
      <c r="P2" s="146" t="s">
        <v>1</v>
      </c>
    </row>
    <row r="3" customFormat="false" ht="15" hidden="false" customHeight="false" outlineLevel="0" collapsed="false">
      <c r="A3" s="190" t="s">
        <v>8</v>
      </c>
      <c r="B3" s="191" t="s">
        <v>9</v>
      </c>
      <c r="C3" s="146" t="s">
        <v>1</v>
      </c>
      <c r="D3" s="174" t="s">
        <v>10</v>
      </c>
      <c r="E3" s="175">
        <f>COUNTIFS(Q10:Q200,"Not started",R10:R200,"Core")</f>
        <v>61</v>
      </c>
      <c r="F3" s="146" t="s">
        <v>1</v>
      </c>
      <c r="G3" s="146" t="s">
        <v>1</v>
      </c>
      <c r="H3" s="146" t="s">
        <v>1</v>
      </c>
      <c r="I3" s="146" t="s">
        <v>1</v>
      </c>
      <c r="J3" s="146" t="s">
        <v>1</v>
      </c>
      <c r="K3" s="146" t="s">
        <v>1</v>
      </c>
      <c r="L3" s="146" t="s">
        <v>1</v>
      </c>
      <c r="M3" s="146" t="s">
        <v>1</v>
      </c>
      <c r="N3" s="146" t="s">
        <v>1</v>
      </c>
      <c r="O3" s="146" t="s">
        <v>1</v>
      </c>
      <c r="P3" s="146" t="s">
        <v>1</v>
      </c>
    </row>
    <row r="4" customFormat="false" ht="15" hidden="false" customHeight="false" outlineLevel="0" collapsed="false">
      <c r="A4" s="198" t="s">
        <v>12</v>
      </c>
      <c r="B4" s="199" t="s">
        <v>13</v>
      </c>
      <c r="C4" s="146" t="s">
        <v>1</v>
      </c>
      <c r="D4" s="166" t="s">
        <v>14</v>
      </c>
      <c r="E4" s="167">
        <f>COUNTIFS(Q10:Q200,"Failed",R10:R200,"Core")</f>
        <v>0</v>
      </c>
      <c r="F4" s="146" t="s">
        <v>1</v>
      </c>
      <c r="G4" s="146" t="s">
        <v>1</v>
      </c>
      <c r="H4" s="146" t="s">
        <v>1</v>
      </c>
      <c r="I4" s="146" t="s">
        <v>1</v>
      </c>
      <c r="J4" s="146" t="s">
        <v>1</v>
      </c>
      <c r="K4" s="146" t="s">
        <v>1</v>
      </c>
      <c r="L4" s="146" t="s">
        <v>1</v>
      </c>
      <c r="M4" s="146" t="s">
        <v>1</v>
      </c>
      <c r="N4" s="146" t="s">
        <v>1</v>
      </c>
      <c r="O4" s="146" t="s">
        <v>1</v>
      </c>
      <c r="P4" s="146" t="s">
        <v>1</v>
      </c>
    </row>
    <row r="5" customFormat="false" ht="15" hidden="false" customHeight="false" outlineLevel="0" collapsed="false">
      <c r="A5" s="206" t="s">
        <v>16</v>
      </c>
      <c r="B5" s="207" t="s">
        <v>17</v>
      </c>
      <c r="C5" s="146" t="s">
        <v>1</v>
      </c>
      <c r="D5" s="230" t="s">
        <v>18</v>
      </c>
      <c r="E5" s="231">
        <f>COUNTIF(R10:R200,"Core")</f>
        <v>135</v>
      </c>
      <c r="F5" s="146" t="s">
        <v>1</v>
      </c>
      <c r="G5" s="146" t="s">
        <v>1</v>
      </c>
      <c r="H5" s="146" t="s">
        <v>1</v>
      </c>
      <c r="I5" s="146" t="s">
        <v>1</v>
      </c>
      <c r="J5" s="146" t="s">
        <v>1</v>
      </c>
      <c r="K5" s="146" t="s">
        <v>1</v>
      </c>
      <c r="L5" s="146" t="s">
        <v>1</v>
      </c>
      <c r="M5" s="146" t="s">
        <v>1</v>
      </c>
      <c r="N5" s="146" t="s">
        <v>1</v>
      </c>
      <c r="O5" s="146" t="s">
        <v>1</v>
      </c>
      <c r="P5" s="146" t="s">
        <v>1</v>
      </c>
    </row>
    <row r="6" customFormat="false" ht="15" hidden="false" customHeight="false" outlineLevel="0" collapsed="false">
      <c r="A6" s="249" t="s">
        <v>20</v>
      </c>
      <c r="B6" s="251" t="s">
        <v>21</v>
      </c>
      <c r="C6" s="146" t="s">
        <v>1</v>
      </c>
      <c r="D6" s="247" t="s">
        <v>22</v>
      </c>
      <c r="E6" s="248">
        <f>COUNTIF(R10:R200,"External")</f>
        <v>56</v>
      </c>
      <c r="F6" s="146" t="s">
        <v>1</v>
      </c>
      <c r="G6" s="146" t="s">
        <v>1</v>
      </c>
      <c r="H6" s="146" t="s">
        <v>1</v>
      </c>
      <c r="I6" s="146" t="s">
        <v>1</v>
      </c>
      <c r="J6" s="146" t="s">
        <v>1</v>
      </c>
      <c r="K6" s="146" t="s">
        <v>1</v>
      </c>
      <c r="L6" s="146" t="s">
        <v>1</v>
      </c>
      <c r="M6" s="146" t="s">
        <v>1</v>
      </c>
      <c r="N6" s="146" t="s">
        <v>1</v>
      </c>
      <c r="O6" s="146" t="s">
        <v>1</v>
      </c>
      <c r="P6" s="146" t="s">
        <v>1</v>
      </c>
    </row>
    <row r="7" customFormat="false" ht="15" hidden="false" customHeight="false" outlineLevel="0" collapsed="false">
      <c r="A7" s="146" t="s">
        <v>1</v>
      </c>
      <c r="B7" s="146" t="s">
        <v>1</v>
      </c>
      <c r="C7" s="146" t="s">
        <v>1</v>
      </c>
      <c r="D7" s="232" t="s">
        <v>24</v>
      </c>
      <c r="E7" s="234">
        <f>COUNTA(A10:A200)</f>
        <v>191</v>
      </c>
      <c r="F7" s="146" t="s">
        <v>1</v>
      </c>
      <c r="G7" s="146" t="s">
        <v>1</v>
      </c>
      <c r="H7" s="146" t="s">
        <v>1</v>
      </c>
      <c r="I7" s="146" t="s">
        <v>1</v>
      </c>
      <c r="J7" s="146" t="s">
        <v>1</v>
      </c>
      <c r="K7" s="146" t="s">
        <v>1</v>
      </c>
      <c r="L7" s="146" t="s">
        <v>1</v>
      </c>
      <c r="M7" s="146" t="s">
        <v>1</v>
      </c>
      <c r="N7" s="146" t="s">
        <v>1</v>
      </c>
      <c r="O7" s="146" t="s">
        <v>1</v>
      </c>
      <c r="P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row>
    <row r="9" customFormat="false" ht="15" hidden="false" customHeight="false" outlineLevel="0" collapsed="false">
      <c r="A9" s="143" t="s">
        <v>27</v>
      </c>
      <c r="B9" s="143" t="s">
        <v>28</v>
      </c>
      <c r="C9" s="143" t="s">
        <v>29</v>
      </c>
      <c r="D9" s="143" t="s">
        <v>30</v>
      </c>
      <c r="E9" s="143" t="s">
        <v>31</v>
      </c>
      <c r="F9" s="143" t="s">
        <v>32</v>
      </c>
      <c r="G9" s="143" t="s">
        <v>33</v>
      </c>
      <c r="H9" s="143" t="s">
        <v>34</v>
      </c>
      <c r="I9" s="143" t="s">
        <v>35</v>
      </c>
      <c r="J9" s="143" t="s">
        <v>36</v>
      </c>
      <c r="K9" s="143" t="s">
        <v>37</v>
      </c>
      <c r="L9" s="143" t="s">
        <v>38</v>
      </c>
      <c r="M9" s="143" t="s">
        <v>39</v>
      </c>
      <c r="N9" s="143" t="s">
        <v>40</v>
      </c>
      <c r="O9" s="143" t="s">
        <v>41</v>
      </c>
      <c r="P9" s="143" t="s">
        <v>42</v>
      </c>
    </row>
    <row r="10" customFormat="false" ht="15" hidden="false" customHeight="false" outlineLevel="0" collapsed="false">
      <c r="A10" s="135" t="s">
        <v>43</v>
      </c>
      <c r="B10" s="135" t="s">
        <v>44</v>
      </c>
      <c r="C10" s="135" t="s">
        <v>31</v>
      </c>
      <c r="D10" s="135" t="s">
        <v>45</v>
      </c>
      <c r="E10" s="135" t="s">
        <v>46</v>
      </c>
      <c r="F10" s="135" t="s">
        <v>4</v>
      </c>
      <c r="G10" s="135" t="s">
        <v>4</v>
      </c>
      <c r="H10" s="135" t="s">
        <v>4</v>
      </c>
      <c r="I10" s="135" t="s">
        <v>4</v>
      </c>
      <c r="J10" s="135" t="s">
        <v>47</v>
      </c>
      <c r="K10" s="135" t="s">
        <v>48</v>
      </c>
      <c r="L10" s="135" t="s">
        <v>49</v>
      </c>
      <c r="M10" s="135" t="s">
        <v>50</v>
      </c>
      <c r="N10" s="135" t="s">
        <v>51</v>
      </c>
      <c r="O10" s="135" t="s">
        <v>52</v>
      </c>
      <c r="P10" s="135" t="s">
        <v>53</v>
      </c>
      <c r="Q10" s="146" t="str">
        <f>IF(OR(ISNUMBER(SEARCH("FAIL",J10&amp;" "&amp;N10)),ISNUMBER(SEARCH("CLEAN RETEST REQUIRED",J10&amp;" "&amp;N10))),"Failed",IF(OR(ISNUMBER(SEARCH("NOT RUN",J10&amp;" "&amp;N10)),ISNUMBER(SEARCH("NOT IMPLEMENTED",J10&amp;" "&amp;N10))),"Not started",IF(OR(ISNUMBER(SEARCH("PARTIAL",J10&amp;" "&amp;N10)),ISNUMBER(SEARCH("PENDING",J10&amp;" "&amp;N10)),ISNUMBER(SEARCH("IN PROGRESS",J10&amp;" "&amp;N10)),ISNUMBER(SEARCH("OPEN",J10&amp;" "&amp;N10)),ISNUMBER(SEARCH("RETEST REQUIRED",J10&amp;" "&amp;N10)),ISNUMBER(SEARCH("IMPLEMENTATION UPDATED",J10&amp;" "&amp;N10)),ISNUMBER(SEARCH("REQUIRED EVERY SESSION",J10&amp;" "&amp;N10))),"Pending",IF(OR(N10="PASS",ISNUMBER(SEARCH("PASS",J10&amp;" "&amp;N10))),"Done","Pending"))))</f>
        <v>Done</v>
      </c>
      <c r="R10" s="146" t="str">
        <f>IF(OR(LEFT(A10,9)="OPERATOR-",LEFT(A10,8)="PAYMENT-",LEFT(A10,7)="DEPLOY-"),"External","Core")</f>
        <v>Core</v>
      </c>
    </row>
    <row r="11" customFormat="false" ht="15" hidden="false" customHeight="false" outlineLevel="0" collapsed="false">
      <c r="A11" s="138" t="s">
        <v>54</v>
      </c>
      <c r="B11" s="138" t="s">
        <v>44</v>
      </c>
      <c r="C11" s="138" t="s">
        <v>55</v>
      </c>
      <c r="D11" s="138" t="s">
        <v>56</v>
      </c>
      <c r="E11" s="138" t="s">
        <v>4</v>
      </c>
      <c r="F11" s="138" t="s">
        <v>57</v>
      </c>
      <c r="G11" s="138" t="s">
        <v>4</v>
      </c>
      <c r="H11" s="138" t="s">
        <v>4</v>
      </c>
      <c r="I11" s="138" t="s">
        <v>4</v>
      </c>
      <c r="J11" s="138" t="s">
        <v>58</v>
      </c>
      <c r="K11" s="138" t="s">
        <v>1</v>
      </c>
      <c r="L11" s="138" t="s">
        <v>59</v>
      </c>
      <c r="M11" s="138" t="s">
        <v>60</v>
      </c>
      <c r="N11" s="138" t="s">
        <v>1</v>
      </c>
      <c r="O11" s="138" t="s">
        <v>61</v>
      </c>
      <c r="P11" s="138" t="s">
        <v>62</v>
      </c>
      <c r="Q11" s="146" t="str">
        <f>IF(OR(ISNUMBER(SEARCH("FAIL",J11&amp;" "&amp;N11)),ISNUMBER(SEARCH("CLEAN RETEST REQUIRED",J11&amp;" "&amp;N11))),"Failed",IF(OR(ISNUMBER(SEARCH("NOT RUN",J11&amp;" "&amp;N11)),ISNUMBER(SEARCH("NOT IMPLEMENTED",J11&amp;" "&amp;N11))),"Not started",IF(OR(ISNUMBER(SEARCH("PARTIAL",J11&amp;" "&amp;N11)),ISNUMBER(SEARCH("PENDING",J11&amp;" "&amp;N11)),ISNUMBER(SEARCH("IN PROGRESS",J11&amp;" "&amp;N11)),ISNUMBER(SEARCH("OPEN",J11&amp;" "&amp;N11)),ISNUMBER(SEARCH("RETEST REQUIRED",J11&amp;" "&amp;N11)),ISNUMBER(SEARCH("IMPLEMENTATION UPDATED",J11&amp;" "&amp;N11)),ISNUMBER(SEARCH("REQUIRED EVERY SESSION",J11&amp;" "&amp;N11))),"Pending",IF(OR(N11="PASS",ISNUMBER(SEARCH("PASS",J11&amp;" "&amp;N11))),"Done","Pending"))))</f>
        <v>Not started</v>
      </c>
      <c r="R11" s="146" t="str">
        <f>IF(OR(LEFT(A11,9)="OPERATOR-",LEFT(A11,8)="PAYMENT-",LEFT(A11,7)="DEPLOY-"),"External","Core")</f>
        <v>Core</v>
      </c>
    </row>
    <row r="12" customFormat="false" ht="15" hidden="false" customHeight="false" outlineLevel="0" collapsed="false">
      <c r="A12" s="138" t="s">
        <v>63</v>
      </c>
      <c r="B12" s="138" t="s">
        <v>44</v>
      </c>
      <c r="C12" s="138" t="s">
        <v>33</v>
      </c>
      <c r="D12" s="138" t="s">
        <v>64</v>
      </c>
      <c r="E12" s="138" t="s">
        <v>65</v>
      </c>
      <c r="F12" s="138" t="s">
        <v>4</v>
      </c>
      <c r="G12" s="138" t="s">
        <v>66</v>
      </c>
      <c r="H12" s="138" t="s">
        <v>4</v>
      </c>
      <c r="I12" s="138" t="s">
        <v>4</v>
      </c>
      <c r="J12" s="138" t="s">
        <v>58</v>
      </c>
      <c r="K12" s="138" t="s">
        <v>1</v>
      </c>
      <c r="L12" s="138" t="s">
        <v>67</v>
      </c>
      <c r="M12" s="138" t="s">
        <v>68</v>
      </c>
      <c r="N12" s="138" t="s">
        <v>1</v>
      </c>
      <c r="O12" s="138" t="s">
        <v>69</v>
      </c>
      <c r="P12" s="138" t="s">
        <v>70</v>
      </c>
      <c r="Q12" s="146" t="str">
        <f>IF(OR(ISNUMBER(SEARCH("FAIL",J12&amp;" "&amp;N12)),ISNUMBER(SEARCH("CLEAN RETEST REQUIRED",J12&amp;" "&amp;N12))),"Failed",IF(OR(ISNUMBER(SEARCH("NOT RUN",J12&amp;" "&amp;N12)),ISNUMBER(SEARCH("NOT IMPLEMENTED",J12&amp;" "&amp;N12))),"Not started",IF(OR(ISNUMBER(SEARCH("PARTIAL",J12&amp;" "&amp;N12)),ISNUMBER(SEARCH("PENDING",J12&amp;" "&amp;N12)),ISNUMBER(SEARCH("IN PROGRESS",J12&amp;" "&amp;N12)),ISNUMBER(SEARCH("OPEN",J12&amp;" "&amp;N12)),ISNUMBER(SEARCH("RETEST REQUIRED",J12&amp;" "&amp;N12)),ISNUMBER(SEARCH("IMPLEMENTATION UPDATED",J12&amp;" "&amp;N12)),ISNUMBER(SEARCH("REQUIRED EVERY SESSION",J12&amp;" "&amp;N12))),"Pending",IF(OR(N12="PASS",ISNUMBER(SEARCH("PASS",J12&amp;" "&amp;N12))),"Done","Pending"))))</f>
        <v>Not started</v>
      </c>
      <c r="R12" s="146" t="str">
        <f>IF(OR(LEFT(A12,9)="OPERATOR-",LEFT(A12,8)="PAYMENT-",LEFT(A12,7)="DEPLOY-"),"External","Core")</f>
        <v>Core</v>
      </c>
    </row>
    <row r="13" customFormat="false" ht="15" hidden="false" customHeight="false" outlineLevel="0" collapsed="false">
      <c r="A13" s="136" t="s">
        <v>71</v>
      </c>
      <c r="B13" s="136" t="s">
        <v>72</v>
      </c>
      <c r="C13" s="136" t="s">
        <v>31</v>
      </c>
      <c r="D13" s="136" t="s">
        <v>73</v>
      </c>
      <c r="E13" s="136" t="s">
        <v>74</v>
      </c>
      <c r="F13" s="136" t="s">
        <v>75</v>
      </c>
      <c r="G13" s="136" t="s">
        <v>76</v>
      </c>
      <c r="H13" s="136" t="s">
        <v>77</v>
      </c>
      <c r="I13" s="136" t="s">
        <v>78</v>
      </c>
      <c r="J13" s="136" t="s">
        <v>79</v>
      </c>
      <c r="K13" s="136" t="s">
        <v>48</v>
      </c>
      <c r="L13" s="136" t="s">
        <v>80</v>
      </c>
      <c r="M13" s="136" t="s">
        <v>81</v>
      </c>
      <c r="N13" s="136" t="s">
        <v>82</v>
      </c>
      <c r="O13" s="136" t="s">
        <v>83</v>
      </c>
      <c r="P13" s="136" t="s">
        <v>84</v>
      </c>
      <c r="Q13" s="146" t="str">
        <f>IF(OR(ISNUMBER(SEARCH("FAIL",J13&amp;" "&amp;N13)),ISNUMBER(SEARCH("CLEAN RETEST REQUIRED",J13&amp;" "&amp;N13))),"Failed",IF(OR(ISNUMBER(SEARCH("NOT RUN",J13&amp;" "&amp;N13)),ISNUMBER(SEARCH("NOT IMPLEMENTED",J13&amp;" "&amp;N13))),"Not started",IF(OR(ISNUMBER(SEARCH("PARTIAL",J13&amp;" "&amp;N13)),ISNUMBER(SEARCH("PENDING",J13&amp;" "&amp;N13)),ISNUMBER(SEARCH("IN PROGRESS",J13&amp;" "&amp;N13)),ISNUMBER(SEARCH("OPEN",J13&amp;" "&amp;N13)),ISNUMBER(SEARCH("RETEST REQUIRED",J13&amp;" "&amp;N13)),ISNUMBER(SEARCH("IMPLEMENTATION UPDATED",J13&amp;" "&amp;N13)),ISNUMBER(SEARCH("REQUIRED EVERY SESSION",J13&amp;" "&amp;N13))),"Pending",IF(OR(N13="PASS",ISNUMBER(SEARCH("PASS",J13&amp;" "&amp;N13))),"Done","Pending"))))</f>
        <v>Pending</v>
      </c>
      <c r="R13" s="146" t="str">
        <f>IF(OR(LEFT(A13,9)="OPERATOR-",LEFT(A13,8)="PAYMENT-",LEFT(A13,7)="DEPLOY-"),"External","Core")</f>
        <v>Core</v>
      </c>
    </row>
    <row r="14" customFormat="false" ht="15" hidden="false" customHeight="false" outlineLevel="0" collapsed="false">
      <c r="A14" s="135" t="s">
        <v>85</v>
      </c>
      <c r="B14" s="135" t="s">
        <v>72</v>
      </c>
      <c r="C14" s="135" t="s">
        <v>31</v>
      </c>
      <c r="D14" s="135" t="s">
        <v>86</v>
      </c>
      <c r="E14" s="135" t="s">
        <v>87</v>
      </c>
      <c r="F14" s="135" t="s">
        <v>88</v>
      </c>
      <c r="G14" s="135" t="s">
        <v>4</v>
      </c>
      <c r="H14" s="135" t="s">
        <v>89</v>
      </c>
      <c r="I14" s="135" t="s">
        <v>90</v>
      </c>
      <c r="J14" s="135" t="s">
        <v>91</v>
      </c>
      <c r="K14" s="135" t="s">
        <v>92</v>
      </c>
      <c r="L14" s="135" t="s">
        <v>93</v>
      </c>
      <c r="M14" s="135" t="s">
        <v>94</v>
      </c>
      <c r="N14" s="135" t="s">
        <v>51</v>
      </c>
      <c r="O14" s="135" t="s">
        <v>95</v>
      </c>
      <c r="P14" s="135" t="s">
        <v>96</v>
      </c>
      <c r="Q14" s="146" t="str">
        <f>IF(OR(ISNUMBER(SEARCH("FAIL",J14&amp;" "&amp;N14)),ISNUMBER(SEARCH("CLEAN RETEST REQUIRED",J14&amp;" "&amp;N14))),"Failed",IF(OR(ISNUMBER(SEARCH("NOT RUN",J14&amp;" "&amp;N14)),ISNUMBER(SEARCH("NOT IMPLEMENTED",J14&amp;" "&amp;N14))),"Not started",IF(OR(ISNUMBER(SEARCH("PARTIAL",J14&amp;" "&amp;N14)),ISNUMBER(SEARCH("PENDING",J14&amp;" "&amp;N14)),ISNUMBER(SEARCH("IN PROGRESS",J14&amp;" "&amp;N14)),ISNUMBER(SEARCH("OPEN",J14&amp;" "&amp;N14)),ISNUMBER(SEARCH("RETEST REQUIRED",J14&amp;" "&amp;N14)),ISNUMBER(SEARCH("IMPLEMENTATION UPDATED",J14&amp;" "&amp;N14)),ISNUMBER(SEARCH("REQUIRED EVERY SESSION",J14&amp;" "&amp;N14))),"Pending",IF(OR(N14="PASS",ISNUMBER(SEARCH("PASS",J14&amp;" "&amp;N14))),"Done","Pending"))))</f>
        <v>Done</v>
      </c>
      <c r="R14" s="146" t="str">
        <f>IF(OR(LEFT(A14,9)="OPERATOR-",LEFT(A14,8)="PAYMENT-",LEFT(A14,7)="DEPLOY-"),"External","Core")</f>
        <v>Core</v>
      </c>
    </row>
    <row r="15" customFormat="false" ht="15" hidden="false" customHeight="false" outlineLevel="0" collapsed="false">
      <c r="A15" s="135" t="s">
        <v>97</v>
      </c>
      <c r="B15" s="135" t="s">
        <v>72</v>
      </c>
      <c r="C15" s="135" t="s">
        <v>31</v>
      </c>
      <c r="D15" s="135" t="s">
        <v>98</v>
      </c>
      <c r="E15" s="135" t="s">
        <v>99</v>
      </c>
      <c r="F15" s="135" t="s">
        <v>100</v>
      </c>
      <c r="G15" s="135" t="s">
        <v>101</v>
      </c>
      <c r="H15" s="135" t="s">
        <v>102</v>
      </c>
      <c r="I15" s="135" t="s">
        <v>103</v>
      </c>
      <c r="J15" s="135" t="s">
        <v>91</v>
      </c>
      <c r="K15" s="135" t="s">
        <v>48</v>
      </c>
      <c r="L15" s="135" t="s">
        <v>104</v>
      </c>
      <c r="M15" s="135" t="s">
        <v>105</v>
      </c>
      <c r="N15" s="135" t="s">
        <v>51</v>
      </c>
      <c r="O15" s="135" t="s">
        <v>106</v>
      </c>
      <c r="P15" s="135" t="s">
        <v>107</v>
      </c>
      <c r="Q15" s="146" t="str">
        <f>IF(OR(ISNUMBER(SEARCH("FAIL",J15&amp;" "&amp;N15)),ISNUMBER(SEARCH("CLEAN RETEST REQUIRED",J15&amp;" "&amp;N15))),"Failed",IF(OR(ISNUMBER(SEARCH("NOT RUN",J15&amp;" "&amp;N15)),ISNUMBER(SEARCH("NOT IMPLEMENTED",J15&amp;" "&amp;N15))),"Not started",IF(OR(ISNUMBER(SEARCH("PARTIAL",J15&amp;" "&amp;N15)),ISNUMBER(SEARCH("PENDING",J15&amp;" "&amp;N15)),ISNUMBER(SEARCH("IN PROGRESS",J15&amp;" "&amp;N15)),ISNUMBER(SEARCH("OPEN",J15&amp;" "&amp;N15)),ISNUMBER(SEARCH("RETEST REQUIRED",J15&amp;" "&amp;N15)),ISNUMBER(SEARCH("IMPLEMENTATION UPDATED",J15&amp;" "&amp;N15)),ISNUMBER(SEARCH("REQUIRED EVERY SESSION",J15&amp;" "&amp;N15))),"Pending",IF(OR(N15="PASS",ISNUMBER(SEARCH("PASS",J15&amp;" "&amp;N15))),"Done","Pending"))))</f>
        <v>Done</v>
      </c>
      <c r="R15" s="146" t="str">
        <f>IF(OR(LEFT(A15,9)="OPERATOR-",LEFT(A15,8)="PAYMENT-",LEFT(A15,7)="DEPLOY-"),"External","Core")</f>
        <v>Core</v>
      </c>
    </row>
    <row r="16" customFormat="false" ht="15" hidden="false" customHeight="false" outlineLevel="0" collapsed="false">
      <c r="A16" s="138" t="s">
        <v>108</v>
      </c>
      <c r="B16" s="138" t="s">
        <v>72</v>
      </c>
      <c r="C16" s="138" t="s">
        <v>31</v>
      </c>
      <c r="D16" s="138" t="s">
        <v>109</v>
      </c>
      <c r="E16" s="138" t="s">
        <v>110</v>
      </c>
      <c r="F16" s="138" t="s">
        <v>111</v>
      </c>
      <c r="G16" s="138" t="s">
        <v>4</v>
      </c>
      <c r="H16" s="138" t="s">
        <v>77</v>
      </c>
      <c r="I16" s="138" t="s">
        <v>112</v>
      </c>
      <c r="J16" s="138" t="s">
        <v>58</v>
      </c>
      <c r="K16" s="138" t="s">
        <v>1</v>
      </c>
      <c r="L16" s="138" t="s">
        <v>113</v>
      </c>
      <c r="M16" s="138" t="s">
        <v>114</v>
      </c>
      <c r="N16" s="138" t="s">
        <v>1</v>
      </c>
      <c r="O16" s="138" t="s">
        <v>1</v>
      </c>
      <c r="P16" s="138" t="s">
        <v>115</v>
      </c>
      <c r="Q16" s="146" t="str">
        <f>IF(OR(ISNUMBER(SEARCH("FAIL",J16&amp;" "&amp;N16)),ISNUMBER(SEARCH("CLEAN RETEST REQUIRED",J16&amp;" "&amp;N16))),"Failed",IF(OR(ISNUMBER(SEARCH("NOT RUN",J16&amp;" "&amp;N16)),ISNUMBER(SEARCH("NOT IMPLEMENTED",J16&amp;" "&amp;N16))),"Not started",IF(OR(ISNUMBER(SEARCH("PARTIAL",J16&amp;" "&amp;N16)),ISNUMBER(SEARCH("PENDING",J16&amp;" "&amp;N16)),ISNUMBER(SEARCH("IN PROGRESS",J16&amp;" "&amp;N16)),ISNUMBER(SEARCH("OPEN",J16&amp;" "&amp;N16)),ISNUMBER(SEARCH("RETEST REQUIRED",J16&amp;" "&amp;N16)),ISNUMBER(SEARCH("IMPLEMENTATION UPDATED",J16&amp;" "&amp;N16)),ISNUMBER(SEARCH("REQUIRED EVERY SESSION",J16&amp;" "&amp;N16))),"Pending",IF(OR(N16="PASS",ISNUMBER(SEARCH("PASS",J16&amp;" "&amp;N16))),"Done","Pending"))))</f>
        <v>Not started</v>
      </c>
      <c r="R16" s="146" t="str">
        <f>IF(OR(LEFT(A16,9)="OPERATOR-",LEFT(A16,8)="PAYMENT-",LEFT(A16,7)="DEPLOY-"),"External","Core")</f>
        <v>Core</v>
      </c>
    </row>
    <row r="17" customFormat="false" ht="15" hidden="false" customHeight="false" outlineLevel="0" collapsed="false">
      <c r="A17" s="136" t="s">
        <v>116</v>
      </c>
      <c r="B17" s="136" t="s">
        <v>72</v>
      </c>
      <c r="C17" s="136" t="s">
        <v>31</v>
      </c>
      <c r="D17" s="136" t="s">
        <v>117</v>
      </c>
      <c r="E17" s="136" t="s">
        <v>118</v>
      </c>
      <c r="F17" s="136" t="s">
        <v>119</v>
      </c>
      <c r="G17" s="136" t="s">
        <v>4</v>
      </c>
      <c r="H17" s="136" t="s">
        <v>4</v>
      </c>
      <c r="I17" s="136" t="s">
        <v>120</v>
      </c>
      <c r="J17" s="136" t="s">
        <v>121</v>
      </c>
      <c r="K17" s="136" t="s">
        <v>122</v>
      </c>
      <c r="L17" s="136" t="s">
        <v>113</v>
      </c>
      <c r="M17" s="136" t="s">
        <v>123</v>
      </c>
      <c r="N17" s="136" t="s">
        <v>1</v>
      </c>
      <c r="O17" s="136" t="s">
        <v>124</v>
      </c>
      <c r="P17" s="136" t="s">
        <v>125</v>
      </c>
      <c r="Q17" s="146" t="str">
        <f>IF(OR(ISNUMBER(SEARCH("FAIL",J17&amp;" "&amp;N17)),ISNUMBER(SEARCH("CLEAN RETEST REQUIRED",J17&amp;" "&amp;N17))),"Failed",IF(OR(ISNUMBER(SEARCH("NOT RUN",J17&amp;" "&amp;N17)),ISNUMBER(SEARCH("NOT IMPLEMENTED",J17&amp;" "&amp;N17))),"Not started",IF(OR(ISNUMBER(SEARCH("PARTIAL",J17&amp;" "&amp;N17)),ISNUMBER(SEARCH("PENDING",J17&amp;" "&amp;N17)),ISNUMBER(SEARCH("IN PROGRESS",J17&amp;" "&amp;N17)),ISNUMBER(SEARCH("OPEN",J17&amp;" "&amp;N17)),ISNUMBER(SEARCH("RETEST REQUIRED",J17&amp;" "&amp;N17)),ISNUMBER(SEARCH("IMPLEMENTATION UPDATED",J17&amp;" "&amp;N17)),ISNUMBER(SEARCH("REQUIRED EVERY SESSION",J17&amp;" "&amp;N17))),"Pending",IF(OR(N17="PASS",ISNUMBER(SEARCH("PASS",J17&amp;" "&amp;N17))),"Done","Pending"))))</f>
        <v>Pending</v>
      </c>
      <c r="R17" s="146" t="str">
        <f>IF(OR(LEFT(A17,9)="OPERATOR-",LEFT(A17,8)="PAYMENT-",LEFT(A17,7)="DEPLOY-"),"External","Core")</f>
        <v>Core</v>
      </c>
    </row>
    <row r="18" customFormat="false" ht="15" hidden="false" customHeight="false" outlineLevel="0" collapsed="false">
      <c r="A18" s="136" t="s">
        <v>126</v>
      </c>
      <c r="B18" s="136" t="s">
        <v>72</v>
      </c>
      <c r="C18" s="136" t="s">
        <v>127</v>
      </c>
      <c r="D18" s="136" t="s">
        <v>128</v>
      </c>
      <c r="E18" s="136" t="s">
        <v>129</v>
      </c>
      <c r="F18" s="136" t="s">
        <v>130</v>
      </c>
      <c r="G18" s="136" t="s">
        <v>131</v>
      </c>
      <c r="H18" s="136" t="s">
        <v>132</v>
      </c>
      <c r="I18" s="136" t="s">
        <v>133</v>
      </c>
      <c r="J18" s="136" t="s">
        <v>134</v>
      </c>
      <c r="K18" s="136" t="s">
        <v>48</v>
      </c>
      <c r="L18" s="136" t="s">
        <v>135</v>
      </c>
      <c r="M18" s="136" t="s">
        <v>136</v>
      </c>
      <c r="N18" s="136" t="s">
        <v>82</v>
      </c>
      <c r="O18" s="136" t="s">
        <v>137</v>
      </c>
      <c r="P18" s="136" t="s">
        <v>125</v>
      </c>
      <c r="Q18" s="146" t="str">
        <f>IF(OR(ISNUMBER(SEARCH("FAIL",J18&amp;" "&amp;N18)),ISNUMBER(SEARCH("CLEAN RETEST REQUIRED",J18&amp;" "&amp;N18))),"Failed",IF(OR(ISNUMBER(SEARCH("NOT RUN",J18&amp;" "&amp;N18)),ISNUMBER(SEARCH("NOT IMPLEMENTED",J18&amp;" "&amp;N18))),"Not started",IF(OR(ISNUMBER(SEARCH("PARTIAL",J18&amp;" "&amp;N18)),ISNUMBER(SEARCH("PENDING",J18&amp;" "&amp;N18)),ISNUMBER(SEARCH("IN PROGRESS",J18&amp;" "&amp;N18)),ISNUMBER(SEARCH("OPEN",J18&amp;" "&amp;N18)),ISNUMBER(SEARCH("RETEST REQUIRED",J18&amp;" "&amp;N18)),ISNUMBER(SEARCH("IMPLEMENTATION UPDATED",J18&amp;" "&amp;N18)),ISNUMBER(SEARCH("REQUIRED EVERY SESSION",J18&amp;" "&amp;N18))),"Pending",IF(OR(N18="PASS",ISNUMBER(SEARCH("PASS",J18&amp;" "&amp;N18))),"Done","Pending"))))</f>
        <v>Pending</v>
      </c>
      <c r="R18" s="146" t="str">
        <f>IF(OR(LEFT(A18,9)="OPERATOR-",LEFT(A18,8)="PAYMENT-",LEFT(A18,7)="DEPLOY-"),"External","Core")</f>
        <v>Core</v>
      </c>
    </row>
    <row r="19" customFormat="false" ht="15" hidden="false" customHeight="false" outlineLevel="0" collapsed="false">
      <c r="A19" s="138" t="s">
        <v>138</v>
      </c>
      <c r="B19" s="138" t="s">
        <v>72</v>
      </c>
      <c r="C19" s="138" t="s">
        <v>55</v>
      </c>
      <c r="D19" s="138" t="s">
        <v>139</v>
      </c>
      <c r="E19" s="138" t="s">
        <v>140</v>
      </c>
      <c r="F19" s="138" t="s">
        <v>141</v>
      </c>
      <c r="G19" s="138" t="s">
        <v>142</v>
      </c>
      <c r="H19" s="138" t="s">
        <v>143</v>
      </c>
      <c r="I19" s="138" t="s">
        <v>144</v>
      </c>
      <c r="J19" s="138" t="s">
        <v>58</v>
      </c>
      <c r="K19" s="138" t="s">
        <v>1</v>
      </c>
      <c r="L19" s="138" t="s">
        <v>145</v>
      </c>
      <c r="M19" s="138" t="s">
        <v>146</v>
      </c>
      <c r="N19" s="138" t="s">
        <v>1</v>
      </c>
      <c r="O19" s="138" t="s">
        <v>1</v>
      </c>
      <c r="P19" s="138" t="s">
        <v>147</v>
      </c>
      <c r="Q19" s="146" t="str">
        <f>IF(OR(ISNUMBER(SEARCH("FAIL",J19&amp;" "&amp;N19)),ISNUMBER(SEARCH("CLEAN RETEST REQUIRED",J19&amp;" "&amp;N19))),"Failed",IF(OR(ISNUMBER(SEARCH("NOT RUN",J19&amp;" "&amp;N19)),ISNUMBER(SEARCH("NOT IMPLEMENTED",J19&amp;" "&amp;N19))),"Not started",IF(OR(ISNUMBER(SEARCH("PARTIAL",J19&amp;" "&amp;N19)),ISNUMBER(SEARCH("PENDING",J19&amp;" "&amp;N19)),ISNUMBER(SEARCH("IN PROGRESS",J19&amp;" "&amp;N19)),ISNUMBER(SEARCH("OPEN",J19&amp;" "&amp;N19)),ISNUMBER(SEARCH("RETEST REQUIRED",J19&amp;" "&amp;N19)),ISNUMBER(SEARCH("IMPLEMENTATION UPDATED",J19&amp;" "&amp;N19)),ISNUMBER(SEARCH("REQUIRED EVERY SESSION",J19&amp;" "&amp;N19))),"Pending",IF(OR(N19="PASS",ISNUMBER(SEARCH("PASS",J19&amp;" "&amp;N19))),"Done","Pending"))))</f>
        <v>Not started</v>
      </c>
      <c r="R19" s="146" t="str">
        <f>IF(OR(LEFT(A19,9)="OPERATOR-",LEFT(A19,8)="PAYMENT-",LEFT(A19,7)="DEPLOY-"),"External","Core")</f>
        <v>Core</v>
      </c>
    </row>
    <row r="20" customFormat="false" ht="15" hidden="false" customHeight="false" outlineLevel="0" collapsed="false">
      <c r="A20" s="136" t="s">
        <v>148</v>
      </c>
      <c r="B20" s="136" t="s">
        <v>72</v>
      </c>
      <c r="C20" s="136" t="s">
        <v>55</v>
      </c>
      <c r="D20" s="136" t="s">
        <v>149</v>
      </c>
      <c r="E20" s="136" t="s">
        <v>4</v>
      </c>
      <c r="F20" s="136" t="s">
        <v>150</v>
      </c>
      <c r="G20" s="136" t="s">
        <v>4</v>
      </c>
      <c r="H20" s="136" t="s">
        <v>151</v>
      </c>
      <c r="I20" s="136" t="s">
        <v>152</v>
      </c>
      <c r="J20" s="136" t="s">
        <v>153</v>
      </c>
      <c r="K20" s="136" t="s">
        <v>48</v>
      </c>
      <c r="L20" s="136" t="s">
        <v>154</v>
      </c>
      <c r="M20" s="136" t="s">
        <v>155</v>
      </c>
      <c r="N20" s="136" t="s">
        <v>82</v>
      </c>
      <c r="O20" s="136" t="s">
        <v>156</v>
      </c>
      <c r="P20" s="136" t="s">
        <v>157</v>
      </c>
      <c r="Q20" s="146" t="str">
        <f>IF(OR(ISNUMBER(SEARCH("FAIL",J20&amp;" "&amp;N20)),ISNUMBER(SEARCH("CLEAN RETEST REQUIRED",J20&amp;" "&amp;N20))),"Failed",IF(OR(ISNUMBER(SEARCH("NOT RUN",J20&amp;" "&amp;N20)),ISNUMBER(SEARCH("NOT IMPLEMENTED",J20&amp;" "&amp;N20))),"Not started",IF(OR(ISNUMBER(SEARCH("PARTIAL",J20&amp;" "&amp;N20)),ISNUMBER(SEARCH("PENDING",J20&amp;" "&amp;N20)),ISNUMBER(SEARCH("IN PROGRESS",J20&amp;" "&amp;N20)),ISNUMBER(SEARCH("OPEN",J20&amp;" "&amp;N20)),ISNUMBER(SEARCH("RETEST REQUIRED",J20&amp;" "&amp;N20)),ISNUMBER(SEARCH("IMPLEMENTATION UPDATED",J20&amp;" "&amp;N20)),ISNUMBER(SEARCH("REQUIRED EVERY SESSION",J20&amp;" "&amp;N20))),"Pending",IF(OR(N20="PASS",ISNUMBER(SEARCH("PASS",J20&amp;" "&amp;N20))),"Done","Pending"))))</f>
        <v>Pending</v>
      </c>
      <c r="R20" s="146" t="str">
        <f>IF(OR(LEFT(A20,9)="OPERATOR-",LEFT(A20,8)="PAYMENT-",LEFT(A20,7)="DEPLOY-"),"External","Core")</f>
        <v>Core</v>
      </c>
    </row>
    <row r="21" customFormat="false" ht="15" hidden="false" customHeight="false" outlineLevel="0" collapsed="false">
      <c r="A21" s="138" t="s">
        <v>158</v>
      </c>
      <c r="B21" s="138" t="s">
        <v>159</v>
      </c>
      <c r="C21" s="138" t="s">
        <v>160</v>
      </c>
      <c r="D21" s="138" t="s">
        <v>161</v>
      </c>
      <c r="E21" s="138" t="s">
        <v>162</v>
      </c>
      <c r="F21" s="138" t="s">
        <v>163</v>
      </c>
      <c r="G21" s="138" t="s">
        <v>162</v>
      </c>
      <c r="H21" s="138" t="s">
        <v>164</v>
      </c>
      <c r="I21" s="138" t="s">
        <v>165</v>
      </c>
      <c r="J21" s="138" t="s">
        <v>166</v>
      </c>
      <c r="K21" s="138" t="s">
        <v>1</v>
      </c>
      <c r="L21" s="138" t="s">
        <v>167</v>
      </c>
      <c r="M21" s="138" t="s">
        <v>168</v>
      </c>
      <c r="N21" s="138" t="s">
        <v>1</v>
      </c>
      <c r="O21" s="138" t="s">
        <v>169</v>
      </c>
      <c r="P21" s="138" t="s">
        <v>170</v>
      </c>
      <c r="Q21" s="146" t="str">
        <f>IF(OR(ISNUMBER(SEARCH("FAIL",J21&amp;" "&amp;N21)),ISNUMBER(SEARCH("CLEAN RETEST REQUIRED",J21&amp;" "&amp;N21))),"Failed",IF(OR(ISNUMBER(SEARCH("NOT RUN",J21&amp;" "&amp;N21)),ISNUMBER(SEARCH("NOT IMPLEMENTED",J21&amp;" "&amp;N21))),"Not started",IF(OR(ISNUMBER(SEARCH("PARTIAL",J21&amp;" "&amp;N21)),ISNUMBER(SEARCH("PENDING",J21&amp;" "&amp;N21)),ISNUMBER(SEARCH("IN PROGRESS",J21&amp;" "&amp;N21)),ISNUMBER(SEARCH("OPEN",J21&amp;" "&amp;N21)),ISNUMBER(SEARCH("RETEST REQUIRED",J21&amp;" "&amp;N21)),ISNUMBER(SEARCH("IMPLEMENTATION UPDATED",J21&amp;" "&amp;N21)),ISNUMBER(SEARCH("REQUIRED EVERY SESSION",J21&amp;" "&amp;N21))),"Pending",IF(OR(N21="PASS",ISNUMBER(SEARCH("PASS",J21&amp;" "&amp;N21))),"Done","Pending"))))</f>
        <v>Not started</v>
      </c>
      <c r="R21" s="146" t="str">
        <f>IF(OR(LEFT(A21,9)="OPERATOR-",LEFT(A21,8)="PAYMENT-",LEFT(A21,7)="DEPLOY-"),"External","Core")</f>
        <v>Core</v>
      </c>
    </row>
    <row r="22" customFormat="false" ht="15" hidden="false" customHeight="false" outlineLevel="0" collapsed="false">
      <c r="A22" s="138" t="s">
        <v>171</v>
      </c>
      <c r="B22" s="138" t="s">
        <v>159</v>
      </c>
      <c r="C22" s="138" t="s">
        <v>160</v>
      </c>
      <c r="D22" s="138" t="s">
        <v>172</v>
      </c>
      <c r="E22" s="138" t="s">
        <v>4</v>
      </c>
      <c r="F22" s="138" t="s">
        <v>173</v>
      </c>
      <c r="G22" s="138" t="s">
        <v>174</v>
      </c>
      <c r="H22" s="138" t="s">
        <v>175</v>
      </c>
      <c r="I22" s="138" t="s">
        <v>176</v>
      </c>
      <c r="J22" s="138" t="s">
        <v>58</v>
      </c>
      <c r="K22" s="138" t="s">
        <v>1</v>
      </c>
      <c r="L22" s="138" t="s">
        <v>177</v>
      </c>
      <c r="M22" s="138" t="s">
        <v>178</v>
      </c>
      <c r="N22" s="138" t="s">
        <v>1</v>
      </c>
      <c r="O22" s="138" t="s">
        <v>179</v>
      </c>
      <c r="P22" s="138" t="s">
        <v>157</v>
      </c>
      <c r="Q22" s="146" t="str">
        <f>IF(OR(ISNUMBER(SEARCH("FAIL",J22&amp;" "&amp;N22)),ISNUMBER(SEARCH("CLEAN RETEST REQUIRED",J22&amp;" "&amp;N22))),"Failed",IF(OR(ISNUMBER(SEARCH("NOT RUN",J22&amp;" "&amp;N22)),ISNUMBER(SEARCH("NOT IMPLEMENTED",J22&amp;" "&amp;N22))),"Not started",IF(OR(ISNUMBER(SEARCH("PARTIAL",J22&amp;" "&amp;N22)),ISNUMBER(SEARCH("PENDING",J22&amp;" "&amp;N22)),ISNUMBER(SEARCH("IN PROGRESS",J22&amp;" "&amp;N22)),ISNUMBER(SEARCH("OPEN",J22&amp;" "&amp;N22)),ISNUMBER(SEARCH("RETEST REQUIRED",J22&amp;" "&amp;N22)),ISNUMBER(SEARCH("IMPLEMENTATION UPDATED",J22&amp;" "&amp;N22)),ISNUMBER(SEARCH("REQUIRED EVERY SESSION",J22&amp;" "&amp;N22))),"Pending",IF(OR(N22="PASS",ISNUMBER(SEARCH("PASS",J22&amp;" "&amp;N22))),"Done","Pending"))))</f>
        <v>Not started</v>
      </c>
      <c r="R22" s="146" t="str">
        <f>IF(OR(LEFT(A22,9)="OPERATOR-",LEFT(A22,8)="PAYMENT-",LEFT(A22,7)="DEPLOY-"),"External","Core")</f>
        <v>Core</v>
      </c>
    </row>
    <row r="23" customFormat="false" ht="15" hidden="false" customHeight="false" outlineLevel="0" collapsed="false">
      <c r="A23" s="138" t="s">
        <v>180</v>
      </c>
      <c r="B23" s="138" t="s">
        <v>181</v>
      </c>
      <c r="C23" s="138" t="s">
        <v>33</v>
      </c>
      <c r="D23" s="138" t="s">
        <v>182</v>
      </c>
      <c r="E23" s="138" t="s">
        <v>4</v>
      </c>
      <c r="F23" s="138" t="s">
        <v>4</v>
      </c>
      <c r="G23" s="138" t="s">
        <v>183</v>
      </c>
      <c r="H23" s="138" t="s">
        <v>4</v>
      </c>
      <c r="I23" s="138" t="s">
        <v>4</v>
      </c>
      <c r="J23" s="138" t="s">
        <v>58</v>
      </c>
      <c r="K23" s="138" t="s">
        <v>1</v>
      </c>
      <c r="L23" s="138" t="s">
        <v>184</v>
      </c>
      <c r="M23" s="138" t="s">
        <v>185</v>
      </c>
      <c r="N23" s="138" t="s">
        <v>1</v>
      </c>
      <c r="O23" s="138" t="s">
        <v>1</v>
      </c>
      <c r="P23" s="138" t="s">
        <v>53</v>
      </c>
      <c r="Q23" s="146" t="str">
        <f>IF(OR(ISNUMBER(SEARCH("FAIL",J23&amp;" "&amp;N23)),ISNUMBER(SEARCH("CLEAN RETEST REQUIRED",J23&amp;" "&amp;N23))),"Failed",IF(OR(ISNUMBER(SEARCH("NOT RUN",J23&amp;" "&amp;N23)),ISNUMBER(SEARCH("NOT IMPLEMENTED",J23&amp;" "&amp;N23))),"Not started",IF(OR(ISNUMBER(SEARCH("PARTIAL",J23&amp;" "&amp;N23)),ISNUMBER(SEARCH("PENDING",J23&amp;" "&amp;N23)),ISNUMBER(SEARCH("IN PROGRESS",J23&amp;" "&amp;N23)),ISNUMBER(SEARCH("OPEN",J23&amp;" "&amp;N23)),ISNUMBER(SEARCH("RETEST REQUIRED",J23&amp;" "&amp;N23)),ISNUMBER(SEARCH("IMPLEMENTATION UPDATED",J23&amp;" "&amp;N23)),ISNUMBER(SEARCH("REQUIRED EVERY SESSION",J23&amp;" "&amp;N23))),"Pending",IF(OR(N23="PASS",ISNUMBER(SEARCH("PASS",J23&amp;" "&amp;N23))),"Done","Pending"))))</f>
        <v>Not started</v>
      </c>
      <c r="R23" s="146" t="str">
        <f>IF(OR(LEFT(A23,9)="OPERATOR-",LEFT(A23,8)="PAYMENT-",LEFT(A23,7)="DEPLOY-"),"External","Core")</f>
        <v>Core</v>
      </c>
    </row>
    <row r="24" customFormat="false" ht="15" hidden="false" customHeight="false" outlineLevel="0" collapsed="false">
      <c r="A24" s="138" t="s">
        <v>186</v>
      </c>
      <c r="B24" s="138" t="s">
        <v>181</v>
      </c>
      <c r="C24" s="138" t="s">
        <v>33</v>
      </c>
      <c r="D24" s="138" t="s">
        <v>187</v>
      </c>
      <c r="E24" s="138" t="s">
        <v>4</v>
      </c>
      <c r="F24" s="138" t="s">
        <v>4</v>
      </c>
      <c r="G24" s="138" t="s">
        <v>188</v>
      </c>
      <c r="H24" s="138" t="s">
        <v>4</v>
      </c>
      <c r="I24" s="138" t="s">
        <v>189</v>
      </c>
      <c r="J24" s="138" t="s">
        <v>58</v>
      </c>
      <c r="K24" s="138" t="s">
        <v>1</v>
      </c>
      <c r="L24" s="138" t="s">
        <v>190</v>
      </c>
      <c r="M24" s="138" t="s">
        <v>191</v>
      </c>
      <c r="N24" s="138" t="s">
        <v>1</v>
      </c>
      <c r="O24" s="138" t="s">
        <v>1</v>
      </c>
      <c r="P24" s="138" t="s">
        <v>192</v>
      </c>
      <c r="Q24" s="146" t="str">
        <f>IF(OR(ISNUMBER(SEARCH("FAIL",J24&amp;" "&amp;N24)),ISNUMBER(SEARCH("CLEAN RETEST REQUIRED",J24&amp;" "&amp;N24))),"Failed",IF(OR(ISNUMBER(SEARCH("NOT RUN",J24&amp;" "&amp;N24)),ISNUMBER(SEARCH("NOT IMPLEMENTED",J24&amp;" "&amp;N24))),"Not started",IF(OR(ISNUMBER(SEARCH("PARTIAL",J24&amp;" "&amp;N24)),ISNUMBER(SEARCH("PENDING",J24&amp;" "&amp;N24)),ISNUMBER(SEARCH("IN PROGRESS",J24&amp;" "&amp;N24)),ISNUMBER(SEARCH("OPEN",J24&amp;" "&amp;N24)),ISNUMBER(SEARCH("RETEST REQUIRED",J24&amp;" "&amp;N24)),ISNUMBER(SEARCH("IMPLEMENTATION UPDATED",J24&amp;" "&amp;N24)),ISNUMBER(SEARCH("REQUIRED EVERY SESSION",J24&amp;" "&amp;N24))),"Pending",IF(OR(N24="PASS",ISNUMBER(SEARCH("PASS",J24&amp;" "&amp;N24))),"Done","Pending"))))</f>
        <v>Not started</v>
      </c>
      <c r="R24" s="146" t="str">
        <f>IF(OR(LEFT(A24,9)="OPERATOR-",LEFT(A24,8)="PAYMENT-",LEFT(A24,7)="DEPLOY-"),"External","Core")</f>
        <v>Core</v>
      </c>
    </row>
    <row r="25" customFormat="false" ht="15" hidden="false" customHeight="false" outlineLevel="0" collapsed="false">
      <c r="A25" s="138" t="s">
        <v>193</v>
      </c>
      <c r="B25" s="138" t="s">
        <v>181</v>
      </c>
      <c r="C25" s="138" t="s">
        <v>33</v>
      </c>
      <c r="D25" s="138" t="s">
        <v>194</v>
      </c>
      <c r="E25" s="138" t="s">
        <v>195</v>
      </c>
      <c r="F25" s="138" t="s">
        <v>4</v>
      </c>
      <c r="G25" s="138" t="s">
        <v>196</v>
      </c>
      <c r="H25" s="138" t="s">
        <v>4</v>
      </c>
      <c r="I25" s="138" t="s">
        <v>4</v>
      </c>
      <c r="J25" s="138" t="s">
        <v>58</v>
      </c>
      <c r="K25" s="138" t="s">
        <v>1</v>
      </c>
      <c r="L25" s="138" t="s">
        <v>197</v>
      </c>
      <c r="M25" s="138" t="s">
        <v>198</v>
      </c>
      <c r="N25" s="138" t="s">
        <v>1</v>
      </c>
      <c r="O25" s="138" t="s">
        <v>1</v>
      </c>
      <c r="P25" s="138" t="s">
        <v>199</v>
      </c>
      <c r="Q25" s="146" t="str">
        <f>IF(OR(ISNUMBER(SEARCH("FAIL",J25&amp;" "&amp;N25)),ISNUMBER(SEARCH("CLEAN RETEST REQUIRED",J25&amp;" "&amp;N25))),"Failed",IF(OR(ISNUMBER(SEARCH("NOT RUN",J25&amp;" "&amp;N25)),ISNUMBER(SEARCH("NOT IMPLEMENTED",J25&amp;" "&amp;N25))),"Not started",IF(OR(ISNUMBER(SEARCH("PARTIAL",J25&amp;" "&amp;N25)),ISNUMBER(SEARCH("PENDING",J25&amp;" "&amp;N25)),ISNUMBER(SEARCH("IN PROGRESS",J25&amp;" "&amp;N25)),ISNUMBER(SEARCH("OPEN",J25&amp;" "&amp;N25)),ISNUMBER(SEARCH("RETEST REQUIRED",J25&amp;" "&amp;N25)),ISNUMBER(SEARCH("IMPLEMENTATION UPDATED",J25&amp;" "&amp;N25)),ISNUMBER(SEARCH("REQUIRED EVERY SESSION",J25&amp;" "&amp;N25))),"Pending",IF(OR(N25="PASS",ISNUMBER(SEARCH("PASS",J25&amp;" "&amp;N25))),"Done","Pending"))))</f>
        <v>Not started</v>
      </c>
      <c r="R25" s="146" t="str">
        <f>IF(OR(LEFT(A25,9)="OPERATOR-",LEFT(A25,8)="PAYMENT-",LEFT(A25,7)="DEPLOY-"),"External","Core")</f>
        <v>Core</v>
      </c>
    </row>
    <row r="26" customFormat="false" ht="15" hidden="false" customHeight="false" outlineLevel="0" collapsed="false">
      <c r="A26" s="138" t="s">
        <v>200</v>
      </c>
      <c r="B26" s="138" t="s">
        <v>181</v>
      </c>
      <c r="C26" s="138" t="s">
        <v>33</v>
      </c>
      <c r="D26" s="138" t="s">
        <v>201</v>
      </c>
      <c r="E26" s="138" t="s">
        <v>4</v>
      </c>
      <c r="F26" s="138" t="s">
        <v>4</v>
      </c>
      <c r="G26" s="138" t="s">
        <v>202</v>
      </c>
      <c r="H26" s="138" t="s">
        <v>4</v>
      </c>
      <c r="I26" s="138" t="s">
        <v>203</v>
      </c>
      <c r="J26" s="138" t="s">
        <v>58</v>
      </c>
      <c r="K26" s="138" t="s">
        <v>1</v>
      </c>
      <c r="L26" s="138" t="s">
        <v>204</v>
      </c>
      <c r="M26" s="138" t="s">
        <v>205</v>
      </c>
      <c r="N26" s="138" t="s">
        <v>1</v>
      </c>
      <c r="O26" s="138" t="s">
        <v>1</v>
      </c>
      <c r="P26" s="138" t="s">
        <v>206</v>
      </c>
      <c r="Q26" s="146" t="str">
        <f>IF(OR(ISNUMBER(SEARCH("FAIL",J26&amp;" "&amp;N26)),ISNUMBER(SEARCH("CLEAN RETEST REQUIRED",J26&amp;" "&amp;N26))),"Failed",IF(OR(ISNUMBER(SEARCH("NOT RUN",J26&amp;" "&amp;N26)),ISNUMBER(SEARCH("NOT IMPLEMENTED",J26&amp;" "&amp;N26))),"Not started",IF(OR(ISNUMBER(SEARCH("PARTIAL",J26&amp;" "&amp;N26)),ISNUMBER(SEARCH("PENDING",J26&amp;" "&amp;N26)),ISNUMBER(SEARCH("IN PROGRESS",J26&amp;" "&amp;N26)),ISNUMBER(SEARCH("OPEN",J26&amp;" "&amp;N26)),ISNUMBER(SEARCH("RETEST REQUIRED",J26&amp;" "&amp;N26)),ISNUMBER(SEARCH("IMPLEMENTATION UPDATED",J26&amp;" "&amp;N26)),ISNUMBER(SEARCH("REQUIRED EVERY SESSION",J26&amp;" "&amp;N26))),"Pending",IF(OR(N26="PASS",ISNUMBER(SEARCH("PASS",J26&amp;" "&amp;N26))),"Done","Pending"))))</f>
        <v>Not started</v>
      </c>
      <c r="R26" s="146" t="str">
        <f>IF(OR(LEFT(A26,9)="OPERATOR-",LEFT(A26,8)="PAYMENT-",LEFT(A26,7)="DEPLOY-"),"External","Core")</f>
        <v>Core</v>
      </c>
    </row>
    <row r="27" customFormat="false" ht="15" hidden="false" customHeight="false" outlineLevel="0" collapsed="false">
      <c r="A27" s="138" t="s">
        <v>207</v>
      </c>
      <c r="B27" s="138" t="s">
        <v>72</v>
      </c>
      <c r="C27" s="138" t="s">
        <v>33</v>
      </c>
      <c r="D27" s="138" t="s">
        <v>208</v>
      </c>
      <c r="E27" s="138" t="s">
        <v>209</v>
      </c>
      <c r="F27" s="138" t="s">
        <v>210</v>
      </c>
      <c r="G27" s="138" t="s">
        <v>211</v>
      </c>
      <c r="H27" s="138" t="s">
        <v>132</v>
      </c>
      <c r="I27" s="138" t="s">
        <v>212</v>
      </c>
      <c r="J27" s="138" t="s">
        <v>58</v>
      </c>
      <c r="K27" s="138" t="s">
        <v>1</v>
      </c>
      <c r="L27" s="138" t="s">
        <v>213</v>
      </c>
      <c r="M27" s="138" t="s">
        <v>214</v>
      </c>
      <c r="N27" s="138" t="s">
        <v>1</v>
      </c>
      <c r="O27" s="138" t="s">
        <v>1</v>
      </c>
      <c r="P27" s="138" t="s">
        <v>157</v>
      </c>
      <c r="Q27" s="146" t="str">
        <f>IF(OR(ISNUMBER(SEARCH("FAIL",J27&amp;" "&amp;N27)),ISNUMBER(SEARCH("CLEAN RETEST REQUIRED",J27&amp;" "&amp;N27))),"Failed",IF(OR(ISNUMBER(SEARCH("NOT RUN",J27&amp;" "&amp;N27)),ISNUMBER(SEARCH("NOT IMPLEMENTED",J27&amp;" "&amp;N27))),"Not started",IF(OR(ISNUMBER(SEARCH("PARTIAL",J27&amp;" "&amp;N27)),ISNUMBER(SEARCH("PENDING",J27&amp;" "&amp;N27)),ISNUMBER(SEARCH("IN PROGRESS",J27&amp;" "&amp;N27)),ISNUMBER(SEARCH("OPEN",J27&amp;" "&amp;N27)),ISNUMBER(SEARCH("RETEST REQUIRED",J27&amp;" "&amp;N27)),ISNUMBER(SEARCH("IMPLEMENTATION UPDATED",J27&amp;" "&amp;N27)),ISNUMBER(SEARCH("REQUIRED EVERY SESSION",J27&amp;" "&amp;N27))),"Pending",IF(OR(N27="PASS",ISNUMBER(SEARCH("PASS",J27&amp;" "&amp;N27))),"Done","Pending"))))</f>
        <v>Not started</v>
      </c>
      <c r="R27" s="146" t="str">
        <f>IF(OR(LEFT(A27,9)="OPERATOR-",LEFT(A27,8)="PAYMENT-",LEFT(A27,7)="DEPLOY-"),"External","Core")</f>
        <v>Core</v>
      </c>
    </row>
    <row r="28" customFormat="false" ht="15" hidden="false" customHeight="false" outlineLevel="0" collapsed="false">
      <c r="A28" s="138" t="s">
        <v>215</v>
      </c>
      <c r="B28" s="138" t="s">
        <v>216</v>
      </c>
      <c r="C28" s="138" t="s">
        <v>217</v>
      </c>
      <c r="D28" s="138" t="s">
        <v>218</v>
      </c>
      <c r="E28" s="138" t="s">
        <v>219</v>
      </c>
      <c r="F28" s="138" t="s">
        <v>220</v>
      </c>
      <c r="G28" s="138" t="s">
        <v>221</v>
      </c>
      <c r="H28" s="138" t="s">
        <v>222</v>
      </c>
      <c r="I28" s="138" t="s">
        <v>223</v>
      </c>
      <c r="J28" s="138" t="s">
        <v>58</v>
      </c>
      <c r="K28" s="138" t="s">
        <v>1</v>
      </c>
      <c r="L28" s="138" t="s">
        <v>224</v>
      </c>
      <c r="M28" s="138" t="s">
        <v>225</v>
      </c>
      <c r="N28" s="138" t="s">
        <v>1</v>
      </c>
      <c r="O28" s="138" t="s">
        <v>226</v>
      </c>
      <c r="P28" s="138" t="s">
        <v>227</v>
      </c>
      <c r="Q28" s="146" t="str">
        <f>IF(OR(ISNUMBER(SEARCH("FAIL",J28&amp;" "&amp;N28)),ISNUMBER(SEARCH("CLEAN RETEST REQUIRED",J28&amp;" "&amp;N28))),"Failed",IF(OR(ISNUMBER(SEARCH("NOT RUN",J28&amp;" "&amp;N28)),ISNUMBER(SEARCH("NOT IMPLEMENTED",J28&amp;" "&amp;N28))),"Not started",IF(OR(ISNUMBER(SEARCH("PARTIAL",J28&amp;" "&amp;N28)),ISNUMBER(SEARCH("PENDING",J28&amp;" "&amp;N28)),ISNUMBER(SEARCH("IN PROGRESS",J28&amp;" "&amp;N28)),ISNUMBER(SEARCH("OPEN",J28&amp;" "&amp;N28)),ISNUMBER(SEARCH("RETEST REQUIRED",J28&amp;" "&amp;N28)),ISNUMBER(SEARCH("IMPLEMENTATION UPDATED",J28&amp;" "&amp;N28)),ISNUMBER(SEARCH("REQUIRED EVERY SESSION",J28&amp;" "&amp;N28))),"Pending",IF(OR(N28="PASS",ISNUMBER(SEARCH("PASS",J28&amp;" "&amp;N28))),"Done","Pending"))))</f>
        <v>Not started</v>
      </c>
      <c r="R28" s="146" t="str">
        <f>IF(OR(LEFT(A28,9)="OPERATOR-",LEFT(A28,8)="PAYMENT-",LEFT(A28,7)="DEPLOY-"),"External","Core")</f>
        <v>Core</v>
      </c>
    </row>
    <row r="29" customFormat="false" ht="15" hidden="false" customHeight="false" outlineLevel="0" collapsed="false">
      <c r="A29" s="138" t="s">
        <v>228</v>
      </c>
      <c r="B29" s="138" t="s">
        <v>229</v>
      </c>
      <c r="C29" s="138" t="s">
        <v>33</v>
      </c>
      <c r="D29" s="138" t="s">
        <v>230</v>
      </c>
      <c r="E29" s="138" t="s">
        <v>4</v>
      </c>
      <c r="F29" s="138" t="s">
        <v>4</v>
      </c>
      <c r="G29" s="138" t="s">
        <v>231</v>
      </c>
      <c r="H29" s="138" t="s">
        <v>4</v>
      </c>
      <c r="I29" s="138" t="s">
        <v>232</v>
      </c>
      <c r="J29" s="138" t="s">
        <v>58</v>
      </c>
      <c r="K29" s="138" t="s">
        <v>1</v>
      </c>
      <c r="L29" s="138" t="s">
        <v>233</v>
      </c>
      <c r="M29" s="138" t="s">
        <v>234</v>
      </c>
      <c r="N29" s="138" t="s">
        <v>1</v>
      </c>
      <c r="O29" s="138" t="s">
        <v>1</v>
      </c>
      <c r="P29" s="138" t="s">
        <v>84</v>
      </c>
      <c r="Q29" s="146" t="str">
        <f>IF(OR(ISNUMBER(SEARCH("FAIL",J29&amp;" "&amp;N29)),ISNUMBER(SEARCH("CLEAN RETEST REQUIRED",J29&amp;" "&amp;N29))),"Failed",IF(OR(ISNUMBER(SEARCH("NOT RUN",J29&amp;" "&amp;N29)),ISNUMBER(SEARCH("NOT IMPLEMENTED",J29&amp;" "&amp;N29))),"Not started",IF(OR(ISNUMBER(SEARCH("PARTIAL",J29&amp;" "&amp;N29)),ISNUMBER(SEARCH("PENDING",J29&amp;" "&amp;N29)),ISNUMBER(SEARCH("IN PROGRESS",J29&amp;" "&amp;N29)),ISNUMBER(SEARCH("OPEN",J29&amp;" "&amp;N29)),ISNUMBER(SEARCH("RETEST REQUIRED",J29&amp;" "&amp;N29)),ISNUMBER(SEARCH("IMPLEMENTATION UPDATED",J29&amp;" "&amp;N29)),ISNUMBER(SEARCH("REQUIRED EVERY SESSION",J29&amp;" "&amp;N29))),"Pending",IF(OR(N29="PASS",ISNUMBER(SEARCH("PASS",J29&amp;" "&amp;N29))),"Done","Pending"))))</f>
        <v>Not started</v>
      </c>
      <c r="R29" s="146" t="str">
        <f>IF(OR(LEFT(A29,9)="OPERATOR-",LEFT(A29,8)="PAYMENT-",LEFT(A29,7)="DEPLOY-"),"External","Core")</f>
        <v>Core</v>
      </c>
    </row>
    <row r="30" customFormat="false" ht="15" hidden="false" customHeight="false" outlineLevel="0" collapsed="false">
      <c r="A30" s="138" t="s">
        <v>235</v>
      </c>
      <c r="B30" s="138" t="s">
        <v>236</v>
      </c>
      <c r="C30" s="138" t="s">
        <v>237</v>
      </c>
      <c r="D30" s="138" t="s">
        <v>238</v>
      </c>
      <c r="E30" s="138" t="s">
        <v>4</v>
      </c>
      <c r="F30" s="138" t="s">
        <v>239</v>
      </c>
      <c r="G30" s="138" t="s">
        <v>174</v>
      </c>
      <c r="H30" s="138" t="s">
        <v>175</v>
      </c>
      <c r="I30" s="138" t="s">
        <v>240</v>
      </c>
      <c r="J30" s="138" t="s">
        <v>58</v>
      </c>
      <c r="K30" s="138" t="s">
        <v>1</v>
      </c>
      <c r="L30" s="138" t="s">
        <v>241</v>
      </c>
      <c r="M30" s="138" t="s">
        <v>242</v>
      </c>
      <c r="N30" s="138" t="s">
        <v>1</v>
      </c>
      <c r="O30" s="138" t="s">
        <v>1</v>
      </c>
      <c r="P30" s="138" t="s">
        <v>243</v>
      </c>
      <c r="Q30" s="146" t="str">
        <f>IF(OR(ISNUMBER(SEARCH("FAIL",J30&amp;" "&amp;N30)),ISNUMBER(SEARCH("CLEAN RETEST REQUIRED",J30&amp;" "&amp;N30))),"Failed",IF(OR(ISNUMBER(SEARCH("NOT RUN",J30&amp;" "&amp;N30)),ISNUMBER(SEARCH("NOT IMPLEMENTED",J30&amp;" "&amp;N30))),"Not started",IF(OR(ISNUMBER(SEARCH("PARTIAL",J30&amp;" "&amp;N30)),ISNUMBER(SEARCH("PENDING",J30&amp;" "&amp;N30)),ISNUMBER(SEARCH("IN PROGRESS",J30&amp;" "&amp;N30)),ISNUMBER(SEARCH("OPEN",J30&amp;" "&amp;N30)),ISNUMBER(SEARCH("RETEST REQUIRED",J30&amp;" "&amp;N30)),ISNUMBER(SEARCH("IMPLEMENTATION UPDATED",J30&amp;" "&amp;N30)),ISNUMBER(SEARCH("REQUIRED EVERY SESSION",J30&amp;" "&amp;N30))),"Pending",IF(OR(N30="PASS",ISNUMBER(SEARCH("PASS",J30&amp;" "&amp;N30))),"Done","Pending"))))</f>
        <v>Not started</v>
      </c>
      <c r="R30" s="146" t="str">
        <f>IF(OR(LEFT(A30,9)="OPERATOR-",LEFT(A30,8)="PAYMENT-",LEFT(A30,7)="DEPLOY-"),"External","Core")</f>
        <v>Core</v>
      </c>
    </row>
    <row r="31" customFormat="false" ht="15" hidden="false" customHeight="false" outlineLevel="0" collapsed="false">
      <c r="A31" s="138" t="s">
        <v>244</v>
      </c>
      <c r="B31" s="138" t="s">
        <v>245</v>
      </c>
      <c r="C31" s="138" t="s">
        <v>246</v>
      </c>
      <c r="D31" s="138" t="s">
        <v>247</v>
      </c>
      <c r="E31" s="138" t="s">
        <v>248</v>
      </c>
      <c r="F31" s="138" t="s">
        <v>249</v>
      </c>
      <c r="G31" s="138" t="s">
        <v>250</v>
      </c>
      <c r="H31" s="138" t="s">
        <v>132</v>
      </c>
      <c r="I31" s="138" t="s">
        <v>251</v>
      </c>
      <c r="J31" s="138" t="s">
        <v>58</v>
      </c>
      <c r="K31" s="138" t="s">
        <v>1</v>
      </c>
      <c r="L31" s="138" t="s">
        <v>252</v>
      </c>
      <c r="M31" s="138" t="s">
        <v>253</v>
      </c>
      <c r="N31" s="138" t="s">
        <v>1</v>
      </c>
      <c r="O31" s="138" t="s">
        <v>1</v>
      </c>
      <c r="P31" s="138" t="s">
        <v>147</v>
      </c>
      <c r="Q31" s="146" t="str">
        <f>IF(OR(ISNUMBER(SEARCH("FAIL",J31&amp;" "&amp;N31)),ISNUMBER(SEARCH("CLEAN RETEST REQUIRED",J31&amp;" "&amp;N31))),"Failed",IF(OR(ISNUMBER(SEARCH("NOT RUN",J31&amp;" "&amp;N31)),ISNUMBER(SEARCH("NOT IMPLEMENTED",J31&amp;" "&amp;N31))),"Not started",IF(OR(ISNUMBER(SEARCH("PARTIAL",J31&amp;" "&amp;N31)),ISNUMBER(SEARCH("PENDING",J31&amp;" "&amp;N31)),ISNUMBER(SEARCH("IN PROGRESS",J31&amp;" "&amp;N31)),ISNUMBER(SEARCH("OPEN",J31&amp;" "&amp;N31)),ISNUMBER(SEARCH("RETEST REQUIRED",J31&amp;" "&amp;N31)),ISNUMBER(SEARCH("IMPLEMENTATION UPDATED",J31&amp;" "&amp;N31)),ISNUMBER(SEARCH("REQUIRED EVERY SESSION",J31&amp;" "&amp;N31))),"Pending",IF(OR(N31="PASS",ISNUMBER(SEARCH("PASS",J31&amp;" "&amp;N31))),"Done","Pending"))))</f>
        <v>Not started</v>
      </c>
      <c r="R31" s="146" t="str">
        <f>IF(OR(LEFT(A31,9)="OPERATOR-",LEFT(A31,8)="PAYMENT-",LEFT(A31,7)="DEPLOY-"),"External","Core")</f>
        <v>Core</v>
      </c>
    </row>
    <row r="32" customFormat="false" ht="15" hidden="false" customHeight="false" outlineLevel="0" collapsed="false">
      <c r="A32" s="138" t="s">
        <v>254</v>
      </c>
      <c r="B32" s="138" t="s">
        <v>245</v>
      </c>
      <c r="C32" s="138" t="s">
        <v>255</v>
      </c>
      <c r="D32" s="138" t="s">
        <v>256</v>
      </c>
      <c r="E32" s="138" t="s">
        <v>257</v>
      </c>
      <c r="F32" s="138" t="s">
        <v>249</v>
      </c>
      <c r="G32" s="138" t="s">
        <v>258</v>
      </c>
      <c r="H32" s="138" t="s">
        <v>132</v>
      </c>
      <c r="I32" s="138" t="s">
        <v>259</v>
      </c>
      <c r="J32" s="138" t="s">
        <v>58</v>
      </c>
      <c r="K32" s="138" t="s">
        <v>1</v>
      </c>
      <c r="L32" s="138" t="s">
        <v>260</v>
      </c>
      <c r="M32" s="138" t="s">
        <v>261</v>
      </c>
      <c r="N32" s="138" t="s">
        <v>1</v>
      </c>
      <c r="O32" s="138" t="s">
        <v>1</v>
      </c>
      <c r="P32" s="138" t="s">
        <v>125</v>
      </c>
      <c r="Q32" s="146" t="str">
        <f>IF(OR(ISNUMBER(SEARCH("FAIL",J32&amp;" "&amp;N32)),ISNUMBER(SEARCH("CLEAN RETEST REQUIRED",J32&amp;" "&amp;N32))),"Failed",IF(OR(ISNUMBER(SEARCH("NOT RUN",J32&amp;" "&amp;N32)),ISNUMBER(SEARCH("NOT IMPLEMENTED",J32&amp;" "&amp;N32))),"Not started",IF(OR(ISNUMBER(SEARCH("PARTIAL",J32&amp;" "&amp;N32)),ISNUMBER(SEARCH("PENDING",J32&amp;" "&amp;N32)),ISNUMBER(SEARCH("IN PROGRESS",J32&amp;" "&amp;N32)),ISNUMBER(SEARCH("OPEN",J32&amp;" "&amp;N32)),ISNUMBER(SEARCH("RETEST REQUIRED",J32&amp;" "&amp;N32)),ISNUMBER(SEARCH("IMPLEMENTATION UPDATED",J32&amp;" "&amp;N32)),ISNUMBER(SEARCH("REQUIRED EVERY SESSION",J32&amp;" "&amp;N32))),"Pending",IF(OR(N32="PASS",ISNUMBER(SEARCH("PASS",J32&amp;" "&amp;N32))),"Done","Pending"))))</f>
        <v>Not started</v>
      </c>
      <c r="R32" s="146" t="str">
        <f>IF(OR(LEFT(A32,9)="OPERATOR-",LEFT(A32,8)="PAYMENT-",LEFT(A32,7)="DEPLOY-"),"External","Core")</f>
        <v>Core</v>
      </c>
    </row>
    <row r="33" customFormat="false" ht="15" hidden="false" customHeight="false" outlineLevel="0" collapsed="false">
      <c r="A33" s="138" t="s">
        <v>262</v>
      </c>
      <c r="B33" s="138" t="s">
        <v>245</v>
      </c>
      <c r="C33" s="138" t="s">
        <v>263</v>
      </c>
      <c r="D33" s="138" t="s">
        <v>264</v>
      </c>
      <c r="E33" s="138" t="s">
        <v>4</v>
      </c>
      <c r="F33" s="138" t="s">
        <v>265</v>
      </c>
      <c r="G33" s="138" t="s">
        <v>4</v>
      </c>
      <c r="H33" s="138" t="s">
        <v>266</v>
      </c>
      <c r="I33" s="138" t="s">
        <v>267</v>
      </c>
      <c r="J33" s="138" t="s">
        <v>58</v>
      </c>
      <c r="K33" s="138" t="s">
        <v>1</v>
      </c>
      <c r="L33" s="138" t="s">
        <v>268</v>
      </c>
      <c r="M33" s="138" t="s">
        <v>269</v>
      </c>
      <c r="N33" s="138" t="s">
        <v>1</v>
      </c>
      <c r="O33" s="138" t="s">
        <v>270</v>
      </c>
      <c r="P33" s="138" t="s">
        <v>84</v>
      </c>
      <c r="Q33" s="146" t="str">
        <f>IF(OR(ISNUMBER(SEARCH("FAIL",J33&amp;" "&amp;N33)),ISNUMBER(SEARCH("CLEAN RETEST REQUIRED",J33&amp;" "&amp;N33))),"Failed",IF(OR(ISNUMBER(SEARCH("NOT RUN",J33&amp;" "&amp;N33)),ISNUMBER(SEARCH("NOT IMPLEMENTED",J33&amp;" "&amp;N33))),"Not started",IF(OR(ISNUMBER(SEARCH("PARTIAL",J33&amp;" "&amp;N33)),ISNUMBER(SEARCH("PENDING",J33&amp;" "&amp;N33)),ISNUMBER(SEARCH("IN PROGRESS",J33&amp;" "&amp;N33)),ISNUMBER(SEARCH("OPEN",J33&amp;" "&amp;N33)),ISNUMBER(SEARCH("RETEST REQUIRED",J33&amp;" "&amp;N33)),ISNUMBER(SEARCH("IMPLEMENTATION UPDATED",J33&amp;" "&amp;N33)),ISNUMBER(SEARCH("REQUIRED EVERY SESSION",J33&amp;" "&amp;N33))),"Pending",IF(OR(N33="PASS",ISNUMBER(SEARCH("PASS",J33&amp;" "&amp;N33))),"Done","Pending"))))</f>
        <v>Not started</v>
      </c>
      <c r="R33" s="146" t="str">
        <f>IF(OR(LEFT(A33,9)="OPERATOR-",LEFT(A33,8)="PAYMENT-",LEFT(A33,7)="DEPLOY-"),"External","Core")</f>
        <v>Core</v>
      </c>
    </row>
    <row r="34" customFormat="false" ht="15" hidden="false" customHeight="false" outlineLevel="0" collapsed="false">
      <c r="A34" s="138" t="s">
        <v>271</v>
      </c>
      <c r="B34" s="138" t="s">
        <v>245</v>
      </c>
      <c r="C34" s="138" t="s">
        <v>272</v>
      </c>
      <c r="D34" s="138" t="s">
        <v>273</v>
      </c>
      <c r="E34" s="138" t="s">
        <v>4</v>
      </c>
      <c r="F34" s="138" t="s">
        <v>265</v>
      </c>
      <c r="G34" s="138" t="s">
        <v>4</v>
      </c>
      <c r="H34" s="138" t="s">
        <v>266</v>
      </c>
      <c r="I34" s="138" t="s">
        <v>274</v>
      </c>
      <c r="J34" s="138" t="s">
        <v>58</v>
      </c>
      <c r="K34" s="138" t="s">
        <v>1</v>
      </c>
      <c r="L34" s="138" t="s">
        <v>275</v>
      </c>
      <c r="M34" s="138" t="s">
        <v>276</v>
      </c>
      <c r="N34" s="138" t="s">
        <v>1</v>
      </c>
      <c r="O34" s="138" t="s">
        <v>277</v>
      </c>
      <c r="P34" s="138" t="s">
        <v>107</v>
      </c>
      <c r="Q34" s="146" t="str">
        <f>IF(OR(ISNUMBER(SEARCH("FAIL",J34&amp;" "&amp;N34)),ISNUMBER(SEARCH("CLEAN RETEST REQUIRED",J34&amp;" "&amp;N34))),"Failed",IF(OR(ISNUMBER(SEARCH("NOT RUN",J34&amp;" "&amp;N34)),ISNUMBER(SEARCH("NOT IMPLEMENTED",J34&amp;" "&amp;N34))),"Not started",IF(OR(ISNUMBER(SEARCH("PARTIAL",J34&amp;" "&amp;N34)),ISNUMBER(SEARCH("PENDING",J34&amp;" "&amp;N34)),ISNUMBER(SEARCH("IN PROGRESS",J34&amp;" "&amp;N34)),ISNUMBER(SEARCH("OPEN",J34&amp;" "&amp;N34)),ISNUMBER(SEARCH("RETEST REQUIRED",J34&amp;" "&amp;N34)),ISNUMBER(SEARCH("IMPLEMENTATION UPDATED",J34&amp;" "&amp;N34)),ISNUMBER(SEARCH("REQUIRED EVERY SESSION",J34&amp;" "&amp;N34))),"Pending",IF(OR(N34="PASS",ISNUMBER(SEARCH("PASS",J34&amp;" "&amp;N34))),"Done","Pending"))))</f>
        <v>Not started</v>
      </c>
      <c r="R34" s="146" t="str">
        <f>IF(OR(LEFT(A34,9)="OPERATOR-",LEFT(A34,8)="PAYMENT-",LEFT(A34,7)="DEPLOY-"),"External","Core")</f>
        <v>Core</v>
      </c>
    </row>
    <row r="35" customFormat="false" ht="15" hidden="false" customHeight="false" outlineLevel="0" collapsed="false">
      <c r="A35" s="138" t="s">
        <v>278</v>
      </c>
      <c r="B35" s="138" t="s">
        <v>245</v>
      </c>
      <c r="C35" s="138" t="s">
        <v>279</v>
      </c>
      <c r="D35" s="138" t="s">
        <v>280</v>
      </c>
      <c r="E35" s="138" t="s">
        <v>257</v>
      </c>
      <c r="F35" s="138" t="s">
        <v>249</v>
      </c>
      <c r="G35" s="138" t="s">
        <v>281</v>
      </c>
      <c r="H35" s="138" t="s">
        <v>132</v>
      </c>
      <c r="I35" s="138" t="s">
        <v>282</v>
      </c>
      <c r="J35" s="138" t="s">
        <v>58</v>
      </c>
      <c r="K35" s="138" t="s">
        <v>1</v>
      </c>
      <c r="L35" s="138" t="s">
        <v>283</v>
      </c>
      <c r="M35" s="138" t="s">
        <v>284</v>
      </c>
      <c r="N35" s="138" t="s">
        <v>1</v>
      </c>
      <c r="O35" s="138" t="s">
        <v>1</v>
      </c>
      <c r="P35" s="138" t="s">
        <v>285</v>
      </c>
      <c r="Q35" s="146" t="str">
        <f>IF(OR(ISNUMBER(SEARCH("FAIL",J35&amp;" "&amp;N35)),ISNUMBER(SEARCH("CLEAN RETEST REQUIRED",J35&amp;" "&amp;N35))),"Failed",IF(OR(ISNUMBER(SEARCH("NOT RUN",J35&amp;" "&amp;N35)),ISNUMBER(SEARCH("NOT IMPLEMENTED",J35&amp;" "&amp;N35))),"Not started",IF(OR(ISNUMBER(SEARCH("PARTIAL",J35&amp;" "&amp;N35)),ISNUMBER(SEARCH("PENDING",J35&amp;" "&amp;N35)),ISNUMBER(SEARCH("IN PROGRESS",J35&amp;" "&amp;N35)),ISNUMBER(SEARCH("OPEN",J35&amp;" "&amp;N35)),ISNUMBER(SEARCH("RETEST REQUIRED",J35&amp;" "&amp;N35)),ISNUMBER(SEARCH("IMPLEMENTATION UPDATED",J35&amp;" "&amp;N35)),ISNUMBER(SEARCH("REQUIRED EVERY SESSION",J35&amp;" "&amp;N35))),"Pending",IF(OR(N35="PASS",ISNUMBER(SEARCH("PASS",J35&amp;" "&amp;N35))),"Done","Pending"))))</f>
        <v>Not started</v>
      </c>
      <c r="R35" s="146" t="str">
        <f>IF(OR(LEFT(A35,9)="OPERATOR-",LEFT(A35,8)="PAYMENT-",LEFT(A35,7)="DEPLOY-"),"External","Core")</f>
        <v>Core</v>
      </c>
    </row>
    <row r="36" customFormat="false" ht="15" hidden="false" customHeight="false" outlineLevel="0" collapsed="false">
      <c r="A36" s="138" t="s">
        <v>286</v>
      </c>
      <c r="B36" s="138" t="s">
        <v>245</v>
      </c>
      <c r="C36" s="138" t="s">
        <v>287</v>
      </c>
      <c r="D36" s="138" t="s">
        <v>288</v>
      </c>
      <c r="E36" s="138" t="s">
        <v>4</v>
      </c>
      <c r="F36" s="138" t="s">
        <v>289</v>
      </c>
      <c r="G36" s="138" t="s">
        <v>4</v>
      </c>
      <c r="H36" s="138" t="s">
        <v>266</v>
      </c>
      <c r="I36" s="138" t="s">
        <v>290</v>
      </c>
      <c r="J36" s="138" t="s">
        <v>291</v>
      </c>
      <c r="K36" s="138" t="s">
        <v>1</v>
      </c>
      <c r="L36" s="138" t="s">
        <v>292</v>
      </c>
      <c r="M36" s="138" t="s">
        <v>293</v>
      </c>
      <c r="N36" s="138" t="s">
        <v>1</v>
      </c>
      <c r="O36" s="138" t="s">
        <v>294</v>
      </c>
      <c r="P36" s="138" t="s">
        <v>243</v>
      </c>
      <c r="Q36" s="146" t="str">
        <f>IF(OR(ISNUMBER(SEARCH("FAIL",J36&amp;" "&amp;N36)),ISNUMBER(SEARCH("CLEAN RETEST REQUIRED",J36&amp;" "&amp;N36))),"Failed",IF(OR(ISNUMBER(SEARCH("NOT RUN",J36&amp;" "&amp;N36)),ISNUMBER(SEARCH("NOT IMPLEMENTED",J36&amp;" "&amp;N36))),"Not started",IF(OR(ISNUMBER(SEARCH("PARTIAL",J36&amp;" "&amp;N36)),ISNUMBER(SEARCH("PENDING",J36&amp;" "&amp;N36)),ISNUMBER(SEARCH("IN PROGRESS",J36&amp;" "&amp;N36)),ISNUMBER(SEARCH("OPEN",J36&amp;" "&amp;N36)),ISNUMBER(SEARCH("RETEST REQUIRED",J36&amp;" "&amp;N36)),ISNUMBER(SEARCH("IMPLEMENTATION UPDATED",J36&amp;" "&amp;N36)),ISNUMBER(SEARCH("REQUIRED EVERY SESSION",J36&amp;" "&amp;N36))),"Pending",IF(OR(N36="PASS",ISNUMBER(SEARCH("PASS",J36&amp;" "&amp;N36))),"Done","Pending"))))</f>
        <v>Not started</v>
      </c>
      <c r="R36" s="146" t="str">
        <f>IF(OR(LEFT(A36,9)="OPERATOR-",LEFT(A36,8)="PAYMENT-",LEFT(A36,7)="DEPLOY-"),"External","Core")</f>
        <v>Core</v>
      </c>
    </row>
    <row r="37" customFormat="false" ht="15" hidden="false" customHeight="false" outlineLevel="0" collapsed="false">
      <c r="A37" s="138" t="s">
        <v>295</v>
      </c>
      <c r="B37" s="138" t="s">
        <v>245</v>
      </c>
      <c r="C37" s="138" t="s">
        <v>296</v>
      </c>
      <c r="D37" s="138" t="s">
        <v>297</v>
      </c>
      <c r="E37" s="138" t="s">
        <v>4</v>
      </c>
      <c r="F37" s="138" t="s">
        <v>298</v>
      </c>
      <c r="G37" s="138" t="s">
        <v>4</v>
      </c>
      <c r="H37" s="138" t="s">
        <v>299</v>
      </c>
      <c r="I37" s="138" t="s">
        <v>300</v>
      </c>
      <c r="J37" s="138" t="s">
        <v>58</v>
      </c>
      <c r="K37" s="138" t="s">
        <v>1</v>
      </c>
      <c r="L37" s="138" t="s">
        <v>301</v>
      </c>
      <c r="M37" s="138" t="s">
        <v>302</v>
      </c>
      <c r="N37" s="138" t="s">
        <v>1</v>
      </c>
      <c r="O37" s="138" t="s">
        <v>1</v>
      </c>
      <c r="P37" s="138" t="s">
        <v>170</v>
      </c>
      <c r="Q37" s="146" t="str">
        <f>IF(OR(ISNUMBER(SEARCH("FAIL",J37&amp;" "&amp;N37)),ISNUMBER(SEARCH("CLEAN RETEST REQUIRED",J37&amp;" "&amp;N37))),"Failed",IF(OR(ISNUMBER(SEARCH("NOT RUN",J37&amp;" "&amp;N37)),ISNUMBER(SEARCH("NOT IMPLEMENTED",J37&amp;" "&amp;N37))),"Not started",IF(OR(ISNUMBER(SEARCH("PARTIAL",J37&amp;" "&amp;N37)),ISNUMBER(SEARCH("PENDING",J37&amp;" "&amp;N37)),ISNUMBER(SEARCH("IN PROGRESS",J37&amp;" "&amp;N37)),ISNUMBER(SEARCH("OPEN",J37&amp;" "&amp;N37)),ISNUMBER(SEARCH("RETEST REQUIRED",J37&amp;" "&amp;N37)),ISNUMBER(SEARCH("IMPLEMENTATION UPDATED",J37&amp;" "&amp;N37)),ISNUMBER(SEARCH("REQUIRED EVERY SESSION",J37&amp;" "&amp;N37))),"Pending",IF(OR(N37="PASS",ISNUMBER(SEARCH("PASS",J37&amp;" "&amp;N37))),"Done","Pending"))))</f>
        <v>Not started</v>
      </c>
      <c r="R37" s="146" t="str">
        <f>IF(OR(LEFT(A37,9)="OPERATOR-",LEFT(A37,8)="PAYMENT-",LEFT(A37,7)="DEPLOY-"),"External","Core")</f>
        <v>Core</v>
      </c>
    </row>
    <row r="38" customFormat="false" ht="15" hidden="false" customHeight="false" outlineLevel="0" collapsed="false">
      <c r="A38" s="138" t="s">
        <v>303</v>
      </c>
      <c r="B38" s="138" t="s">
        <v>304</v>
      </c>
      <c r="C38" s="138" t="s">
        <v>237</v>
      </c>
      <c r="D38" s="138" t="s">
        <v>305</v>
      </c>
      <c r="E38" s="138" t="s">
        <v>4</v>
      </c>
      <c r="F38" s="138" t="s">
        <v>4</v>
      </c>
      <c r="G38" s="138" t="s">
        <v>4</v>
      </c>
      <c r="H38" s="138" t="s">
        <v>306</v>
      </c>
      <c r="I38" s="138" t="s">
        <v>307</v>
      </c>
      <c r="J38" s="138" t="s">
        <v>58</v>
      </c>
      <c r="K38" s="138" t="s">
        <v>1</v>
      </c>
      <c r="L38" s="138" t="s">
        <v>308</v>
      </c>
      <c r="M38" s="138" t="s">
        <v>309</v>
      </c>
      <c r="N38" s="138" t="s">
        <v>1</v>
      </c>
      <c r="O38" s="138" t="s">
        <v>1</v>
      </c>
      <c r="P38" s="138" t="s">
        <v>310</v>
      </c>
      <c r="Q38" s="146" t="str">
        <f>IF(OR(ISNUMBER(SEARCH("FAIL",J38&amp;" "&amp;N38)),ISNUMBER(SEARCH("CLEAN RETEST REQUIRED",J38&amp;" "&amp;N38))),"Failed",IF(OR(ISNUMBER(SEARCH("NOT RUN",J38&amp;" "&amp;N38)),ISNUMBER(SEARCH("NOT IMPLEMENTED",J38&amp;" "&amp;N38))),"Not started",IF(OR(ISNUMBER(SEARCH("PARTIAL",J38&amp;" "&amp;N38)),ISNUMBER(SEARCH("PENDING",J38&amp;" "&amp;N38)),ISNUMBER(SEARCH("IN PROGRESS",J38&amp;" "&amp;N38)),ISNUMBER(SEARCH("OPEN",J38&amp;" "&amp;N38)),ISNUMBER(SEARCH("RETEST REQUIRED",J38&amp;" "&amp;N38)),ISNUMBER(SEARCH("IMPLEMENTATION UPDATED",J38&amp;" "&amp;N38)),ISNUMBER(SEARCH("REQUIRED EVERY SESSION",J38&amp;" "&amp;N38))),"Pending",IF(OR(N38="PASS",ISNUMBER(SEARCH("PASS",J38&amp;" "&amp;N38))),"Done","Pending"))))</f>
        <v>Not started</v>
      </c>
      <c r="R38" s="146" t="str">
        <f>IF(OR(LEFT(A38,9)="OPERATOR-",LEFT(A38,8)="PAYMENT-",LEFT(A38,7)="DEPLOY-"),"External","Core")</f>
        <v>Core</v>
      </c>
    </row>
    <row r="39" customFormat="false" ht="15" hidden="false" customHeight="false" outlineLevel="0" collapsed="false">
      <c r="A39" s="136" t="s">
        <v>311</v>
      </c>
      <c r="B39" s="136" t="s">
        <v>312</v>
      </c>
      <c r="C39" s="136" t="s">
        <v>313</v>
      </c>
      <c r="D39" s="136" t="s">
        <v>314</v>
      </c>
      <c r="E39" s="136" t="s">
        <v>4</v>
      </c>
      <c r="F39" s="136" t="s">
        <v>315</v>
      </c>
      <c r="G39" s="136" t="s">
        <v>4</v>
      </c>
      <c r="H39" s="136" t="s">
        <v>316</v>
      </c>
      <c r="I39" s="136" t="s">
        <v>317</v>
      </c>
      <c r="J39" s="136" t="s">
        <v>318</v>
      </c>
      <c r="K39" s="136" t="s">
        <v>319</v>
      </c>
      <c r="L39" s="136" t="s">
        <v>320</v>
      </c>
      <c r="M39" s="136" t="s">
        <v>321</v>
      </c>
      <c r="N39" s="136" t="s">
        <v>82</v>
      </c>
      <c r="O39" s="136" t="s">
        <v>322</v>
      </c>
      <c r="P39" s="136" t="s">
        <v>310</v>
      </c>
      <c r="Q39" s="146" t="str">
        <f>IF(OR(ISNUMBER(SEARCH("FAIL",J39&amp;" "&amp;N39)),ISNUMBER(SEARCH("CLEAN RETEST REQUIRED",J39&amp;" "&amp;N39))),"Failed",IF(OR(ISNUMBER(SEARCH("NOT RUN",J39&amp;" "&amp;N39)),ISNUMBER(SEARCH("NOT IMPLEMENTED",J39&amp;" "&amp;N39))),"Not started",IF(OR(ISNUMBER(SEARCH("PARTIAL",J39&amp;" "&amp;N39)),ISNUMBER(SEARCH("PENDING",J39&amp;" "&amp;N39)),ISNUMBER(SEARCH("IN PROGRESS",J39&amp;" "&amp;N39)),ISNUMBER(SEARCH("OPEN",J39&amp;" "&amp;N39)),ISNUMBER(SEARCH("RETEST REQUIRED",J39&amp;" "&amp;N39)),ISNUMBER(SEARCH("IMPLEMENTATION UPDATED",J39&amp;" "&amp;N39)),ISNUMBER(SEARCH("REQUIRED EVERY SESSION",J39&amp;" "&amp;N39))),"Pending",IF(OR(N39="PASS",ISNUMBER(SEARCH("PASS",J39&amp;" "&amp;N39))),"Done","Pending"))))</f>
        <v>Pending</v>
      </c>
      <c r="R39" s="146" t="str">
        <f>IF(OR(LEFT(A39,9)="OPERATOR-",LEFT(A39,8)="PAYMENT-",LEFT(A39,7)="DEPLOY-"),"External","Core")</f>
        <v>Core</v>
      </c>
    </row>
    <row r="40" customFormat="false" ht="15" hidden="false" customHeight="false" outlineLevel="0" collapsed="false">
      <c r="A40" s="135" t="s">
        <v>323</v>
      </c>
      <c r="B40" s="135" t="s">
        <v>312</v>
      </c>
      <c r="C40" s="135" t="s">
        <v>324</v>
      </c>
      <c r="D40" s="135" t="s">
        <v>325</v>
      </c>
      <c r="E40" s="135" t="s">
        <v>326</v>
      </c>
      <c r="F40" s="135" t="s">
        <v>327</v>
      </c>
      <c r="G40" s="135" t="s">
        <v>101</v>
      </c>
      <c r="H40" s="135" t="s">
        <v>8</v>
      </c>
      <c r="I40" s="135" t="s">
        <v>328</v>
      </c>
      <c r="J40" s="135" t="s">
        <v>91</v>
      </c>
      <c r="K40" s="135" t="s">
        <v>48</v>
      </c>
      <c r="L40" s="135" t="s">
        <v>329</v>
      </c>
      <c r="M40" s="135" t="s">
        <v>330</v>
      </c>
      <c r="N40" s="135" t="s">
        <v>51</v>
      </c>
      <c r="O40" s="135" t="s">
        <v>331</v>
      </c>
      <c r="P40" s="135" t="s">
        <v>285</v>
      </c>
      <c r="Q40" s="146" t="str">
        <f>IF(OR(ISNUMBER(SEARCH("FAIL",J40&amp;" "&amp;N40)),ISNUMBER(SEARCH("CLEAN RETEST REQUIRED",J40&amp;" "&amp;N40))),"Failed",IF(OR(ISNUMBER(SEARCH("NOT RUN",J40&amp;" "&amp;N40)),ISNUMBER(SEARCH("NOT IMPLEMENTED",J40&amp;" "&amp;N40))),"Not started",IF(OR(ISNUMBER(SEARCH("PARTIAL",J40&amp;" "&amp;N40)),ISNUMBER(SEARCH("PENDING",J40&amp;" "&amp;N40)),ISNUMBER(SEARCH("IN PROGRESS",J40&amp;" "&amp;N40)),ISNUMBER(SEARCH("OPEN",J40&amp;" "&amp;N40)),ISNUMBER(SEARCH("RETEST REQUIRED",J40&amp;" "&amp;N40)),ISNUMBER(SEARCH("IMPLEMENTATION UPDATED",J40&amp;" "&amp;N40)),ISNUMBER(SEARCH("REQUIRED EVERY SESSION",J40&amp;" "&amp;N40))),"Pending",IF(OR(N40="PASS",ISNUMBER(SEARCH("PASS",J40&amp;" "&amp;N40))),"Done","Pending"))))</f>
        <v>Done</v>
      </c>
      <c r="R40" s="146" t="str">
        <f>IF(OR(LEFT(A40,9)="OPERATOR-",LEFT(A40,8)="PAYMENT-",LEFT(A40,7)="DEPLOY-"),"External","Core")</f>
        <v>Core</v>
      </c>
    </row>
    <row r="41" customFormat="false" ht="15" hidden="false" customHeight="false" outlineLevel="0" collapsed="false">
      <c r="A41" s="136" t="s">
        <v>332</v>
      </c>
      <c r="B41" s="136" t="s">
        <v>312</v>
      </c>
      <c r="C41" s="136" t="s">
        <v>333</v>
      </c>
      <c r="D41" s="136" t="s">
        <v>334</v>
      </c>
      <c r="E41" s="136" t="s">
        <v>4</v>
      </c>
      <c r="F41" s="136" t="s">
        <v>335</v>
      </c>
      <c r="G41" s="136" t="s">
        <v>4</v>
      </c>
      <c r="H41" s="136" t="s">
        <v>8</v>
      </c>
      <c r="I41" s="136" t="s">
        <v>336</v>
      </c>
      <c r="J41" s="136" t="s">
        <v>337</v>
      </c>
      <c r="K41" s="136" t="s">
        <v>122</v>
      </c>
      <c r="L41" s="136" t="s">
        <v>338</v>
      </c>
      <c r="M41" s="136" t="s">
        <v>339</v>
      </c>
      <c r="N41" s="136" t="s">
        <v>82</v>
      </c>
      <c r="O41" s="136" t="s">
        <v>340</v>
      </c>
      <c r="P41" s="136" t="s">
        <v>125</v>
      </c>
      <c r="Q41" s="146" t="str">
        <f>IF(OR(ISNUMBER(SEARCH("FAIL",J41&amp;" "&amp;N41)),ISNUMBER(SEARCH("CLEAN RETEST REQUIRED",J41&amp;" "&amp;N41))),"Failed",IF(OR(ISNUMBER(SEARCH("NOT RUN",J41&amp;" "&amp;N41)),ISNUMBER(SEARCH("NOT IMPLEMENTED",J41&amp;" "&amp;N41))),"Not started",IF(OR(ISNUMBER(SEARCH("PARTIAL",J41&amp;" "&amp;N41)),ISNUMBER(SEARCH("PENDING",J41&amp;" "&amp;N41)),ISNUMBER(SEARCH("IN PROGRESS",J41&amp;" "&amp;N41)),ISNUMBER(SEARCH("OPEN",J41&amp;" "&amp;N41)),ISNUMBER(SEARCH("RETEST REQUIRED",J41&amp;" "&amp;N41)),ISNUMBER(SEARCH("IMPLEMENTATION UPDATED",J41&amp;" "&amp;N41)),ISNUMBER(SEARCH("REQUIRED EVERY SESSION",J41&amp;" "&amp;N41))),"Pending",IF(OR(N41="PASS",ISNUMBER(SEARCH("PASS",J41&amp;" "&amp;N41))),"Done","Pending"))))</f>
        <v>Pending</v>
      </c>
      <c r="R41" s="146" t="str">
        <f>IF(OR(LEFT(A41,9)="OPERATOR-",LEFT(A41,8)="PAYMENT-",LEFT(A41,7)="DEPLOY-"),"External","Core")</f>
        <v>Core</v>
      </c>
    </row>
    <row r="42" customFormat="false" ht="15" hidden="false" customHeight="false" outlineLevel="0" collapsed="false">
      <c r="A42" s="136" t="s">
        <v>341</v>
      </c>
      <c r="B42" s="136" t="s">
        <v>312</v>
      </c>
      <c r="C42" s="136" t="s">
        <v>342</v>
      </c>
      <c r="D42" s="136" t="s">
        <v>343</v>
      </c>
      <c r="E42" s="136" t="s">
        <v>4</v>
      </c>
      <c r="F42" s="136" t="s">
        <v>344</v>
      </c>
      <c r="G42" s="136" t="s">
        <v>4</v>
      </c>
      <c r="H42" s="136" t="s">
        <v>8</v>
      </c>
      <c r="I42" s="136" t="s">
        <v>345</v>
      </c>
      <c r="J42" s="136" t="s">
        <v>337</v>
      </c>
      <c r="K42" s="136" t="s">
        <v>122</v>
      </c>
      <c r="L42" s="136" t="s">
        <v>338</v>
      </c>
      <c r="M42" s="136" t="s">
        <v>346</v>
      </c>
      <c r="N42" s="136" t="s">
        <v>82</v>
      </c>
      <c r="O42" s="136" t="s">
        <v>340</v>
      </c>
      <c r="P42" s="136" t="s">
        <v>62</v>
      </c>
      <c r="Q42" s="146" t="str">
        <f>IF(OR(ISNUMBER(SEARCH("FAIL",J42&amp;" "&amp;N42)),ISNUMBER(SEARCH("CLEAN RETEST REQUIRED",J42&amp;" "&amp;N42))),"Failed",IF(OR(ISNUMBER(SEARCH("NOT RUN",J42&amp;" "&amp;N42)),ISNUMBER(SEARCH("NOT IMPLEMENTED",J42&amp;" "&amp;N42))),"Not started",IF(OR(ISNUMBER(SEARCH("PARTIAL",J42&amp;" "&amp;N42)),ISNUMBER(SEARCH("PENDING",J42&amp;" "&amp;N42)),ISNUMBER(SEARCH("IN PROGRESS",J42&amp;" "&amp;N42)),ISNUMBER(SEARCH("OPEN",J42&amp;" "&amp;N42)),ISNUMBER(SEARCH("RETEST REQUIRED",J42&amp;" "&amp;N42)),ISNUMBER(SEARCH("IMPLEMENTATION UPDATED",J42&amp;" "&amp;N42)),ISNUMBER(SEARCH("REQUIRED EVERY SESSION",J42&amp;" "&amp;N42))),"Pending",IF(OR(N42="PASS",ISNUMBER(SEARCH("PASS",J42&amp;" "&amp;N42))),"Done","Pending"))))</f>
        <v>Pending</v>
      </c>
      <c r="R42" s="146" t="str">
        <f>IF(OR(LEFT(A42,9)="OPERATOR-",LEFT(A42,8)="PAYMENT-",LEFT(A42,7)="DEPLOY-"),"External","Core")</f>
        <v>Core</v>
      </c>
    </row>
    <row r="43" customFormat="false" ht="15" hidden="false" customHeight="false" outlineLevel="0" collapsed="false">
      <c r="A43" s="136" t="s">
        <v>347</v>
      </c>
      <c r="B43" s="136" t="s">
        <v>312</v>
      </c>
      <c r="C43" s="136" t="s">
        <v>348</v>
      </c>
      <c r="D43" s="136" t="s">
        <v>349</v>
      </c>
      <c r="E43" s="136" t="s">
        <v>4</v>
      </c>
      <c r="F43" s="136" t="s">
        <v>350</v>
      </c>
      <c r="G43" s="136" t="s">
        <v>4</v>
      </c>
      <c r="H43" s="136" t="s">
        <v>8</v>
      </c>
      <c r="I43" s="136" t="s">
        <v>351</v>
      </c>
      <c r="J43" s="136" t="s">
        <v>337</v>
      </c>
      <c r="K43" s="136" t="s">
        <v>122</v>
      </c>
      <c r="L43" s="136" t="s">
        <v>338</v>
      </c>
      <c r="M43" s="136" t="s">
        <v>352</v>
      </c>
      <c r="N43" s="136" t="s">
        <v>82</v>
      </c>
      <c r="O43" s="136" t="s">
        <v>340</v>
      </c>
      <c r="P43" s="136" t="s">
        <v>310</v>
      </c>
      <c r="Q43" s="146" t="str">
        <f>IF(OR(ISNUMBER(SEARCH("FAIL",J43&amp;" "&amp;N43)),ISNUMBER(SEARCH("CLEAN RETEST REQUIRED",J43&amp;" "&amp;N43))),"Failed",IF(OR(ISNUMBER(SEARCH("NOT RUN",J43&amp;" "&amp;N43)),ISNUMBER(SEARCH("NOT IMPLEMENTED",J43&amp;" "&amp;N43))),"Not started",IF(OR(ISNUMBER(SEARCH("PARTIAL",J43&amp;" "&amp;N43)),ISNUMBER(SEARCH("PENDING",J43&amp;" "&amp;N43)),ISNUMBER(SEARCH("IN PROGRESS",J43&amp;" "&amp;N43)),ISNUMBER(SEARCH("OPEN",J43&amp;" "&amp;N43)),ISNUMBER(SEARCH("RETEST REQUIRED",J43&amp;" "&amp;N43)),ISNUMBER(SEARCH("IMPLEMENTATION UPDATED",J43&amp;" "&amp;N43)),ISNUMBER(SEARCH("REQUIRED EVERY SESSION",J43&amp;" "&amp;N43))),"Pending",IF(OR(N43="PASS",ISNUMBER(SEARCH("PASS",J43&amp;" "&amp;N43))),"Done","Pending"))))</f>
        <v>Pending</v>
      </c>
      <c r="R43" s="146" t="str">
        <f>IF(OR(LEFT(A43,9)="OPERATOR-",LEFT(A43,8)="PAYMENT-",LEFT(A43,7)="DEPLOY-"),"External","Core")</f>
        <v>Core</v>
      </c>
    </row>
    <row r="44" customFormat="false" ht="15" hidden="false" customHeight="false" outlineLevel="0" collapsed="false">
      <c r="A44" s="136" t="s">
        <v>353</v>
      </c>
      <c r="B44" s="136" t="s">
        <v>312</v>
      </c>
      <c r="C44" s="136" t="s">
        <v>354</v>
      </c>
      <c r="D44" s="136" t="s">
        <v>355</v>
      </c>
      <c r="E44" s="136" t="s">
        <v>4</v>
      </c>
      <c r="F44" s="136" t="s">
        <v>356</v>
      </c>
      <c r="G44" s="136" t="s">
        <v>4</v>
      </c>
      <c r="H44" s="136" t="s">
        <v>8</v>
      </c>
      <c r="I44" s="136" t="s">
        <v>357</v>
      </c>
      <c r="J44" s="136" t="s">
        <v>337</v>
      </c>
      <c r="K44" s="136" t="s">
        <v>122</v>
      </c>
      <c r="L44" s="136" t="s">
        <v>358</v>
      </c>
      <c r="M44" s="136" t="s">
        <v>359</v>
      </c>
      <c r="N44" s="136" t="s">
        <v>82</v>
      </c>
      <c r="O44" s="136" t="s">
        <v>360</v>
      </c>
      <c r="P44" s="136" t="s">
        <v>170</v>
      </c>
      <c r="Q44" s="146" t="str">
        <f>IF(OR(ISNUMBER(SEARCH("FAIL",J44&amp;" "&amp;N44)),ISNUMBER(SEARCH("CLEAN RETEST REQUIRED",J44&amp;" "&amp;N44))),"Failed",IF(OR(ISNUMBER(SEARCH("NOT RUN",J44&amp;" "&amp;N44)),ISNUMBER(SEARCH("NOT IMPLEMENTED",J44&amp;" "&amp;N44))),"Not started",IF(OR(ISNUMBER(SEARCH("PARTIAL",J44&amp;" "&amp;N44)),ISNUMBER(SEARCH("PENDING",J44&amp;" "&amp;N44)),ISNUMBER(SEARCH("IN PROGRESS",J44&amp;" "&amp;N44)),ISNUMBER(SEARCH("OPEN",J44&amp;" "&amp;N44)),ISNUMBER(SEARCH("RETEST REQUIRED",J44&amp;" "&amp;N44)),ISNUMBER(SEARCH("IMPLEMENTATION UPDATED",J44&amp;" "&amp;N44)),ISNUMBER(SEARCH("REQUIRED EVERY SESSION",J44&amp;" "&amp;N44))),"Pending",IF(OR(N44="PASS",ISNUMBER(SEARCH("PASS",J44&amp;" "&amp;N44))),"Done","Pending"))))</f>
        <v>Pending</v>
      </c>
      <c r="R44" s="146" t="str">
        <f>IF(OR(LEFT(A44,9)="OPERATOR-",LEFT(A44,8)="PAYMENT-",LEFT(A44,7)="DEPLOY-"),"External","Core")</f>
        <v>Core</v>
      </c>
    </row>
    <row r="45" customFormat="false" ht="15" hidden="false" customHeight="false" outlineLevel="0" collapsed="false">
      <c r="A45" s="136" t="s">
        <v>361</v>
      </c>
      <c r="B45" s="136" t="s">
        <v>312</v>
      </c>
      <c r="C45" s="136" t="s">
        <v>362</v>
      </c>
      <c r="D45" s="136" t="s">
        <v>363</v>
      </c>
      <c r="E45" s="136" t="s">
        <v>364</v>
      </c>
      <c r="F45" s="136" t="s">
        <v>365</v>
      </c>
      <c r="G45" s="136" t="s">
        <v>366</v>
      </c>
      <c r="H45" s="136" t="s">
        <v>8</v>
      </c>
      <c r="I45" s="136" t="s">
        <v>367</v>
      </c>
      <c r="J45" s="136" t="s">
        <v>337</v>
      </c>
      <c r="K45" s="136" t="s">
        <v>122</v>
      </c>
      <c r="L45" s="136" t="s">
        <v>368</v>
      </c>
      <c r="M45" s="136" t="s">
        <v>369</v>
      </c>
      <c r="N45" s="136" t="s">
        <v>82</v>
      </c>
      <c r="O45" s="136" t="s">
        <v>370</v>
      </c>
      <c r="P45" s="136" t="s">
        <v>227</v>
      </c>
      <c r="Q45" s="146" t="str">
        <f>IF(OR(ISNUMBER(SEARCH("FAIL",J45&amp;" "&amp;N45)),ISNUMBER(SEARCH("CLEAN RETEST REQUIRED",J45&amp;" "&amp;N45))),"Failed",IF(OR(ISNUMBER(SEARCH("NOT RUN",J45&amp;" "&amp;N45)),ISNUMBER(SEARCH("NOT IMPLEMENTED",J45&amp;" "&amp;N45))),"Not started",IF(OR(ISNUMBER(SEARCH("PARTIAL",J45&amp;" "&amp;N45)),ISNUMBER(SEARCH("PENDING",J45&amp;" "&amp;N45)),ISNUMBER(SEARCH("IN PROGRESS",J45&amp;" "&amp;N45)),ISNUMBER(SEARCH("OPEN",J45&amp;" "&amp;N45)),ISNUMBER(SEARCH("RETEST REQUIRED",J45&amp;" "&amp;N45)),ISNUMBER(SEARCH("IMPLEMENTATION UPDATED",J45&amp;" "&amp;N45)),ISNUMBER(SEARCH("REQUIRED EVERY SESSION",J45&amp;" "&amp;N45))),"Pending",IF(OR(N45="PASS",ISNUMBER(SEARCH("PASS",J45&amp;" "&amp;N45))),"Done","Pending"))))</f>
        <v>Pending</v>
      </c>
      <c r="R45" s="146" t="str">
        <f>IF(OR(LEFT(A45,9)="OPERATOR-",LEFT(A45,8)="PAYMENT-",LEFT(A45,7)="DEPLOY-"),"External","Core")</f>
        <v>Core</v>
      </c>
    </row>
    <row r="46" customFormat="false" ht="15" hidden="false" customHeight="false" outlineLevel="0" collapsed="false">
      <c r="A46" s="138" t="s">
        <v>371</v>
      </c>
      <c r="B46" s="138" t="s">
        <v>312</v>
      </c>
      <c r="C46" s="138" t="s">
        <v>372</v>
      </c>
      <c r="D46" s="138" t="s">
        <v>373</v>
      </c>
      <c r="E46" s="138" t="s">
        <v>4</v>
      </c>
      <c r="F46" s="138" t="s">
        <v>350</v>
      </c>
      <c r="G46" s="138" t="s">
        <v>374</v>
      </c>
      <c r="H46" s="138" t="s">
        <v>8</v>
      </c>
      <c r="I46" s="138" t="s">
        <v>4</v>
      </c>
      <c r="J46" s="138" t="s">
        <v>58</v>
      </c>
      <c r="K46" s="138" t="s">
        <v>1</v>
      </c>
      <c r="L46" s="138" t="s">
        <v>375</v>
      </c>
      <c r="M46" s="138" t="s">
        <v>376</v>
      </c>
      <c r="N46" s="138" t="s">
        <v>1</v>
      </c>
      <c r="O46" s="138" t="s">
        <v>377</v>
      </c>
      <c r="P46" s="138" t="s">
        <v>227</v>
      </c>
      <c r="Q46" s="146" t="str">
        <f>IF(OR(ISNUMBER(SEARCH("FAIL",J46&amp;" "&amp;N46)),ISNUMBER(SEARCH("CLEAN RETEST REQUIRED",J46&amp;" "&amp;N46))),"Failed",IF(OR(ISNUMBER(SEARCH("NOT RUN",J46&amp;" "&amp;N46)),ISNUMBER(SEARCH("NOT IMPLEMENTED",J46&amp;" "&amp;N46))),"Not started",IF(OR(ISNUMBER(SEARCH("PARTIAL",J46&amp;" "&amp;N46)),ISNUMBER(SEARCH("PENDING",J46&amp;" "&amp;N46)),ISNUMBER(SEARCH("IN PROGRESS",J46&amp;" "&amp;N46)),ISNUMBER(SEARCH("OPEN",J46&amp;" "&amp;N46)),ISNUMBER(SEARCH("RETEST REQUIRED",J46&amp;" "&amp;N46)),ISNUMBER(SEARCH("IMPLEMENTATION UPDATED",J46&amp;" "&amp;N46)),ISNUMBER(SEARCH("REQUIRED EVERY SESSION",J46&amp;" "&amp;N46))),"Pending",IF(OR(N46="PASS",ISNUMBER(SEARCH("PASS",J46&amp;" "&amp;N46))),"Done","Pending"))))</f>
        <v>Not started</v>
      </c>
      <c r="R46" s="146" t="str">
        <f>IF(OR(LEFT(A46,9)="OPERATOR-",LEFT(A46,8)="PAYMENT-",LEFT(A46,7)="DEPLOY-"),"External","Core")</f>
        <v>Core</v>
      </c>
    </row>
    <row r="47" customFormat="false" ht="15" hidden="false" customHeight="false" outlineLevel="0" collapsed="false">
      <c r="A47" s="136" t="s">
        <v>378</v>
      </c>
      <c r="B47" s="136" t="s">
        <v>312</v>
      </c>
      <c r="C47" s="136" t="s">
        <v>379</v>
      </c>
      <c r="D47" s="136" t="s">
        <v>380</v>
      </c>
      <c r="E47" s="136" t="s">
        <v>4</v>
      </c>
      <c r="F47" s="136" t="s">
        <v>381</v>
      </c>
      <c r="G47" s="136" t="s">
        <v>4</v>
      </c>
      <c r="H47" s="136" t="s">
        <v>8</v>
      </c>
      <c r="I47" s="136" t="s">
        <v>382</v>
      </c>
      <c r="J47" s="136" t="s">
        <v>337</v>
      </c>
      <c r="K47" s="136" t="s">
        <v>122</v>
      </c>
      <c r="L47" s="136" t="s">
        <v>338</v>
      </c>
      <c r="M47" s="136" t="s">
        <v>383</v>
      </c>
      <c r="N47" s="136" t="s">
        <v>82</v>
      </c>
      <c r="O47" s="136" t="s">
        <v>340</v>
      </c>
      <c r="P47" s="136" t="s">
        <v>125</v>
      </c>
      <c r="Q47" s="146" t="str">
        <f>IF(OR(ISNUMBER(SEARCH("FAIL",J47&amp;" "&amp;N47)),ISNUMBER(SEARCH("CLEAN RETEST REQUIRED",J47&amp;" "&amp;N47))),"Failed",IF(OR(ISNUMBER(SEARCH("NOT RUN",J47&amp;" "&amp;N47)),ISNUMBER(SEARCH("NOT IMPLEMENTED",J47&amp;" "&amp;N47))),"Not started",IF(OR(ISNUMBER(SEARCH("PARTIAL",J47&amp;" "&amp;N47)),ISNUMBER(SEARCH("PENDING",J47&amp;" "&amp;N47)),ISNUMBER(SEARCH("IN PROGRESS",J47&amp;" "&amp;N47)),ISNUMBER(SEARCH("OPEN",J47&amp;" "&amp;N47)),ISNUMBER(SEARCH("RETEST REQUIRED",J47&amp;" "&amp;N47)),ISNUMBER(SEARCH("IMPLEMENTATION UPDATED",J47&amp;" "&amp;N47)),ISNUMBER(SEARCH("REQUIRED EVERY SESSION",J47&amp;" "&amp;N47))),"Pending",IF(OR(N47="PASS",ISNUMBER(SEARCH("PASS",J47&amp;" "&amp;N47))),"Done","Pending"))))</f>
        <v>Pending</v>
      </c>
      <c r="R47" s="146" t="str">
        <f>IF(OR(LEFT(A47,9)="OPERATOR-",LEFT(A47,8)="PAYMENT-",LEFT(A47,7)="DEPLOY-"),"External","Core")</f>
        <v>Core</v>
      </c>
    </row>
    <row r="48" customFormat="false" ht="15" hidden="false" customHeight="false" outlineLevel="0" collapsed="false">
      <c r="A48" s="136" t="s">
        <v>384</v>
      </c>
      <c r="B48" s="136" t="s">
        <v>312</v>
      </c>
      <c r="C48" s="136" t="s">
        <v>385</v>
      </c>
      <c r="D48" s="136" t="s">
        <v>386</v>
      </c>
      <c r="E48" s="136" t="s">
        <v>387</v>
      </c>
      <c r="F48" s="136" t="s">
        <v>388</v>
      </c>
      <c r="G48" s="136" t="s">
        <v>389</v>
      </c>
      <c r="H48" s="136" t="s">
        <v>8</v>
      </c>
      <c r="I48" s="136" t="s">
        <v>390</v>
      </c>
      <c r="J48" s="136" t="s">
        <v>337</v>
      </c>
      <c r="K48" s="136" t="s">
        <v>122</v>
      </c>
      <c r="L48" s="136" t="s">
        <v>338</v>
      </c>
      <c r="M48" s="136" t="s">
        <v>391</v>
      </c>
      <c r="N48" s="136" t="s">
        <v>82</v>
      </c>
      <c r="O48" s="136" t="s">
        <v>340</v>
      </c>
      <c r="P48" s="136" t="s">
        <v>392</v>
      </c>
      <c r="Q48" s="146" t="str">
        <f>IF(OR(ISNUMBER(SEARCH("FAIL",J48&amp;" "&amp;N48)),ISNUMBER(SEARCH("CLEAN RETEST REQUIRED",J48&amp;" "&amp;N48))),"Failed",IF(OR(ISNUMBER(SEARCH("NOT RUN",J48&amp;" "&amp;N48)),ISNUMBER(SEARCH("NOT IMPLEMENTED",J48&amp;" "&amp;N48))),"Not started",IF(OR(ISNUMBER(SEARCH("PARTIAL",J48&amp;" "&amp;N48)),ISNUMBER(SEARCH("PENDING",J48&amp;" "&amp;N48)),ISNUMBER(SEARCH("IN PROGRESS",J48&amp;" "&amp;N48)),ISNUMBER(SEARCH("OPEN",J48&amp;" "&amp;N48)),ISNUMBER(SEARCH("RETEST REQUIRED",J48&amp;" "&amp;N48)),ISNUMBER(SEARCH("IMPLEMENTATION UPDATED",J48&amp;" "&amp;N48)),ISNUMBER(SEARCH("REQUIRED EVERY SESSION",J48&amp;" "&amp;N48))),"Pending",IF(OR(N48="PASS",ISNUMBER(SEARCH("PASS",J48&amp;" "&amp;N48))),"Done","Pending"))))</f>
        <v>Pending</v>
      </c>
      <c r="R48" s="146" t="str">
        <f>IF(OR(LEFT(A48,9)="OPERATOR-",LEFT(A48,8)="PAYMENT-",LEFT(A48,7)="DEPLOY-"),"External","Core")</f>
        <v>Core</v>
      </c>
    </row>
    <row r="49" customFormat="false" ht="15" hidden="false" customHeight="false" outlineLevel="0" collapsed="false">
      <c r="A49" s="136" t="s">
        <v>393</v>
      </c>
      <c r="B49" s="136" t="s">
        <v>394</v>
      </c>
      <c r="C49" s="136" t="s">
        <v>395</v>
      </c>
      <c r="D49" s="136" t="s">
        <v>396</v>
      </c>
      <c r="E49" s="136" t="s">
        <v>397</v>
      </c>
      <c r="F49" s="136" t="s">
        <v>398</v>
      </c>
      <c r="G49" s="136" t="s">
        <v>399</v>
      </c>
      <c r="H49" s="136" t="s">
        <v>400</v>
      </c>
      <c r="I49" s="136" t="s">
        <v>401</v>
      </c>
      <c r="J49" s="136" t="s">
        <v>402</v>
      </c>
      <c r="K49" s="136" t="s">
        <v>48</v>
      </c>
      <c r="L49" s="136" t="s">
        <v>403</v>
      </c>
      <c r="M49" s="136" t="s">
        <v>404</v>
      </c>
      <c r="N49" s="136" t="s">
        <v>82</v>
      </c>
      <c r="O49" s="136" t="s">
        <v>405</v>
      </c>
      <c r="P49" s="136" t="s">
        <v>125</v>
      </c>
      <c r="Q49" s="146" t="str">
        <f>IF(OR(ISNUMBER(SEARCH("FAIL",J49&amp;" "&amp;N49)),ISNUMBER(SEARCH("CLEAN RETEST REQUIRED",J49&amp;" "&amp;N49))),"Failed",IF(OR(ISNUMBER(SEARCH("NOT RUN",J49&amp;" "&amp;N49)),ISNUMBER(SEARCH("NOT IMPLEMENTED",J49&amp;" "&amp;N49))),"Not started",IF(OR(ISNUMBER(SEARCH("PARTIAL",J49&amp;" "&amp;N49)),ISNUMBER(SEARCH("PENDING",J49&amp;" "&amp;N49)),ISNUMBER(SEARCH("IN PROGRESS",J49&amp;" "&amp;N49)),ISNUMBER(SEARCH("OPEN",J49&amp;" "&amp;N49)),ISNUMBER(SEARCH("RETEST REQUIRED",J49&amp;" "&amp;N49)),ISNUMBER(SEARCH("IMPLEMENTATION UPDATED",J49&amp;" "&amp;N49)),ISNUMBER(SEARCH("REQUIRED EVERY SESSION",J49&amp;" "&amp;N49))),"Pending",IF(OR(N49="PASS",ISNUMBER(SEARCH("PASS",J49&amp;" "&amp;N49))),"Done","Pending"))))</f>
        <v>Pending</v>
      </c>
      <c r="R49" s="146" t="str">
        <f>IF(OR(LEFT(A49,9)="OPERATOR-",LEFT(A49,8)="PAYMENT-",LEFT(A49,7)="DEPLOY-"),"External","Core")</f>
        <v>Core</v>
      </c>
    </row>
    <row r="50" customFormat="false" ht="15" hidden="false" customHeight="false" outlineLevel="0" collapsed="false">
      <c r="A50" s="138" t="s">
        <v>406</v>
      </c>
      <c r="B50" s="138" t="s">
        <v>407</v>
      </c>
      <c r="C50" s="138" t="s">
        <v>408</v>
      </c>
      <c r="D50" s="138" t="s">
        <v>409</v>
      </c>
      <c r="E50" s="138" t="s">
        <v>410</v>
      </c>
      <c r="F50" s="138" t="s">
        <v>411</v>
      </c>
      <c r="G50" s="138" t="s">
        <v>4</v>
      </c>
      <c r="H50" s="138" t="s">
        <v>412</v>
      </c>
      <c r="I50" s="138" t="s">
        <v>413</v>
      </c>
      <c r="J50" s="138" t="s">
        <v>414</v>
      </c>
      <c r="K50" s="138" t="s">
        <v>1</v>
      </c>
      <c r="L50" s="138" t="s">
        <v>415</v>
      </c>
      <c r="M50" s="138" t="s">
        <v>416</v>
      </c>
      <c r="N50" s="138" t="s">
        <v>1</v>
      </c>
      <c r="O50" s="138" t="s">
        <v>417</v>
      </c>
      <c r="P50" s="138" t="s">
        <v>418</v>
      </c>
      <c r="Q50" s="146" t="str">
        <f>IF(OR(ISNUMBER(SEARCH("FAIL",J50&amp;" "&amp;N50)),ISNUMBER(SEARCH("CLEAN RETEST REQUIRED",J50&amp;" "&amp;N50))),"Failed",IF(OR(ISNUMBER(SEARCH("NOT RUN",J50&amp;" "&amp;N50)),ISNUMBER(SEARCH("NOT IMPLEMENTED",J50&amp;" "&amp;N50))),"Not started",IF(OR(ISNUMBER(SEARCH("PARTIAL",J50&amp;" "&amp;N50)),ISNUMBER(SEARCH("PENDING",J50&amp;" "&amp;N50)),ISNUMBER(SEARCH("IN PROGRESS",J50&amp;" "&amp;N50)),ISNUMBER(SEARCH("OPEN",J50&amp;" "&amp;N50)),ISNUMBER(SEARCH("RETEST REQUIRED",J50&amp;" "&amp;N50)),ISNUMBER(SEARCH("IMPLEMENTATION UPDATED",J50&amp;" "&amp;N50)),ISNUMBER(SEARCH("REQUIRED EVERY SESSION",J50&amp;" "&amp;N50))),"Pending",IF(OR(N50="PASS",ISNUMBER(SEARCH("PASS",J50&amp;" "&amp;N50))),"Done","Pending"))))</f>
        <v>Not started</v>
      </c>
      <c r="R50" s="146" t="str">
        <f>IF(OR(LEFT(A50,9)="OPERATOR-",LEFT(A50,8)="PAYMENT-",LEFT(A50,7)="DEPLOY-"),"External","Core")</f>
        <v>Core</v>
      </c>
    </row>
    <row r="51" customFormat="false" ht="15" hidden="false" customHeight="false" outlineLevel="0" collapsed="false">
      <c r="A51" s="136" t="s">
        <v>419</v>
      </c>
      <c r="B51" s="136" t="s">
        <v>420</v>
      </c>
      <c r="C51" s="136" t="s">
        <v>421</v>
      </c>
      <c r="D51" s="136" t="s">
        <v>422</v>
      </c>
      <c r="E51" s="136" t="s">
        <v>423</v>
      </c>
      <c r="F51" s="136" t="s">
        <v>424</v>
      </c>
      <c r="G51" s="136" t="s">
        <v>425</v>
      </c>
      <c r="H51" s="136" t="s">
        <v>426</v>
      </c>
      <c r="I51" s="136" t="s">
        <v>427</v>
      </c>
      <c r="J51" s="136" t="s">
        <v>428</v>
      </c>
      <c r="K51" s="136" t="s">
        <v>48</v>
      </c>
      <c r="L51" s="136" t="s">
        <v>429</v>
      </c>
      <c r="M51" s="136" t="s">
        <v>430</v>
      </c>
      <c r="N51" s="136" t="s">
        <v>431</v>
      </c>
      <c r="O51" s="136" t="s">
        <v>432</v>
      </c>
      <c r="P51" s="136" t="s">
        <v>433</v>
      </c>
      <c r="Q51" s="146" t="str">
        <f>IF(OR(ISNUMBER(SEARCH("FAIL",J51&amp;" "&amp;N51)),ISNUMBER(SEARCH("CLEAN RETEST REQUIRED",J51&amp;" "&amp;N51))),"Failed",IF(OR(ISNUMBER(SEARCH("NOT RUN",J51&amp;" "&amp;N51)),ISNUMBER(SEARCH("NOT IMPLEMENTED",J51&amp;" "&amp;N51))),"Not started",IF(OR(ISNUMBER(SEARCH("PARTIAL",J51&amp;" "&amp;N51)),ISNUMBER(SEARCH("PENDING",J51&amp;" "&amp;N51)),ISNUMBER(SEARCH("IN PROGRESS",J51&amp;" "&amp;N51)),ISNUMBER(SEARCH("OPEN",J51&amp;" "&amp;N51)),ISNUMBER(SEARCH("RETEST REQUIRED",J51&amp;" "&amp;N51)),ISNUMBER(SEARCH("IMPLEMENTATION UPDATED",J51&amp;" "&amp;N51)),ISNUMBER(SEARCH("REQUIRED EVERY SESSION",J51&amp;" "&amp;N51))),"Pending",IF(OR(N51="PASS",ISNUMBER(SEARCH("PASS",J51&amp;" "&amp;N51))),"Done","Pending"))))</f>
        <v>Pending</v>
      </c>
      <c r="R51" s="146" t="str">
        <f>IF(OR(LEFT(A51,9)="OPERATOR-",LEFT(A51,8)="PAYMENT-",LEFT(A51,7)="DEPLOY-"),"External","Core")</f>
        <v>Core</v>
      </c>
    </row>
    <row r="52" customFormat="false" ht="15" hidden="false" customHeight="false" outlineLevel="0" collapsed="false">
      <c r="A52" s="136" t="s">
        <v>434</v>
      </c>
      <c r="B52" s="136" t="s">
        <v>435</v>
      </c>
      <c r="C52" s="136" t="s">
        <v>436</v>
      </c>
      <c r="D52" s="136" t="s">
        <v>437</v>
      </c>
      <c r="E52" s="136" t="s">
        <v>4</v>
      </c>
      <c r="F52" s="136" t="s">
        <v>4</v>
      </c>
      <c r="G52" s="136" t="s">
        <v>4</v>
      </c>
      <c r="H52" s="136" t="s">
        <v>438</v>
      </c>
      <c r="I52" s="136" t="s">
        <v>439</v>
      </c>
      <c r="J52" s="136" t="s">
        <v>440</v>
      </c>
      <c r="K52" s="136" t="s">
        <v>48</v>
      </c>
      <c r="L52" s="136" t="s">
        <v>441</v>
      </c>
      <c r="M52" s="136" t="s">
        <v>442</v>
      </c>
      <c r="N52" s="136" t="s">
        <v>443</v>
      </c>
      <c r="O52" s="136" t="s">
        <v>444</v>
      </c>
      <c r="P52" s="136" t="s">
        <v>445</v>
      </c>
      <c r="Q52" s="146" t="str">
        <f>IF(OR(ISNUMBER(SEARCH("FAIL",J52&amp;" "&amp;N52)),ISNUMBER(SEARCH("CLEAN RETEST REQUIRED",J52&amp;" "&amp;N52))),"Failed",IF(OR(ISNUMBER(SEARCH("NOT RUN",J52&amp;" "&amp;N52)),ISNUMBER(SEARCH("NOT IMPLEMENTED",J52&amp;" "&amp;N52))),"Not started",IF(OR(ISNUMBER(SEARCH("PARTIAL",J52&amp;" "&amp;N52)),ISNUMBER(SEARCH("PENDING",J52&amp;" "&amp;N52)),ISNUMBER(SEARCH("IN PROGRESS",J52&amp;" "&amp;N52)),ISNUMBER(SEARCH("OPEN",J52&amp;" "&amp;N52)),ISNUMBER(SEARCH("RETEST REQUIRED",J52&amp;" "&amp;N52)),ISNUMBER(SEARCH("IMPLEMENTATION UPDATED",J52&amp;" "&amp;N52)),ISNUMBER(SEARCH("REQUIRED EVERY SESSION",J52&amp;" "&amp;N52))),"Pending",IF(OR(N52="PASS",ISNUMBER(SEARCH("PASS",J52&amp;" "&amp;N52))),"Done","Pending"))))</f>
        <v>Pending</v>
      </c>
      <c r="R52" s="146" t="str">
        <f>IF(OR(LEFT(A52,9)="OPERATOR-",LEFT(A52,8)="PAYMENT-",LEFT(A52,7)="DEPLOY-"),"External","Core")</f>
        <v>Core</v>
      </c>
    </row>
    <row r="53" customFormat="false" ht="15" hidden="false" customHeight="false" outlineLevel="0" collapsed="false">
      <c r="A53" s="135" t="s">
        <v>446</v>
      </c>
      <c r="B53" s="135" t="s">
        <v>447</v>
      </c>
      <c r="C53" s="135" t="s">
        <v>448</v>
      </c>
      <c r="D53" s="135" t="s">
        <v>449</v>
      </c>
      <c r="E53" s="135" t="s">
        <v>450</v>
      </c>
      <c r="F53" s="135" t="s">
        <v>451</v>
      </c>
      <c r="G53" s="135" t="s">
        <v>452</v>
      </c>
      <c r="H53" s="135" t="s">
        <v>453</v>
      </c>
      <c r="I53" s="135" t="s">
        <v>454</v>
      </c>
      <c r="J53" s="135" t="s">
        <v>91</v>
      </c>
      <c r="K53" s="135" t="s">
        <v>48</v>
      </c>
      <c r="L53" s="135" t="s">
        <v>455</v>
      </c>
      <c r="M53" s="135" t="s">
        <v>456</v>
      </c>
      <c r="N53" s="135" t="s">
        <v>51</v>
      </c>
      <c r="O53" s="135" t="s">
        <v>457</v>
      </c>
      <c r="P53" s="135" t="s">
        <v>243</v>
      </c>
      <c r="Q53" s="146" t="str">
        <f>IF(OR(ISNUMBER(SEARCH("FAIL",J53&amp;" "&amp;N53)),ISNUMBER(SEARCH("CLEAN RETEST REQUIRED",J53&amp;" "&amp;N53))),"Failed",IF(OR(ISNUMBER(SEARCH("NOT RUN",J53&amp;" "&amp;N53)),ISNUMBER(SEARCH("NOT IMPLEMENTED",J53&amp;" "&amp;N53))),"Not started",IF(OR(ISNUMBER(SEARCH("PARTIAL",J53&amp;" "&amp;N53)),ISNUMBER(SEARCH("PENDING",J53&amp;" "&amp;N53)),ISNUMBER(SEARCH("IN PROGRESS",J53&amp;" "&amp;N53)),ISNUMBER(SEARCH("OPEN",J53&amp;" "&amp;N53)),ISNUMBER(SEARCH("RETEST REQUIRED",J53&amp;" "&amp;N53)),ISNUMBER(SEARCH("IMPLEMENTATION UPDATED",J53&amp;" "&amp;N53)),ISNUMBER(SEARCH("REQUIRED EVERY SESSION",J53&amp;" "&amp;N53))),"Pending",IF(OR(N53="PASS",ISNUMBER(SEARCH("PASS",J53&amp;" "&amp;N53))),"Done","Pending"))))</f>
        <v>Done</v>
      </c>
      <c r="R53" s="146" t="str">
        <f>IF(OR(LEFT(A53,9)="OPERATOR-",LEFT(A53,8)="PAYMENT-",LEFT(A53,7)="DEPLOY-"),"External","Core")</f>
        <v>Core</v>
      </c>
    </row>
    <row r="54" customFormat="false" ht="15" hidden="false" customHeight="false" outlineLevel="0" collapsed="false">
      <c r="A54" s="135" t="s">
        <v>458</v>
      </c>
      <c r="B54" s="135" t="s">
        <v>459</v>
      </c>
      <c r="C54" s="135" t="s">
        <v>460</v>
      </c>
      <c r="D54" s="135" t="s">
        <v>461</v>
      </c>
      <c r="E54" s="135" t="s">
        <v>462</v>
      </c>
      <c r="F54" s="135" t="s">
        <v>463</v>
      </c>
      <c r="G54" s="135" t="s">
        <v>464</v>
      </c>
      <c r="H54" s="135" t="s">
        <v>465</v>
      </c>
      <c r="I54" s="135" t="s">
        <v>466</v>
      </c>
      <c r="J54" s="135" t="s">
        <v>91</v>
      </c>
      <c r="K54" s="135" t="s">
        <v>48</v>
      </c>
      <c r="L54" s="135" t="s">
        <v>467</v>
      </c>
      <c r="M54" s="135" t="s">
        <v>468</v>
      </c>
      <c r="N54" s="135" t="s">
        <v>51</v>
      </c>
      <c r="O54" s="135" t="s">
        <v>469</v>
      </c>
      <c r="P54" s="135" t="s">
        <v>392</v>
      </c>
      <c r="Q54" s="146" t="str">
        <f>IF(OR(ISNUMBER(SEARCH("FAIL",J54&amp;" "&amp;N54)),ISNUMBER(SEARCH("CLEAN RETEST REQUIRED",J54&amp;" "&amp;N54))),"Failed",IF(OR(ISNUMBER(SEARCH("NOT RUN",J54&amp;" "&amp;N54)),ISNUMBER(SEARCH("NOT IMPLEMENTED",J54&amp;" "&amp;N54))),"Not started",IF(OR(ISNUMBER(SEARCH("PARTIAL",J54&amp;" "&amp;N54)),ISNUMBER(SEARCH("PENDING",J54&amp;" "&amp;N54)),ISNUMBER(SEARCH("IN PROGRESS",J54&amp;" "&amp;N54)),ISNUMBER(SEARCH("OPEN",J54&amp;" "&amp;N54)),ISNUMBER(SEARCH("RETEST REQUIRED",J54&amp;" "&amp;N54)),ISNUMBER(SEARCH("IMPLEMENTATION UPDATED",J54&amp;" "&amp;N54)),ISNUMBER(SEARCH("REQUIRED EVERY SESSION",J54&amp;" "&amp;N54))),"Pending",IF(OR(N54="PASS",ISNUMBER(SEARCH("PASS",J54&amp;" "&amp;N54))),"Done","Pending"))))</f>
        <v>Done</v>
      </c>
      <c r="R54" s="146" t="str">
        <f>IF(OR(LEFT(A54,9)="OPERATOR-",LEFT(A54,8)="PAYMENT-",LEFT(A54,7)="DEPLOY-"),"External","Core")</f>
        <v>Core</v>
      </c>
    </row>
    <row r="55" customFormat="false" ht="15" hidden="false" customHeight="false" outlineLevel="0" collapsed="false">
      <c r="A55" s="135" t="s">
        <v>470</v>
      </c>
      <c r="B55" s="135" t="s">
        <v>447</v>
      </c>
      <c r="C55" s="135" t="s">
        <v>448</v>
      </c>
      <c r="D55" s="135" t="s">
        <v>471</v>
      </c>
      <c r="E55" s="135" t="s">
        <v>472</v>
      </c>
      <c r="F55" s="135" t="s">
        <v>473</v>
      </c>
      <c r="G55" s="135" t="s">
        <v>452</v>
      </c>
      <c r="H55" s="135" t="s">
        <v>474</v>
      </c>
      <c r="I55" s="135" t="s">
        <v>475</v>
      </c>
      <c r="J55" s="135" t="s">
        <v>91</v>
      </c>
      <c r="K55" s="135" t="s">
        <v>48</v>
      </c>
      <c r="L55" s="135" t="s">
        <v>476</v>
      </c>
      <c r="M55" s="135" t="s">
        <v>477</v>
      </c>
      <c r="N55" s="135" t="s">
        <v>51</v>
      </c>
      <c r="O55" s="135" t="s">
        <v>478</v>
      </c>
      <c r="P55" s="135" t="s">
        <v>147</v>
      </c>
      <c r="Q55" s="146" t="str">
        <f>IF(OR(ISNUMBER(SEARCH("FAIL",J55&amp;" "&amp;N55)),ISNUMBER(SEARCH("CLEAN RETEST REQUIRED",J55&amp;" "&amp;N55))),"Failed",IF(OR(ISNUMBER(SEARCH("NOT RUN",J55&amp;" "&amp;N55)),ISNUMBER(SEARCH("NOT IMPLEMENTED",J55&amp;" "&amp;N55))),"Not started",IF(OR(ISNUMBER(SEARCH("PARTIAL",J55&amp;" "&amp;N55)),ISNUMBER(SEARCH("PENDING",J55&amp;" "&amp;N55)),ISNUMBER(SEARCH("IN PROGRESS",J55&amp;" "&amp;N55)),ISNUMBER(SEARCH("OPEN",J55&amp;" "&amp;N55)),ISNUMBER(SEARCH("RETEST REQUIRED",J55&amp;" "&amp;N55)),ISNUMBER(SEARCH("IMPLEMENTATION UPDATED",J55&amp;" "&amp;N55)),ISNUMBER(SEARCH("REQUIRED EVERY SESSION",J55&amp;" "&amp;N55))),"Pending",IF(OR(N55="PASS",ISNUMBER(SEARCH("PASS",J55&amp;" "&amp;N55))),"Done","Pending"))))</f>
        <v>Done</v>
      </c>
      <c r="R55" s="146" t="str">
        <f>IF(OR(LEFT(A55,9)="OPERATOR-",LEFT(A55,8)="PAYMENT-",LEFT(A55,7)="DEPLOY-"),"External","Core")</f>
        <v>Core</v>
      </c>
    </row>
    <row r="56" customFormat="false" ht="180" hidden="false" customHeight="true" outlineLevel="0" collapsed="false">
      <c r="A56" s="135" t="s">
        <v>479</v>
      </c>
      <c r="B56" s="135" t="s">
        <v>480</v>
      </c>
      <c r="C56" s="135" t="s">
        <v>481</v>
      </c>
      <c r="D56" s="135" t="s">
        <v>482</v>
      </c>
      <c r="E56" s="135" t="s">
        <v>4</v>
      </c>
      <c r="F56" s="135" t="s">
        <v>483</v>
      </c>
      <c r="G56" s="135" t="s">
        <v>4</v>
      </c>
      <c r="H56" s="135" t="s">
        <v>484</v>
      </c>
      <c r="I56" s="135" t="s">
        <v>485</v>
      </c>
      <c r="J56" s="135" t="s">
        <v>486</v>
      </c>
      <c r="K56" s="135" t="s">
        <v>487</v>
      </c>
      <c r="L56" s="135" t="s">
        <v>488</v>
      </c>
      <c r="M56" s="135" t="s">
        <v>489</v>
      </c>
      <c r="N56" s="135" t="s">
        <v>51</v>
      </c>
      <c r="O56" s="135" t="s">
        <v>490</v>
      </c>
      <c r="P56" s="135" t="s">
        <v>491</v>
      </c>
      <c r="Q56" s="146" t="str">
        <f>IF(OR(ISNUMBER(SEARCH("FAIL",J56&amp;" "&amp;N56)),ISNUMBER(SEARCH("CLEAN RETEST REQUIRED",J56&amp;" "&amp;N56))),"Failed",IF(OR(ISNUMBER(SEARCH("NOT RUN",J56&amp;" "&amp;N56)),ISNUMBER(SEARCH("NOT IMPLEMENTED",J56&amp;" "&amp;N56))),"Not started",IF(OR(ISNUMBER(SEARCH("PARTIAL",J56&amp;" "&amp;N56)),ISNUMBER(SEARCH("PENDING",J56&amp;" "&amp;N56)),ISNUMBER(SEARCH("IN PROGRESS",J56&amp;" "&amp;N56)),ISNUMBER(SEARCH("OPEN",J56&amp;" "&amp;N56)),ISNUMBER(SEARCH("RETEST REQUIRED",J56&amp;" "&amp;N56)),ISNUMBER(SEARCH("IMPLEMENTATION UPDATED",J56&amp;" "&amp;N56)),ISNUMBER(SEARCH("REQUIRED EVERY SESSION",J56&amp;" "&amp;N56))),"Pending",IF(OR(N56="PASS",ISNUMBER(SEARCH("PASS",J56&amp;" "&amp;N56))),"Done","Pending"))))</f>
        <v>Done</v>
      </c>
      <c r="R56" s="146" t="str">
        <f>IF(OR(LEFT(A56,9)="OPERATOR-",LEFT(A56,8)="PAYMENT-",LEFT(A56,7)="DEPLOY-"),"External","Core")</f>
        <v>Core</v>
      </c>
    </row>
    <row r="57" customFormat="false" ht="15" hidden="false" customHeight="false" outlineLevel="0" collapsed="false">
      <c r="A57" s="135" t="s">
        <v>492</v>
      </c>
      <c r="B57" s="135" t="s">
        <v>493</v>
      </c>
      <c r="C57" s="135" t="s">
        <v>494</v>
      </c>
      <c r="D57" s="135" t="s">
        <v>495</v>
      </c>
      <c r="E57" s="135" t="s">
        <v>472</v>
      </c>
      <c r="F57" s="135" t="s">
        <v>496</v>
      </c>
      <c r="G57" s="135" t="s">
        <v>4</v>
      </c>
      <c r="H57" s="135" t="s">
        <v>497</v>
      </c>
      <c r="I57" s="135" t="s">
        <v>498</v>
      </c>
      <c r="J57" s="135" t="s">
        <v>499</v>
      </c>
      <c r="K57" s="135" t="s">
        <v>487</v>
      </c>
      <c r="L57" s="135" t="s">
        <v>500</v>
      </c>
      <c r="M57" s="135" t="s">
        <v>501</v>
      </c>
      <c r="N57" s="135" t="s">
        <v>51</v>
      </c>
      <c r="O57" s="135" t="s">
        <v>502</v>
      </c>
      <c r="P57" s="135" t="s">
        <v>433</v>
      </c>
      <c r="Q57" s="146" t="str">
        <f>IF(OR(ISNUMBER(SEARCH("FAIL",J57&amp;" "&amp;N57)),ISNUMBER(SEARCH("CLEAN RETEST REQUIRED",J57&amp;" "&amp;N57))),"Failed",IF(OR(ISNUMBER(SEARCH("NOT RUN",J57&amp;" "&amp;N57)),ISNUMBER(SEARCH("NOT IMPLEMENTED",J57&amp;" "&amp;N57))),"Not started",IF(OR(ISNUMBER(SEARCH("PARTIAL",J57&amp;" "&amp;N57)),ISNUMBER(SEARCH("PENDING",J57&amp;" "&amp;N57)),ISNUMBER(SEARCH("IN PROGRESS",J57&amp;" "&amp;N57)),ISNUMBER(SEARCH("OPEN",J57&amp;" "&amp;N57)),ISNUMBER(SEARCH("RETEST REQUIRED",J57&amp;" "&amp;N57)),ISNUMBER(SEARCH("IMPLEMENTATION UPDATED",J57&amp;" "&amp;N57)),ISNUMBER(SEARCH("REQUIRED EVERY SESSION",J57&amp;" "&amp;N57))),"Pending",IF(OR(N57="PASS",ISNUMBER(SEARCH("PASS",J57&amp;" "&amp;N57))),"Done","Pending"))))</f>
        <v>Done</v>
      </c>
      <c r="R57" s="146" t="str">
        <f>IF(OR(LEFT(A57,9)="OPERATOR-",LEFT(A57,8)="PAYMENT-",LEFT(A57,7)="DEPLOY-"),"External","Core")</f>
        <v>Core</v>
      </c>
    </row>
    <row r="58" customFormat="false" ht="15" hidden="false" customHeight="false" outlineLevel="0" collapsed="false">
      <c r="A58" s="135" t="s">
        <v>503</v>
      </c>
      <c r="B58" s="135" t="s">
        <v>447</v>
      </c>
      <c r="C58" s="135" t="s">
        <v>504</v>
      </c>
      <c r="D58" s="135" t="s">
        <v>505</v>
      </c>
      <c r="E58" s="135" t="s">
        <v>506</v>
      </c>
      <c r="F58" s="135" t="s">
        <v>507</v>
      </c>
      <c r="G58" s="135" t="s">
        <v>508</v>
      </c>
      <c r="H58" s="135" t="s">
        <v>509</v>
      </c>
      <c r="I58" s="135" t="s">
        <v>510</v>
      </c>
      <c r="J58" s="135" t="s">
        <v>91</v>
      </c>
      <c r="K58" s="135" t="s">
        <v>48</v>
      </c>
      <c r="L58" s="135" t="s">
        <v>511</v>
      </c>
      <c r="M58" s="135" t="s">
        <v>512</v>
      </c>
      <c r="N58" s="135" t="s">
        <v>51</v>
      </c>
      <c r="O58" s="135" t="s">
        <v>513</v>
      </c>
      <c r="P58" s="135" t="s">
        <v>170</v>
      </c>
      <c r="Q58" s="146" t="str">
        <f>IF(OR(ISNUMBER(SEARCH("FAIL",J58&amp;" "&amp;N58)),ISNUMBER(SEARCH("CLEAN RETEST REQUIRED",J58&amp;" "&amp;N58))),"Failed",IF(OR(ISNUMBER(SEARCH("NOT RUN",J58&amp;" "&amp;N58)),ISNUMBER(SEARCH("NOT IMPLEMENTED",J58&amp;" "&amp;N58))),"Not started",IF(OR(ISNUMBER(SEARCH("PARTIAL",J58&amp;" "&amp;N58)),ISNUMBER(SEARCH("PENDING",J58&amp;" "&amp;N58)),ISNUMBER(SEARCH("IN PROGRESS",J58&amp;" "&amp;N58)),ISNUMBER(SEARCH("OPEN",J58&amp;" "&amp;N58)),ISNUMBER(SEARCH("RETEST REQUIRED",J58&amp;" "&amp;N58)),ISNUMBER(SEARCH("IMPLEMENTATION UPDATED",J58&amp;" "&amp;N58)),ISNUMBER(SEARCH("REQUIRED EVERY SESSION",J58&amp;" "&amp;N58))),"Pending",IF(OR(N58="PASS",ISNUMBER(SEARCH("PASS",J58&amp;" "&amp;N58))),"Done","Pending"))))</f>
        <v>Done</v>
      </c>
      <c r="R58" s="146" t="str">
        <f>IF(OR(LEFT(A58,9)="OPERATOR-",LEFT(A58,8)="PAYMENT-",LEFT(A58,7)="DEPLOY-"),"External","Core")</f>
        <v>Core</v>
      </c>
    </row>
    <row r="59" customFormat="false" ht="15" hidden="false" customHeight="false" outlineLevel="0" collapsed="false">
      <c r="A59" s="135" t="s">
        <v>514</v>
      </c>
      <c r="B59" s="135" t="s">
        <v>515</v>
      </c>
      <c r="C59" s="135" t="s">
        <v>516</v>
      </c>
      <c r="D59" s="135" t="s">
        <v>517</v>
      </c>
      <c r="E59" s="135" t="s">
        <v>4</v>
      </c>
      <c r="F59" s="135" t="s">
        <v>518</v>
      </c>
      <c r="G59" s="135" t="s">
        <v>4</v>
      </c>
      <c r="H59" s="135" t="s">
        <v>519</v>
      </c>
      <c r="I59" s="135" t="s">
        <v>520</v>
      </c>
      <c r="J59" s="135" t="s">
        <v>521</v>
      </c>
      <c r="K59" s="135" t="s">
        <v>48</v>
      </c>
      <c r="L59" s="135" t="s">
        <v>522</v>
      </c>
      <c r="M59" s="135" t="s">
        <v>523</v>
      </c>
      <c r="N59" s="135" t="s">
        <v>51</v>
      </c>
      <c r="O59" s="135" t="s">
        <v>524</v>
      </c>
      <c r="P59" s="135" t="s">
        <v>84</v>
      </c>
      <c r="Q59" s="146" t="str">
        <f>IF(OR(ISNUMBER(SEARCH("FAIL",J59&amp;" "&amp;N59)),ISNUMBER(SEARCH("CLEAN RETEST REQUIRED",J59&amp;" "&amp;N59))),"Failed",IF(OR(ISNUMBER(SEARCH("NOT RUN",J59&amp;" "&amp;N59)),ISNUMBER(SEARCH("NOT IMPLEMENTED",J59&amp;" "&amp;N59))),"Not started",IF(OR(ISNUMBER(SEARCH("PARTIAL",J59&amp;" "&amp;N59)),ISNUMBER(SEARCH("PENDING",J59&amp;" "&amp;N59)),ISNUMBER(SEARCH("IN PROGRESS",J59&amp;" "&amp;N59)),ISNUMBER(SEARCH("OPEN",J59&amp;" "&amp;N59)),ISNUMBER(SEARCH("RETEST REQUIRED",J59&amp;" "&amp;N59)),ISNUMBER(SEARCH("IMPLEMENTATION UPDATED",J59&amp;" "&amp;N59)),ISNUMBER(SEARCH("REQUIRED EVERY SESSION",J59&amp;" "&amp;N59))),"Pending",IF(OR(N59="PASS",ISNUMBER(SEARCH("PASS",J59&amp;" "&amp;N59))),"Done","Pending"))))</f>
        <v>Done</v>
      </c>
      <c r="R59" s="146" t="str">
        <f>IF(OR(LEFT(A59,9)="OPERATOR-",LEFT(A59,8)="PAYMENT-",LEFT(A59,7)="DEPLOY-"),"External","Core")</f>
        <v>Core</v>
      </c>
    </row>
    <row r="60" customFormat="false" ht="15" hidden="false" customHeight="false" outlineLevel="0" collapsed="false">
      <c r="A60" s="135" t="s">
        <v>525</v>
      </c>
      <c r="B60" s="135" t="s">
        <v>526</v>
      </c>
      <c r="C60" s="135" t="s">
        <v>527</v>
      </c>
      <c r="D60" s="135" t="s">
        <v>528</v>
      </c>
      <c r="E60" s="135" t="s">
        <v>529</v>
      </c>
      <c r="F60" s="135" t="s">
        <v>530</v>
      </c>
      <c r="G60" s="135" t="s">
        <v>531</v>
      </c>
      <c r="H60" s="135" t="s">
        <v>532</v>
      </c>
      <c r="I60" s="135" t="s">
        <v>533</v>
      </c>
      <c r="J60" s="135" t="s">
        <v>499</v>
      </c>
      <c r="K60" s="135" t="s">
        <v>48</v>
      </c>
      <c r="L60" s="135" t="s">
        <v>534</v>
      </c>
      <c r="M60" s="135" t="s">
        <v>535</v>
      </c>
      <c r="N60" s="135" t="s">
        <v>51</v>
      </c>
      <c r="O60" s="135" t="s">
        <v>536</v>
      </c>
      <c r="P60" s="135" t="s">
        <v>537</v>
      </c>
      <c r="Q60" s="146" t="str">
        <f>IF(OR(ISNUMBER(SEARCH("FAIL",J60&amp;" "&amp;N60)),ISNUMBER(SEARCH("CLEAN RETEST REQUIRED",J60&amp;" "&amp;N60))),"Failed",IF(OR(ISNUMBER(SEARCH("NOT RUN",J60&amp;" "&amp;N60)),ISNUMBER(SEARCH("NOT IMPLEMENTED",J60&amp;" "&amp;N60))),"Not started",IF(OR(ISNUMBER(SEARCH("PARTIAL",J60&amp;" "&amp;N60)),ISNUMBER(SEARCH("PENDING",J60&amp;" "&amp;N60)),ISNUMBER(SEARCH("IN PROGRESS",J60&amp;" "&amp;N60)),ISNUMBER(SEARCH("OPEN",J60&amp;" "&amp;N60)),ISNUMBER(SEARCH("RETEST REQUIRED",J60&amp;" "&amp;N60)),ISNUMBER(SEARCH("IMPLEMENTATION UPDATED",J60&amp;" "&amp;N60)),ISNUMBER(SEARCH("REQUIRED EVERY SESSION",J60&amp;" "&amp;N60))),"Pending",IF(OR(N60="PASS",ISNUMBER(SEARCH("PASS",J60&amp;" "&amp;N60))),"Done","Pending"))))</f>
        <v>Done</v>
      </c>
      <c r="R60" s="146" t="str">
        <f>IF(OR(LEFT(A60,9)="OPERATOR-",LEFT(A60,8)="PAYMENT-",LEFT(A60,7)="DEPLOY-"),"External","Core")</f>
        <v>Core</v>
      </c>
    </row>
    <row r="61" customFormat="false" ht="15" hidden="false" customHeight="false" outlineLevel="0" collapsed="false">
      <c r="A61" s="135" t="s">
        <v>538</v>
      </c>
      <c r="B61" s="135" t="s">
        <v>459</v>
      </c>
      <c r="C61" s="135" t="s">
        <v>539</v>
      </c>
      <c r="D61" s="135" t="s">
        <v>540</v>
      </c>
      <c r="E61" s="135" t="s">
        <v>4</v>
      </c>
      <c r="F61" s="135" t="s">
        <v>541</v>
      </c>
      <c r="G61" s="135" t="s">
        <v>4</v>
      </c>
      <c r="H61" s="135" t="s">
        <v>4</v>
      </c>
      <c r="I61" s="135" t="s">
        <v>542</v>
      </c>
      <c r="J61" s="135" t="s">
        <v>499</v>
      </c>
      <c r="K61" s="135" t="s">
        <v>48</v>
      </c>
      <c r="L61" s="135" t="s">
        <v>543</v>
      </c>
      <c r="M61" s="135" t="s">
        <v>544</v>
      </c>
      <c r="N61" s="135" t="s">
        <v>51</v>
      </c>
      <c r="O61" s="135" t="s">
        <v>545</v>
      </c>
      <c r="P61" s="135" t="s">
        <v>192</v>
      </c>
      <c r="Q61" s="146" t="str">
        <f>IF(OR(ISNUMBER(SEARCH("FAIL",J61&amp;" "&amp;N61)),ISNUMBER(SEARCH("CLEAN RETEST REQUIRED",J61&amp;" "&amp;N61))),"Failed",IF(OR(ISNUMBER(SEARCH("NOT RUN",J61&amp;" "&amp;N61)),ISNUMBER(SEARCH("NOT IMPLEMENTED",J61&amp;" "&amp;N61))),"Not started",IF(OR(ISNUMBER(SEARCH("PARTIAL",J61&amp;" "&amp;N61)),ISNUMBER(SEARCH("PENDING",J61&amp;" "&amp;N61)),ISNUMBER(SEARCH("IN PROGRESS",J61&amp;" "&amp;N61)),ISNUMBER(SEARCH("OPEN",J61&amp;" "&amp;N61)),ISNUMBER(SEARCH("RETEST REQUIRED",J61&amp;" "&amp;N61)),ISNUMBER(SEARCH("IMPLEMENTATION UPDATED",J61&amp;" "&amp;N61)),ISNUMBER(SEARCH("REQUIRED EVERY SESSION",J61&amp;" "&amp;N61))),"Pending",IF(OR(N61="PASS",ISNUMBER(SEARCH("PASS",J61&amp;" "&amp;N61))),"Done","Pending"))))</f>
        <v>Done</v>
      </c>
      <c r="R61" s="146" t="str">
        <f>IF(OR(LEFT(A61,9)="OPERATOR-",LEFT(A61,8)="PAYMENT-",LEFT(A61,7)="DEPLOY-"),"External","Core")</f>
        <v>Core</v>
      </c>
    </row>
    <row r="62" customFormat="false" ht="15" hidden="false" customHeight="false" outlineLevel="0" collapsed="false">
      <c r="A62" s="138" t="s">
        <v>546</v>
      </c>
      <c r="B62" s="138" t="s">
        <v>447</v>
      </c>
      <c r="C62" s="138" t="s">
        <v>547</v>
      </c>
      <c r="D62" s="138" t="s">
        <v>548</v>
      </c>
      <c r="E62" s="138" t="s">
        <v>549</v>
      </c>
      <c r="F62" s="138" t="s">
        <v>550</v>
      </c>
      <c r="G62" s="138" t="s">
        <v>452</v>
      </c>
      <c r="H62" s="138" t="s">
        <v>551</v>
      </c>
      <c r="I62" s="138" t="s">
        <v>552</v>
      </c>
      <c r="J62" s="138" t="s">
        <v>58</v>
      </c>
      <c r="K62" s="138" t="s">
        <v>1</v>
      </c>
      <c r="L62" s="138" t="s">
        <v>553</v>
      </c>
      <c r="M62" s="138" t="s">
        <v>554</v>
      </c>
      <c r="N62" s="138" t="s">
        <v>1</v>
      </c>
      <c r="O62" s="138" t="s">
        <v>555</v>
      </c>
      <c r="P62" s="138" t="s">
        <v>147</v>
      </c>
      <c r="Q62" s="146" t="str">
        <f>IF(OR(ISNUMBER(SEARCH("FAIL",J62&amp;" "&amp;N62)),ISNUMBER(SEARCH("CLEAN RETEST REQUIRED",J62&amp;" "&amp;N62))),"Failed",IF(OR(ISNUMBER(SEARCH("NOT RUN",J62&amp;" "&amp;N62)),ISNUMBER(SEARCH("NOT IMPLEMENTED",J62&amp;" "&amp;N62))),"Not started",IF(OR(ISNUMBER(SEARCH("PARTIAL",J62&amp;" "&amp;N62)),ISNUMBER(SEARCH("PENDING",J62&amp;" "&amp;N62)),ISNUMBER(SEARCH("IN PROGRESS",J62&amp;" "&amp;N62)),ISNUMBER(SEARCH("OPEN",J62&amp;" "&amp;N62)),ISNUMBER(SEARCH("RETEST REQUIRED",J62&amp;" "&amp;N62)),ISNUMBER(SEARCH("IMPLEMENTATION UPDATED",J62&amp;" "&amp;N62)),ISNUMBER(SEARCH("REQUIRED EVERY SESSION",J62&amp;" "&amp;N62))),"Pending",IF(OR(N62="PASS",ISNUMBER(SEARCH("PASS",J62&amp;" "&amp;N62))),"Done","Pending"))))</f>
        <v>Not started</v>
      </c>
      <c r="R62" s="146" t="str">
        <f>IF(OR(LEFT(A62,9)="OPERATOR-",LEFT(A62,8)="PAYMENT-",LEFT(A62,7)="DEPLOY-"),"External","Core")</f>
        <v>Core</v>
      </c>
    </row>
    <row r="63" customFormat="false" ht="15" hidden="false" customHeight="false" outlineLevel="0" collapsed="false">
      <c r="A63" s="138" t="s">
        <v>556</v>
      </c>
      <c r="B63" s="138" t="s">
        <v>447</v>
      </c>
      <c r="C63" s="138" t="s">
        <v>448</v>
      </c>
      <c r="D63" s="138" t="s">
        <v>557</v>
      </c>
      <c r="E63" s="138" t="s">
        <v>558</v>
      </c>
      <c r="F63" s="138" t="s">
        <v>559</v>
      </c>
      <c r="G63" s="138" t="s">
        <v>560</v>
      </c>
      <c r="H63" s="138" t="s">
        <v>561</v>
      </c>
      <c r="I63" s="138" t="s">
        <v>562</v>
      </c>
      <c r="J63" s="138" t="s">
        <v>58</v>
      </c>
      <c r="K63" s="138" t="s">
        <v>1</v>
      </c>
      <c r="L63" s="138" t="s">
        <v>563</v>
      </c>
      <c r="M63" s="138" t="s">
        <v>564</v>
      </c>
      <c r="N63" s="138" t="s">
        <v>1</v>
      </c>
      <c r="O63" s="138" t="s">
        <v>565</v>
      </c>
      <c r="P63" s="138" t="s">
        <v>125</v>
      </c>
      <c r="Q63" s="146" t="str">
        <f>IF(OR(ISNUMBER(SEARCH("FAIL",J63&amp;" "&amp;N63)),ISNUMBER(SEARCH("CLEAN RETEST REQUIRED",J63&amp;" "&amp;N63))),"Failed",IF(OR(ISNUMBER(SEARCH("NOT RUN",J63&amp;" "&amp;N63)),ISNUMBER(SEARCH("NOT IMPLEMENTED",J63&amp;" "&amp;N63))),"Not started",IF(OR(ISNUMBER(SEARCH("PARTIAL",J63&amp;" "&amp;N63)),ISNUMBER(SEARCH("PENDING",J63&amp;" "&amp;N63)),ISNUMBER(SEARCH("IN PROGRESS",J63&amp;" "&amp;N63)),ISNUMBER(SEARCH("OPEN",J63&amp;" "&amp;N63)),ISNUMBER(SEARCH("RETEST REQUIRED",J63&amp;" "&amp;N63)),ISNUMBER(SEARCH("IMPLEMENTATION UPDATED",J63&amp;" "&amp;N63)),ISNUMBER(SEARCH("REQUIRED EVERY SESSION",J63&amp;" "&amp;N63))),"Pending",IF(OR(N63="PASS",ISNUMBER(SEARCH("PASS",J63&amp;" "&amp;N63))),"Done","Pending"))))</f>
        <v>Not started</v>
      </c>
      <c r="R63" s="146" t="str">
        <f>IF(OR(LEFT(A63,9)="OPERATOR-",LEFT(A63,8)="PAYMENT-",LEFT(A63,7)="DEPLOY-"),"External","Core")</f>
        <v>Core</v>
      </c>
    </row>
    <row r="64" customFormat="false" ht="15" hidden="false" customHeight="false" outlineLevel="0" collapsed="false">
      <c r="A64" s="135" t="s">
        <v>566</v>
      </c>
      <c r="B64" s="135" t="s">
        <v>447</v>
      </c>
      <c r="C64" s="135" t="s">
        <v>567</v>
      </c>
      <c r="D64" s="135" t="s">
        <v>568</v>
      </c>
      <c r="E64" s="135" t="s">
        <v>569</v>
      </c>
      <c r="F64" s="135" t="s">
        <v>473</v>
      </c>
      <c r="G64" s="135" t="s">
        <v>452</v>
      </c>
      <c r="H64" s="135" t="s">
        <v>570</v>
      </c>
      <c r="I64" s="135" t="s">
        <v>571</v>
      </c>
      <c r="J64" s="135" t="s">
        <v>91</v>
      </c>
      <c r="K64" s="135" t="s">
        <v>48</v>
      </c>
      <c r="L64" s="135" t="s">
        <v>572</v>
      </c>
      <c r="M64" s="135" t="s">
        <v>573</v>
      </c>
      <c r="N64" s="135" t="s">
        <v>51</v>
      </c>
      <c r="O64" s="135" t="s">
        <v>574</v>
      </c>
      <c r="P64" s="135" t="s">
        <v>157</v>
      </c>
      <c r="Q64" s="146" t="str">
        <f>IF(OR(ISNUMBER(SEARCH("FAIL",J64&amp;" "&amp;N64)),ISNUMBER(SEARCH("CLEAN RETEST REQUIRED",J64&amp;" "&amp;N64))),"Failed",IF(OR(ISNUMBER(SEARCH("NOT RUN",J64&amp;" "&amp;N64)),ISNUMBER(SEARCH("NOT IMPLEMENTED",J64&amp;" "&amp;N64))),"Not started",IF(OR(ISNUMBER(SEARCH("PARTIAL",J64&amp;" "&amp;N64)),ISNUMBER(SEARCH("PENDING",J64&amp;" "&amp;N64)),ISNUMBER(SEARCH("IN PROGRESS",J64&amp;" "&amp;N64)),ISNUMBER(SEARCH("OPEN",J64&amp;" "&amp;N64)),ISNUMBER(SEARCH("RETEST REQUIRED",J64&amp;" "&amp;N64)),ISNUMBER(SEARCH("IMPLEMENTATION UPDATED",J64&amp;" "&amp;N64)),ISNUMBER(SEARCH("REQUIRED EVERY SESSION",J64&amp;" "&amp;N64))),"Pending",IF(OR(N64="PASS",ISNUMBER(SEARCH("PASS",J64&amp;" "&amp;N64))),"Done","Pending"))))</f>
        <v>Done</v>
      </c>
      <c r="R64" s="146" t="str">
        <f>IF(OR(LEFT(A64,9)="OPERATOR-",LEFT(A64,8)="PAYMENT-",LEFT(A64,7)="DEPLOY-"),"External","Core")</f>
        <v>Core</v>
      </c>
    </row>
    <row r="65" customFormat="false" ht="180" hidden="false" customHeight="true" outlineLevel="0" collapsed="false">
      <c r="A65" s="135" t="s">
        <v>575</v>
      </c>
      <c r="B65" s="135" t="s">
        <v>447</v>
      </c>
      <c r="C65" s="135" t="s">
        <v>567</v>
      </c>
      <c r="D65" s="135" t="s">
        <v>576</v>
      </c>
      <c r="E65" s="135" t="s">
        <v>577</v>
      </c>
      <c r="F65" s="135" t="s">
        <v>578</v>
      </c>
      <c r="G65" s="135" t="s">
        <v>452</v>
      </c>
      <c r="H65" s="135" t="s">
        <v>579</v>
      </c>
      <c r="I65" s="135" t="s">
        <v>580</v>
      </c>
      <c r="J65" s="135" t="s">
        <v>581</v>
      </c>
      <c r="K65" s="135" t="s">
        <v>487</v>
      </c>
      <c r="L65" s="135" t="s">
        <v>582</v>
      </c>
      <c r="M65" s="135" t="s">
        <v>583</v>
      </c>
      <c r="N65" s="135" t="s">
        <v>51</v>
      </c>
      <c r="O65" s="135" t="s">
        <v>584</v>
      </c>
      <c r="P65" s="135" t="s">
        <v>227</v>
      </c>
      <c r="Q65" s="146" t="str">
        <f>IF(OR(ISNUMBER(SEARCH("FAIL",J65&amp;" "&amp;N65)),ISNUMBER(SEARCH("CLEAN RETEST REQUIRED",J65&amp;" "&amp;N65))),"Failed",IF(OR(ISNUMBER(SEARCH("NOT RUN",J65&amp;" "&amp;N65)),ISNUMBER(SEARCH("NOT IMPLEMENTED",J65&amp;" "&amp;N65))),"Not started",IF(OR(ISNUMBER(SEARCH("PARTIAL",J65&amp;" "&amp;N65)),ISNUMBER(SEARCH("PENDING",J65&amp;" "&amp;N65)),ISNUMBER(SEARCH("IN PROGRESS",J65&amp;" "&amp;N65)),ISNUMBER(SEARCH("OPEN",J65&amp;" "&amp;N65)),ISNUMBER(SEARCH("RETEST REQUIRED",J65&amp;" "&amp;N65)),ISNUMBER(SEARCH("IMPLEMENTATION UPDATED",J65&amp;" "&amp;N65)),ISNUMBER(SEARCH("REQUIRED EVERY SESSION",J65&amp;" "&amp;N65))),"Pending",IF(OR(N65="PASS",ISNUMBER(SEARCH("PASS",J65&amp;" "&amp;N65))),"Done","Pending"))))</f>
        <v>Done</v>
      </c>
      <c r="R65" s="146" t="str">
        <f>IF(OR(LEFT(A65,9)="OPERATOR-",LEFT(A65,8)="PAYMENT-",LEFT(A65,7)="DEPLOY-"),"External","Core")</f>
        <v>Core</v>
      </c>
    </row>
    <row r="66" customFormat="false" ht="120" hidden="false" customHeight="true" outlineLevel="0" collapsed="false">
      <c r="A66" s="135" t="s">
        <v>585</v>
      </c>
      <c r="B66" s="135" t="s">
        <v>447</v>
      </c>
      <c r="C66" s="135" t="s">
        <v>567</v>
      </c>
      <c r="D66" s="135" t="s">
        <v>586</v>
      </c>
      <c r="E66" s="135" t="s">
        <v>587</v>
      </c>
      <c r="F66" s="135" t="s">
        <v>588</v>
      </c>
      <c r="G66" s="135" t="s">
        <v>452</v>
      </c>
      <c r="H66" s="135" t="s">
        <v>589</v>
      </c>
      <c r="I66" s="135" t="s">
        <v>590</v>
      </c>
      <c r="J66" s="135" t="s">
        <v>91</v>
      </c>
      <c r="K66" s="135" t="s">
        <v>591</v>
      </c>
      <c r="L66" s="135" t="s">
        <v>592</v>
      </c>
      <c r="M66" s="135" t="s">
        <v>593</v>
      </c>
      <c r="N66" s="135" t="s">
        <v>51</v>
      </c>
      <c r="O66" s="135" t="s">
        <v>594</v>
      </c>
      <c r="P66" s="135" t="s">
        <v>170</v>
      </c>
      <c r="Q66" s="146" t="str">
        <f>IF(OR(ISNUMBER(SEARCH("FAIL",J66&amp;" "&amp;N66)),ISNUMBER(SEARCH("CLEAN RETEST REQUIRED",J66&amp;" "&amp;N66))),"Failed",IF(OR(ISNUMBER(SEARCH("NOT RUN",J66&amp;" "&amp;N66)),ISNUMBER(SEARCH("NOT IMPLEMENTED",J66&amp;" "&amp;N66))),"Not started",IF(OR(ISNUMBER(SEARCH("PARTIAL",J66&amp;" "&amp;N66)),ISNUMBER(SEARCH("PENDING",J66&amp;" "&amp;N66)),ISNUMBER(SEARCH("IN PROGRESS",J66&amp;" "&amp;N66)),ISNUMBER(SEARCH("OPEN",J66&amp;" "&amp;N66)),ISNUMBER(SEARCH("RETEST REQUIRED",J66&amp;" "&amp;N66)),ISNUMBER(SEARCH("IMPLEMENTATION UPDATED",J66&amp;" "&amp;N66)),ISNUMBER(SEARCH("REQUIRED EVERY SESSION",J66&amp;" "&amp;N66))),"Pending",IF(OR(N66="PASS",ISNUMBER(SEARCH("PASS",J66&amp;" "&amp;N66))),"Done","Pending"))))</f>
        <v>Done</v>
      </c>
      <c r="R66" s="146" t="str">
        <f>IF(OR(LEFT(A66,9)="OPERATOR-",LEFT(A66,8)="PAYMENT-",LEFT(A66,7)="DEPLOY-"),"External","Core")</f>
        <v>Core</v>
      </c>
    </row>
    <row r="67" customFormat="false" ht="105" hidden="false" customHeight="true" outlineLevel="0" collapsed="false">
      <c r="A67" s="135" t="s">
        <v>595</v>
      </c>
      <c r="B67" s="135" t="s">
        <v>447</v>
      </c>
      <c r="C67" s="135" t="s">
        <v>596</v>
      </c>
      <c r="D67" s="135" t="s">
        <v>597</v>
      </c>
      <c r="E67" s="135" t="s">
        <v>598</v>
      </c>
      <c r="F67" s="135" t="s">
        <v>599</v>
      </c>
      <c r="G67" s="135" t="s">
        <v>600</v>
      </c>
      <c r="H67" s="135" t="s">
        <v>601</v>
      </c>
      <c r="I67" s="135" t="s">
        <v>602</v>
      </c>
      <c r="J67" s="135" t="s">
        <v>91</v>
      </c>
      <c r="K67" s="135" t="s">
        <v>591</v>
      </c>
      <c r="L67" s="135" t="s">
        <v>603</v>
      </c>
      <c r="M67" s="135" t="s">
        <v>604</v>
      </c>
      <c r="N67" s="135" t="s">
        <v>51</v>
      </c>
      <c r="O67" s="135" t="s">
        <v>605</v>
      </c>
      <c r="P67" s="135" t="s">
        <v>227</v>
      </c>
      <c r="Q67" s="146" t="str">
        <f>IF(OR(ISNUMBER(SEARCH("FAIL",J67&amp;" "&amp;N67)),ISNUMBER(SEARCH("CLEAN RETEST REQUIRED",J67&amp;" "&amp;N67))),"Failed",IF(OR(ISNUMBER(SEARCH("NOT RUN",J67&amp;" "&amp;N67)),ISNUMBER(SEARCH("NOT IMPLEMENTED",J67&amp;" "&amp;N67))),"Not started",IF(OR(ISNUMBER(SEARCH("PARTIAL",J67&amp;" "&amp;N67)),ISNUMBER(SEARCH("PENDING",J67&amp;" "&amp;N67)),ISNUMBER(SEARCH("IN PROGRESS",J67&amp;" "&amp;N67)),ISNUMBER(SEARCH("OPEN",J67&amp;" "&amp;N67)),ISNUMBER(SEARCH("RETEST REQUIRED",J67&amp;" "&amp;N67)),ISNUMBER(SEARCH("IMPLEMENTATION UPDATED",J67&amp;" "&amp;N67)),ISNUMBER(SEARCH("REQUIRED EVERY SESSION",J67&amp;" "&amp;N67))),"Pending",IF(OR(N67="PASS",ISNUMBER(SEARCH("PASS",J67&amp;" "&amp;N67))),"Done","Pending"))))</f>
        <v>Done</v>
      </c>
      <c r="R67" s="146" t="str">
        <f>IF(OR(LEFT(A67,9)="OPERATOR-",LEFT(A67,8)="PAYMENT-",LEFT(A67,7)="DEPLOY-"),"External","Core")</f>
        <v>Core</v>
      </c>
    </row>
    <row r="68" customFormat="false" ht="60" hidden="false" customHeight="true" outlineLevel="0" collapsed="false">
      <c r="A68" s="135" t="s">
        <v>606</v>
      </c>
      <c r="B68" s="135" t="s">
        <v>447</v>
      </c>
      <c r="C68" s="135" t="s">
        <v>607</v>
      </c>
      <c r="D68" s="135" t="s">
        <v>608</v>
      </c>
      <c r="E68" s="135" t="s">
        <v>4</v>
      </c>
      <c r="F68" s="135" t="s">
        <v>4</v>
      </c>
      <c r="G68" s="135" t="s">
        <v>4</v>
      </c>
      <c r="H68" s="135" t="s">
        <v>4</v>
      </c>
      <c r="I68" s="135" t="s">
        <v>609</v>
      </c>
      <c r="J68" s="135" t="s">
        <v>91</v>
      </c>
      <c r="K68" s="135" t="s">
        <v>591</v>
      </c>
      <c r="L68" s="135" t="s">
        <v>610</v>
      </c>
      <c r="M68" s="135" t="s">
        <v>611</v>
      </c>
      <c r="N68" s="135" t="s">
        <v>51</v>
      </c>
      <c r="O68" s="135" t="s">
        <v>612</v>
      </c>
      <c r="P68" s="135" t="s">
        <v>107</v>
      </c>
      <c r="Q68" s="146" t="str">
        <f>IF(OR(ISNUMBER(SEARCH("FAIL",J68&amp;" "&amp;N68)),ISNUMBER(SEARCH("CLEAN RETEST REQUIRED",J68&amp;" "&amp;N68))),"Failed",IF(OR(ISNUMBER(SEARCH("NOT RUN",J68&amp;" "&amp;N68)),ISNUMBER(SEARCH("NOT IMPLEMENTED",J68&amp;" "&amp;N68))),"Not started",IF(OR(ISNUMBER(SEARCH("PARTIAL",J68&amp;" "&amp;N68)),ISNUMBER(SEARCH("PENDING",J68&amp;" "&amp;N68)),ISNUMBER(SEARCH("IN PROGRESS",J68&amp;" "&amp;N68)),ISNUMBER(SEARCH("OPEN",J68&amp;" "&amp;N68)),ISNUMBER(SEARCH("RETEST REQUIRED",J68&amp;" "&amp;N68)),ISNUMBER(SEARCH("IMPLEMENTATION UPDATED",J68&amp;" "&amp;N68)),ISNUMBER(SEARCH("REQUIRED EVERY SESSION",J68&amp;" "&amp;N68))),"Pending",IF(OR(N68="PASS",ISNUMBER(SEARCH("PASS",J68&amp;" "&amp;N68))),"Done","Pending"))))</f>
        <v>Done</v>
      </c>
      <c r="R68" s="146" t="str">
        <f>IF(OR(LEFT(A68,9)="OPERATOR-",LEFT(A68,8)="PAYMENT-",LEFT(A68,7)="DEPLOY-"),"External","Core")</f>
        <v>Core</v>
      </c>
    </row>
    <row r="69" customFormat="false" ht="60" hidden="false" customHeight="true" outlineLevel="0" collapsed="false">
      <c r="A69" s="135" t="s">
        <v>613</v>
      </c>
      <c r="B69" s="135" t="s">
        <v>447</v>
      </c>
      <c r="C69" s="135" t="s">
        <v>614</v>
      </c>
      <c r="D69" s="135" t="s">
        <v>615</v>
      </c>
      <c r="E69" s="135" t="s">
        <v>616</v>
      </c>
      <c r="F69" s="135" t="s">
        <v>617</v>
      </c>
      <c r="G69" s="135" t="s">
        <v>618</v>
      </c>
      <c r="H69" s="135" t="s">
        <v>619</v>
      </c>
      <c r="I69" s="135" t="s">
        <v>620</v>
      </c>
      <c r="J69" s="135" t="s">
        <v>91</v>
      </c>
      <c r="K69" s="135" t="s">
        <v>591</v>
      </c>
      <c r="L69" s="135" t="s">
        <v>621</v>
      </c>
      <c r="M69" s="135" t="s">
        <v>622</v>
      </c>
      <c r="N69" s="135" t="s">
        <v>51</v>
      </c>
      <c r="O69" s="135" t="s">
        <v>623</v>
      </c>
      <c r="P69" s="135" t="s">
        <v>170</v>
      </c>
      <c r="Q69" s="146" t="str">
        <f>IF(OR(ISNUMBER(SEARCH("FAIL",J69&amp;" "&amp;N69)),ISNUMBER(SEARCH("CLEAN RETEST REQUIRED",J69&amp;" "&amp;N69))),"Failed",IF(OR(ISNUMBER(SEARCH("NOT RUN",J69&amp;" "&amp;N69)),ISNUMBER(SEARCH("NOT IMPLEMENTED",J69&amp;" "&amp;N69))),"Not started",IF(OR(ISNUMBER(SEARCH("PARTIAL",J69&amp;" "&amp;N69)),ISNUMBER(SEARCH("PENDING",J69&amp;" "&amp;N69)),ISNUMBER(SEARCH("IN PROGRESS",J69&amp;" "&amp;N69)),ISNUMBER(SEARCH("OPEN",J69&amp;" "&amp;N69)),ISNUMBER(SEARCH("RETEST REQUIRED",J69&amp;" "&amp;N69)),ISNUMBER(SEARCH("IMPLEMENTATION UPDATED",J69&amp;" "&amp;N69)),ISNUMBER(SEARCH("REQUIRED EVERY SESSION",J69&amp;" "&amp;N69))),"Pending",IF(OR(N69="PASS",ISNUMBER(SEARCH("PASS",J69&amp;" "&amp;N69))),"Done","Pending"))))</f>
        <v>Done</v>
      </c>
      <c r="R69" s="146" t="str">
        <f>IF(OR(LEFT(A69,9)="OPERATOR-",LEFT(A69,8)="PAYMENT-",LEFT(A69,7)="DEPLOY-"),"External","Core")</f>
        <v>Core</v>
      </c>
    </row>
    <row r="70" customFormat="false" ht="15" hidden="false" customHeight="false" outlineLevel="0" collapsed="false">
      <c r="A70" s="136" t="s">
        <v>624</v>
      </c>
      <c r="B70" s="136" t="s">
        <v>447</v>
      </c>
      <c r="C70" s="136" t="s">
        <v>625</v>
      </c>
      <c r="D70" s="136" t="s">
        <v>626</v>
      </c>
      <c r="E70" s="136" t="s">
        <v>4</v>
      </c>
      <c r="F70" s="136" t="s">
        <v>4</v>
      </c>
      <c r="G70" s="136" t="s">
        <v>4</v>
      </c>
      <c r="H70" s="136" t="s">
        <v>4</v>
      </c>
      <c r="I70" s="136" t="s">
        <v>627</v>
      </c>
      <c r="J70" s="136" t="s">
        <v>628</v>
      </c>
      <c r="K70" s="136" t="s">
        <v>48</v>
      </c>
      <c r="L70" s="136" t="s">
        <v>629</v>
      </c>
      <c r="M70" s="136" t="s">
        <v>630</v>
      </c>
      <c r="N70" s="136" t="s">
        <v>443</v>
      </c>
      <c r="O70" s="136" t="s">
        <v>631</v>
      </c>
      <c r="P70" s="136" t="s">
        <v>433</v>
      </c>
      <c r="Q70" s="146" t="str">
        <f>IF(OR(ISNUMBER(SEARCH("FAIL",J70&amp;" "&amp;N70)),ISNUMBER(SEARCH("CLEAN RETEST REQUIRED",J70&amp;" "&amp;N70))),"Failed",IF(OR(ISNUMBER(SEARCH("NOT RUN",J70&amp;" "&amp;N70)),ISNUMBER(SEARCH("NOT IMPLEMENTED",J70&amp;" "&amp;N70))),"Not started",IF(OR(ISNUMBER(SEARCH("PARTIAL",J70&amp;" "&amp;N70)),ISNUMBER(SEARCH("PENDING",J70&amp;" "&amp;N70)),ISNUMBER(SEARCH("IN PROGRESS",J70&amp;" "&amp;N70)),ISNUMBER(SEARCH("OPEN",J70&amp;" "&amp;N70)),ISNUMBER(SEARCH("RETEST REQUIRED",J70&amp;" "&amp;N70)),ISNUMBER(SEARCH("IMPLEMENTATION UPDATED",J70&amp;" "&amp;N70)),ISNUMBER(SEARCH("REQUIRED EVERY SESSION",J70&amp;" "&amp;N70))),"Pending",IF(OR(N70="PASS",ISNUMBER(SEARCH("PASS",J70&amp;" "&amp;N70))),"Done","Pending"))))</f>
        <v>Pending</v>
      </c>
      <c r="R70" s="146" t="str">
        <f>IF(OR(LEFT(A70,9)="OPERATOR-",LEFT(A70,8)="PAYMENT-",LEFT(A70,7)="DEPLOY-"),"External","Core")</f>
        <v>Core</v>
      </c>
    </row>
    <row r="71" customFormat="false" ht="15" hidden="false" customHeight="false" outlineLevel="0" collapsed="false">
      <c r="A71" s="135" t="s">
        <v>632</v>
      </c>
      <c r="B71" s="135" t="s">
        <v>447</v>
      </c>
      <c r="C71" s="135" t="s">
        <v>614</v>
      </c>
      <c r="D71" s="135" t="s">
        <v>633</v>
      </c>
      <c r="E71" s="135" t="s">
        <v>634</v>
      </c>
      <c r="F71" s="135" t="s">
        <v>635</v>
      </c>
      <c r="G71" s="135" t="s">
        <v>636</v>
      </c>
      <c r="H71" s="135" t="s">
        <v>637</v>
      </c>
      <c r="I71" s="135" t="s">
        <v>638</v>
      </c>
      <c r="J71" s="135" t="s">
        <v>486</v>
      </c>
      <c r="K71" s="135" t="s">
        <v>48</v>
      </c>
      <c r="L71" s="135" t="s">
        <v>639</v>
      </c>
      <c r="M71" s="135" t="s">
        <v>640</v>
      </c>
      <c r="N71" s="135" t="s">
        <v>51</v>
      </c>
      <c r="O71" s="135" t="s">
        <v>641</v>
      </c>
      <c r="P71" s="135" t="s">
        <v>433</v>
      </c>
      <c r="Q71" s="146" t="str">
        <f>IF(OR(ISNUMBER(SEARCH("FAIL",J71&amp;" "&amp;N71)),ISNUMBER(SEARCH("CLEAN RETEST REQUIRED",J71&amp;" "&amp;N71))),"Failed",IF(OR(ISNUMBER(SEARCH("NOT RUN",J71&amp;" "&amp;N71)),ISNUMBER(SEARCH("NOT IMPLEMENTED",J71&amp;" "&amp;N71))),"Not started",IF(OR(ISNUMBER(SEARCH("PARTIAL",J71&amp;" "&amp;N71)),ISNUMBER(SEARCH("PENDING",J71&amp;" "&amp;N71)),ISNUMBER(SEARCH("IN PROGRESS",J71&amp;" "&amp;N71)),ISNUMBER(SEARCH("OPEN",J71&amp;" "&amp;N71)),ISNUMBER(SEARCH("RETEST REQUIRED",J71&amp;" "&amp;N71)),ISNUMBER(SEARCH("IMPLEMENTATION UPDATED",J71&amp;" "&amp;N71)),ISNUMBER(SEARCH("REQUIRED EVERY SESSION",J71&amp;" "&amp;N71))),"Pending",IF(OR(N71="PASS",ISNUMBER(SEARCH("PASS",J71&amp;" "&amp;N71))),"Done","Pending"))))</f>
        <v>Done</v>
      </c>
      <c r="R71" s="146" t="str">
        <f>IF(OR(LEFT(A71,9)="OPERATOR-",LEFT(A71,8)="PAYMENT-",LEFT(A71,7)="DEPLOY-"),"External","Core")</f>
        <v>Core</v>
      </c>
    </row>
    <row r="72" customFormat="false" ht="180" hidden="false" customHeight="true" outlineLevel="0" collapsed="false">
      <c r="A72" s="135" t="s">
        <v>642</v>
      </c>
      <c r="B72" s="135" t="s">
        <v>447</v>
      </c>
      <c r="C72" s="135" t="s">
        <v>643</v>
      </c>
      <c r="D72" s="135" t="s">
        <v>644</v>
      </c>
      <c r="E72" s="135" t="s">
        <v>645</v>
      </c>
      <c r="F72" s="135" t="s">
        <v>646</v>
      </c>
      <c r="G72" s="135" t="s">
        <v>647</v>
      </c>
      <c r="H72" s="135" t="s">
        <v>648</v>
      </c>
      <c r="I72" s="135" t="s">
        <v>649</v>
      </c>
      <c r="J72" s="135" t="s">
        <v>499</v>
      </c>
      <c r="K72" s="135" t="s">
        <v>591</v>
      </c>
      <c r="L72" s="135" t="s">
        <v>650</v>
      </c>
      <c r="M72" s="135" t="s">
        <v>651</v>
      </c>
      <c r="N72" s="135" t="s">
        <v>51</v>
      </c>
      <c r="O72" s="135" t="s">
        <v>652</v>
      </c>
      <c r="P72" s="135" t="s">
        <v>433</v>
      </c>
      <c r="Q72" s="146" t="str">
        <f>IF(OR(ISNUMBER(SEARCH("FAIL",J72&amp;" "&amp;N72)),ISNUMBER(SEARCH("CLEAN RETEST REQUIRED",J72&amp;" "&amp;N72))),"Failed",IF(OR(ISNUMBER(SEARCH("NOT RUN",J72&amp;" "&amp;N72)),ISNUMBER(SEARCH("NOT IMPLEMENTED",J72&amp;" "&amp;N72))),"Not started",IF(OR(ISNUMBER(SEARCH("PARTIAL",J72&amp;" "&amp;N72)),ISNUMBER(SEARCH("PENDING",J72&amp;" "&amp;N72)),ISNUMBER(SEARCH("IN PROGRESS",J72&amp;" "&amp;N72)),ISNUMBER(SEARCH("OPEN",J72&amp;" "&amp;N72)),ISNUMBER(SEARCH("RETEST REQUIRED",J72&amp;" "&amp;N72)),ISNUMBER(SEARCH("IMPLEMENTATION UPDATED",J72&amp;" "&amp;N72)),ISNUMBER(SEARCH("REQUIRED EVERY SESSION",J72&amp;" "&amp;N72))),"Pending",IF(OR(N72="PASS",ISNUMBER(SEARCH("PASS",J72&amp;" "&amp;N72))),"Done","Pending"))))</f>
        <v>Done</v>
      </c>
      <c r="R72" s="146" t="str">
        <f>IF(OR(LEFT(A72,9)="OPERATOR-",LEFT(A72,8)="PAYMENT-",LEFT(A72,7)="DEPLOY-"),"External","Core")</f>
        <v>Core</v>
      </c>
    </row>
    <row r="73" customFormat="false" ht="180" hidden="false" customHeight="true" outlineLevel="0" collapsed="false">
      <c r="A73" s="135" t="s">
        <v>653</v>
      </c>
      <c r="B73" s="135" t="s">
        <v>447</v>
      </c>
      <c r="C73" s="135" t="s">
        <v>654</v>
      </c>
      <c r="D73" s="135" t="s">
        <v>655</v>
      </c>
      <c r="E73" s="135" t="s">
        <v>656</v>
      </c>
      <c r="F73" s="135" t="s">
        <v>657</v>
      </c>
      <c r="G73" s="135" t="s">
        <v>656</v>
      </c>
      <c r="H73" s="135" t="s">
        <v>658</v>
      </c>
      <c r="I73" s="135" t="s">
        <v>659</v>
      </c>
      <c r="J73" s="135" t="s">
        <v>660</v>
      </c>
      <c r="K73" s="135" t="s">
        <v>591</v>
      </c>
      <c r="L73" s="135" t="s">
        <v>661</v>
      </c>
      <c r="M73" s="135" t="s">
        <v>662</v>
      </c>
      <c r="N73" s="135" t="s">
        <v>51</v>
      </c>
      <c r="O73" s="135" t="s">
        <v>663</v>
      </c>
      <c r="P73" s="135" t="s">
        <v>392</v>
      </c>
      <c r="Q73" s="146" t="str">
        <f>IF(OR(ISNUMBER(SEARCH("FAIL",J73&amp;" "&amp;N73)),ISNUMBER(SEARCH("CLEAN RETEST REQUIRED",J73&amp;" "&amp;N73))),"Failed",IF(OR(ISNUMBER(SEARCH("NOT RUN",J73&amp;" "&amp;N73)),ISNUMBER(SEARCH("NOT IMPLEMENTED",J73&amp;" "&amp;N73))),"Not started",IF(OR(ISNUMBER(SEARCH("PARTIAL",J73&amp;" "&amp;N73)),ISNUMBER(SEARCH("PENDING",J73&amp;" "&amp;N73)),ISNUMBER(SEARCH("IN PROGRESS",J73&amp;" "&amp;N73)),ISNUMBER(SEARCH("OPEN",J73&amp;" "&amp;N73)),ISNUMBER(SEARCH("RETEST REQUIRED",J73&amp;" "&amp;N73)),ISNUMBER(SEARCH("IMPLEMENTATION UPDATED",J73&amp;" "&amp;N73)),ISNUMBER(SEARCH("REQUIRED EVERY SESSION",J73&amp;" "&amp;N73))),"Pending",IF(OR(N73="PASS",ISNUMBER(SEARCH("PASS",J73&amp;" "&amp;N73))),"Done","Pending"))))</f>
        <v>Done</v>
      </c>
      <c r="R73" s="146" t="str">
        <f>IF(OR(LEFT(A73,9)="OPERATOR-",LEFT(A73,8)="PAYMENT-",LEFT(A73,7)="DEPLOY-"),"External","Core")</f>
        <v>Core</v>
      </c>
    </row>
    <row r="74" customFormat="false" ht="15" hidden="false" customHeight="false" outlineLevel="0" collapsed="false">
      <c r="A74" s="135" t="s">
        <v>664</v>
      </c>
      <c r="B74" s="135" t="s">
        <v>447</v>
      </c>
      <c r="C74" s="135" t="s">
        <v>665</v>
      </c>
      <c r="D74" s="135" t="s">
        <v>666</v>
      </c>
      <c r="E74" s="135" t="s">
        <v>667</v>
      </c>
      <c r="F74" s="135" t="s">
        <v>668</v>
      </c>
      <c r="G74" s="135" t="s">
        <v>618</v>
      </c>
      <c r="H74" s="135" t="s">
        <v>637</v>
      </c>
      <c r="I74" s="135" t="s">
        <v>669</v>
      </c>
      <c r="J74" s="135" t="s">
        <v>486</v>
      </c>
      <c r="K74" s="135" t="s">
        <v>591</v>
      </c>
      <c r="L74" s="135" t="s">
        <v>670</v>
      </c>
      <c r="M74" s="135" t="s">
        <v>671</v>
      </c>
      <c r="N74" s="135" t="s">
        <v>51</v>
      </c>
      <c r="O74" s="135" t="s">
        <v>672</v>
      </c>
      <c r="P74" s="135" t="s">
        <v>433</v>
      </c>
      <c r="Q74" s="146" t="str">
        <f>IF(OR(ISNUMBER(SEARCH("FAIL",J74&amp;" "&amp;N74)),ISNUMBER(SEARCH("CLEAN RETEST REQUIRED",J74&amp;" "&amp;N74))),"Failed",IF(OR(ISNUMBER(SEARCH("NOT RUN",J74&amp;" "&amp;N74)),ISNUMBER(SEARCH("NOT IMPLEMENTED",J74&amp;" "&amp;N74))),"Not started",IF(OR(ISNUMBER(SEARCH("PARTIAL",J74&amp;" "&amp;N74)),ISNUMBER(SEARCH("PENDING",J74&amp;" "&amp;N74)),ISNUMBER(SEARCH("IN PROGRESS",J74&amp;" "&amp;N74)),ISNUMBER(SEARCH("OPEN",J74&amp;" "&amp;N74)),ISNUMBER(SEARCH("RETEST REQUIRED",J74&amp;" "&amp;N74)),ISNUMBER(SEARCH("IMPLEMENTATION UPDATED",J74&amp;" "&amp;N74)),ISNUMBER(SEARCH("REQUIRED EVERY SESSION",J74&amp;" "&amp;N74))),"Pending",IF(OR(N74="PASS",ISNUMBER(SEARCH("PASS",J74&amp;" "&amp;N74))),"Done","Pending"))))</f>
        <v>Done</v>
      </c>
      <c r="R74" s="146" t="str">
        <f>IF(OR(LEFT(A74,9)="OPERATOR-",LEFT(A74,8)="PAYMENT-",LEFT(A74,7)="DEPLOY-"),"External","Core")</f>
        <v>Core</v>
      </c>
    </row>
    <row r="75" customFormat="false" ht="15" hidden="false" customHeight="false" outlineLevel="0" collapsed="false">
      <c r="A75" s="135" t="s">
        <v>673</v>
      </c>
      <c r="B75" s="135" t="s">
        <v>447</v>
      </c>
      <c r="C75" s="135" t="s">
        <v>674</v>
      </c>
      <c r="D75" s="135" t="s">
        <v>675</v>
      </c>
      <c r="E75" s="135" t="s">
        <v>676</v>
      </c>
      <c r="F75" s="135" t="s">
        <v>677</v>
      </c>
      <c r="G75" s="135" t="s">
        <v>4</v>
      </c>
      <c r="H75" s="135" t="s">
        <v>678</v>
      </c>
      <c r="I75" s="135" t="s">
        <v>679</v>
      </c>
      <c r="J75" s="135" t="s">
        <v>680</v>
      </c>
      <c r="K75" s="135" t="s">
        <v>92</v>
      </c>
      <c r="L75" s="135" t="s">
        <v>681</v>
      </c>
      <c r="M75" s="135" t="s">
        <v>682</v>
      </c>
      <c r="N75" s="135" t="s">
        <v>51</v>
      </c>
      <c r="O75" s="135" t="s">
        <v>683</v>
      </c>
      <c r="P75" s="135" t="s">
        <v>433</v>
      </c>
      <c r="Q75" s="146" t="str">
        <f>IF(OR(ISNUMBER(SEARCH("FAIL",J75&amp;" "&amp;N75)),ISNUMBER(SEARCH("CLEAN RETEST REQUIRED",J75&amp;" "&amp;N75))),"Failed",IF(OR(ISNUMBER(SEARCH("NOT RUN",J75&amp;" "&amp;N75)),ISNUMBER(SEARCH("NOT IMPLEMENTED",J75&amp;" "&amp;N75))),"Not started",IF(OR(ISNUMBER(SEARCH("PARTIAL",J75&amp;" "&amp;N75)),ISNUMBER(SEARCH("PENDING",J75&amp;" "&amp;N75)),ISNUMBER(SEARCH("IN PROGRESS",J75&amp;" "&amp;N75)),ISNUMBER(SEARCH("OPEN",J75&amp;" "&amp;N75)),ISNUMBER(SEARCH("RETEST REQUIRED",J75&amp;" "&amp;N75)),ISNUMBER(SEARCH("IMPLEMENTATION UPDATED",J75&amp;" "&amp;N75)),ISNUMBER(SEARCH("REQUIRED EVERY SESSION",J75&amp;" "&amp;N75))),"Pending",IF(OR(N75="PASS",ISNUMBER(SEARCH("PASS",J75&amp;" "&amp;N75))),"Done","Pending"))))</f>
        <v>Done</v>
      </c>
      <c r="R75" s="146" t="str">
        <f>IF(OR(LEFT(A75,9)="OPERATOR-",LEFT(A75,8)="PAYMENT-",LEFT(A75,7)="DEPLOY-"),"External","Core")</f>
        <v>Core</v>
      </c>
    </row>
    <row r="76" customFormat="false" ht="15" hidden="false" customHeight="false" outlineLevel="0" collapsed="false">
      <c r="A76" s="135" t="s">
        <v>684</v>
      </c>
      <c r="B76" s="135" t="s">
        <v>447</v>
      </c>
      <c r="C76" s="135" t="s">
        <v>685</v>
      </c>
      <c r="D76" s="135" t="s">
        <v>686</v>
      </c>
      <c r="E76" s="135" t="s">
        <v>4</v>
      </c>
      <c r="F76" s="135" t="s">
        <v>687</v>
      </c>
      <c r="G76" s="135" t="s">
        <v>4</v>
      </c>
      <c r="H76" s="135" t="s">
        <v>688</v>
      </c>
      <c r="I76" s="135" t="s">
        <v>689</v>
      </c>
      <c r="J76" s="135" t="s">
        <v>690</v>
      </c>
      <c r="K76" s="135" t="s">
        <v>92</v>
      </c>
      <c r="L76" s="135" t="s">
        <v>691</v>
      </c>
      <c r="M76" s="135" t="s">
        <v>692</v>
      </c>
      <c r="N76" s="135" t="s">
        <v>51</v>
      </c>
      <c r="O76" s="135" t="s">
        <v>693</v>
      </c>
      <c r="P76" s="135" t="s">
        <v>147</v>
      </c>
      <c r="Q76" s="146" t="str">
        <f>IF(OR(ISNUMBER(SEARCH("FAIL",J76&amp;" "&amp;N76)),ISNUMBER(SEARCH("CLEAN RETEST REQUIRED",J76&amp;" "&amp;N76))),"Failed",IF(OR(ISNUMBER(SEARCH("NOT RUN",J76&amp;" "&amp;N76)),ISNUMBER(SEARCH("NOT IMPLEMENTED",J76&amp;" "&amp;N76))),"Not started",IF(OR(ISNUMBER(SEARCH("PARTIAL",J76&amp;" "&amp;N76)),ISNUMBER(SEARCH("PENDING",J76&amp;" "&amp;N76)),ISNUMBER(SEARCH("IN PROGRESS",J76&amp;" "&amp;N76)),ISNUMBER(SEARCH("OPEN",J76&amp;" "&amp;N76)),ISNUMBER(SEARCH("RETEST REQUIRED",J76&amp;" "&amp;N76)),ISNUMBER(SEARCH("IMPLEMENTATION UPDATED",J76&amp;" "&amp;N76)),ISNUMBER(SEARCH("REQUIRED EVERY SESSION",J76&amp;" "&amp;N76))),"Pending",IF(OR(N76="PASS",ISNUMBER(SEARCH("PASS",J76&amp;" "&amp;N76))),"Done","Pending"))))</f>
        <v>Done</v>
      </c>
      <c r="R76" s="146" t="str">
        <f>IF(OR(LEFT(A76,9)="OPERATOR-",LEFT(A76,8)="PAYMENT-",LEFT(A76,7)="DEPLOY-"),"External","Core")</f>
        <v>Core</v>
      </c>
    </row>
    <row r="77" customFormat="false" ht="15" hidden="false" customHeight="false" outlineLevel="0" collapsed="false">
      <c r="A77" s="135" t="s">
        <v>694</v>
      </c>
      <c r="B77" s="135" t="s">
        <v>447</v>
      </c>
      <c r="C77" s="135" t="s">
        <v>685</v>
      </c>
      <c r="D77" s="135" t="s">
        <v>695</v>
      </c>
      <c r="E77" s="135" t="s">
        <v>696</v>
      </c>
      <c r="F77" s="135" t="s">
        <v>697</v>
      </c>
      <c r="G77" s="135" t="s">
        <v>698</v>
      </c>
      <c r="H77" s="135" t="s">
        <v>699</v>
      </c>
      <c r="I77" s="135" t="s">
        <v>700</v>
      </c>
      <c r="J77" s="135" t="s">
        <v>486</v>
      </c>
      <c r="K77" s="135" t="s">
        <v>92</v>
      </c>
      <c r="L77" s="135" t="s">
        <v>701</v>
      </c>
      <c r="M77" s="135" t="s">
        <v>702</v>
      </c>
      <c r="N77" s="135" t="s">
        <v>51</v>
      </c>
      <c r="O77" s="135" t="s">
        <v>703</v>
      </c>
      <c r="P77" s="135" t="s">
        <v>227</v>
      </c>
      <c r="Q77" s="146" t="str">
        <f>IF(OR(ISNUMBER(SEARCH("FAIL",J77&amp;" "&amp;N77)),ISNUMBER(SEARCH("CLEAN RETEST REQUIRED",J77&amp;" "&amp;N77))),"Failed",IF(OR(ISNUMBER(SEARCH("NOT RUN",J77&amp;" "&amp;N77)),ISNUMBER(SEARCH("NOT IMPLEMENTED",J77&amp;" "&amp;N77))),"Not started",IF(OR(ISNUMBER(SEARCH("PARTIAL",J77&amp;" "&amp;N77)),ISNUMBER(SEARCH("PENDING",J77&amp;" "&amp;N77)),ISNUMBER(SEARCH("IN PROGRESS",J77&amp;" "&amp;N77)),ISNUMBER(SEARCH("OPEN",J77&amp;" "&amp;N77)),ISNUMBER(SEARCH("RETEST REQUIRED",J77&amp;" "&amp;N77)),ISNUMBER(SEARCH("IMPLEMENTATION UPDATED",J77&amp;" "&amp;N77)),ISNUMBER(SEARCH("REQUIRED EVERY SESSION",J77&amp;" "&amp;N77))),"Pending",IF(OR(N77="PASS",ISNUMBER(SEARCH("PASS",J77&amp;" "&amp;N77))),"Done","Pending"))))</f>
        <v>Done</v>
      </c>
      <c r="R77" s="146" t="str">
        <f>IF(OR(LEFT(A77,9)="OPERATOR-",LEFT(A77,8)="PAYMENT-",LEFT(A77,7)="DEPLOY-"),"External","Core")</f>
        <v>Core</v>
      </c>
    </row>
    <row r="78" customFormat="false" ht="15" hidden="false" customHeight="false" outlineLevel="0" collapsed="false">
      <c r="A78" s="135" t="s">
        <v>704</v>
      </c>
      <c r="B78" s="135" t="s">
        <v>447</v>
      </c>
      <c r="C78" s="135" t="s">
        <v>705</v>
      </c>
      <c r="D78" s="135" t="s">
        <v>706</v>
      </c>
      <c r="E78" s="135" t="s">
        <v>4</v>
      </c>
      <c r="F78" s="135" t="s">
        <v>707</v>
      </c>
      <c r="G78" s="135" t="s">
        <v>4</v>
      </c>
      <c r="H78" s="135" t="s">
        <v>4</v>
      </c>
      <c r="I78" s="135" t="s">
        <v>708</v>
      </c>
      <c r="J78" s="135" t="s">
        <v>486</v>
      </c>
      <c r="K78" s="135" t="s">
        <v>92</v>
      </c>
      <c r="L78" s="135" t="s">
        <v>709</v>
      </c>
      <c r="M78" s="135" t="s">
        <v>710</v>
      </c>
      <c r="N78" s="135" t="s">
        <v>51</v>
      </c>
      <c r="O78" s="135" t="s">
        <v>711</v>
      </c>
      <c r="P78" s="135" t="s">
        <v>192</v>
      </c>
      <c r="Q78" s="146" t="str">
        <f>IF(OR(ISNUMBER(SEARCH("FAIL",J78&amp;" "&amp;N78)),ISNUMBER(SEARCH("CLEAN RETEST REQUIRED",J78&amp;" "&amp;N78))),"Failed",IF(OR(ISNUMBER(SEARCH("NOT RUN",J78&amp;" "&amp;N78)),ISNUMBER(SEARCH("NOT IMPLEMENTED",J78&amp;" "&amp;N78))),"Not started",IF(OR(ISNUMBER(SEARCH("PARTIAL",J78&amp;" "&amp;N78)),ISNUMBER(SEARCH("PENDING",J78&amp;" "&amp;N78)),ISNUMBER(SEARCH("IN PROGRESS",J78&amp;" "&amp;N78)),ISNUMBER(SEARCH("OPEN",J78&amp;" "&amp;N78)),ISNUMBER(SEARCH("RETEST REQUIRED",J78&amp;" "&amp;N78)),ISNUMBER(SEARCH("IMPLEMENTATION UPDATED",J78&amp;" "&amp;N78)),ISNUMBER(SEARCH("REQUIRED EVERY SESSION",J78&amp;" "&amp;N78))),"Pending",IF(OR(N78="PASS",ISNUMBER(SEARCH("PASS",J78&amp;" "&amp;N78))),"Done","Pending"))))</f>
        <v>Done</v>
      </c>
      <c r="R78" s="146" t="str">
        <f>IF(OR(LEFT(A78,9)="OPERATOR-",LEFT(A78,8)="PAYMENT-",LEFT(A78,7)="DEPLOY-"),"External","Core")</f>
        <v>Core</v>
      </c>
    </row>
    <row r="79" customFormat="false" ht="15" hidden="false" customHeight="false" outlineLevel="0" collapsed="false">
      <c r="A79" s="135" t="s">
        <v>712</v>
      </c>
      <c r="B79" s="135" t="s">
        <v>447</v>
      </c>
      <c r="C79" s="135" t="s">
        <v>713</v>
      </c>
      <c r="D79" s="135" t="s">
        <v>714</v>
      </c>
      <c r="E79" s="135" t="s">
        <v>4</v>
      </c>
      <c r="F79" s="135" t="s">
        <v>715</v>
      </c>
      <c r="G79" s="135" t="s">
        <v>4</v>
      </c>
      <c r="H79" s="135" t="s">
        <v>4</v>
      </c>
      <c r="I79" s="135" t="s">
        <v>716</v>
      </c>
      <c r="J79" s="135" t="s">
        <v>91</v>
      </c>
      <c r="K79" s="135" t="s">
        <v>92</v>
      </c>
      <c r="L79" s="135" t="s">
        <v>717</v>
      </c>
      <c r="M79" s="135" t="s">
        <v>718</v>
      </c>
      <c r="N79" s="135" t="s">
        <v>51</v>
      </c>
      <c r="O79" s="135" t="s">
        <v>719</v>
      </c>
      <c r="P79" s="135" t="s">
        <v>170</v>
      </c>
      <c r="Q79" s="146" t="str">
        <f>IF(OR(ISNUMBER(SEARCH("FAIL",J79&amp;" "&amp;N79)),ISNUMBER(SEARCH("CLEAN RETEST REQUIRED",J79&amp;" "&amp;N79))),"Failed",IF(OR(ISNUMBER(SEARCH("NOT RUN",J79&amp;" "&amp;N79)),ISNUMBER(SEARCH("NOT IMPLEMENTED",J79&amp;" "&amp;N79))),"Not started",IF(OR(ISNUMBER(SEARCH("PARTIAL",J79&amp;" "&amp;N79)),ISNUMBER(SEARCH("PENDING",J79&amp;" "&amp;N79)),ISNUMBER(SEARCH("IN PROGRESS",J79&amp;" "&amp;N79)),ISNUMBER(SEARCH("OPEN",J79&amp;" "&amp;N79)),ISNUMBER(SEARCH("RETEST REQUIRED",J79&amp;" "&amp;N79)),ISNUMBER(SEARCH("IMPLEMENTATION UPDATED",J79&amp;" "&amp;N79)),ISNUMBER(SEARCH("REQUIRED EVERY SESSION",J79&amp;" "&amp;N79))),"Pending",IF(OR(N79="PASS",ISNUMBER(SEARCH("PASS",J79&amp;" "&amp;N79))),"Done","Pending"))))</f>
        <v>Done</v>
      </c>
      <c r="R79" s="146" t="str">
        <f>IF(OR(LEFT(A79,9)="OPERATOR-",LEFT(A79,8)="PAYMENT-",LEFT(A79,7)="DEPLOY-"),"External","Core")</f>
        <v>Core</v>
      </c>
    </row>
    <row r="80" customFormat="false" ht="15" hidden="false" customHeight="false" outlineLevel="0" collapsed="false">
      <c r="A80" s="135" t="s">
        <v>720</v>
      </c>
      <c r="B80" s="135" t="s">
        <v>447</v>
      </c>
      <c r="C80" s="135" t="s">
        <v>721</v>
      </c>
      <c r="D80" s="135" t="s">
        <v>722</v>
      </c>
      <c r="E80" s="135" t="s">
        <v>4</v>
      </c>
      <c r="F80" s="135" t="s">
        <v>723</v>
      </c>
      <c r="G80" s="135" t="s">
        <v>724</v>
      </c>
      <c r="H80" s="135" t="s">
        <v>4</v>
      </c>
      <c r="I80" s="135" t="s">
        <v>725</v>
      </c>
      <c r="J80" s="135" t="s">
        <v>51</v>
      </c>
      <c r="K80" s="135" t="s">
        <v>92</v>
      </c>
      <c r="L80" s="135" t="s">
        <v>726</v>
      </c>
      <c r="M80" s="135" t="s">
        <v>727</v>
      </c>
      <c r="N80" s="135" t="s">
        <v>51</v>
      </c>
      <c r="O80" s="135" t="s">
        <v>728</v>
      </c>
      <c r="P80" s="135" t="s">
        <v>170</v>
      </c>
      <c r="Q80" s="146" t="str">
        <f>IF(OR(ISNUMBER(SEARCH("FAIL",J80&amp;" "&amp;N80)),ISNUMBER(SEARCH("CLEAN RETEST REQUIRED",J80&amp;" "&amp;N80))),"Failed",IF(OR(ISNUMBER(SEARCH("NOT RUN",J80&amp;" "&amp;N80)),ISNUMBER(SEARCH("NOT IMPLEMENTED",J80&amp;" "&amp;N80))),"Not started",IF(OR(ISNUMBER(SEARCH("PARTIAL",J80&amp;" "&amp;N80)),ISNUMBER(SEARCH("PENDING",J80&amp;" "&amp;N80)),ISNUMBER(SEARCH("IN PROGRESS",J80&amp;" "&amp;N80)),ISNUMBER(SEARCH("OPEN",J80&amp;" "&amp;N80)),ISNUMBER(SEARCH("RETEST REQUIRED",J80&amp;" "&amp;N80)),ISNUMBER(SEARCH("IMPLEMENTATION UPDATED",J80&amp;" "&amp;N80)),ISNUMBER(SEARCH("REQUIRED EVERY SESSION",J80&amp;" "&amp;N80))),"Pending",IF(OR(N80="PASS",ISNUMBER(SEARCH("PASS",J80&amp;" "&amp;N80))),"Done","Pending"))))</f>
        <v>Done</v>
      </c>
      <c r="R80" s="146" t="str">
        <f>IF(OR(LEFT(A80,9)="OPERATOR-",LEFT(A80,8)="PAYMENT-",LEFT(A80,7)="DEPLOY-"),"External","Core")</f>
        <v>Core</v>
      </c>
    </row>
    <row r="81" customFormat="false" ht="15" hidden="false" customHeight="false" outlineLevel="0" collapsed="false">
      <c r="A81" s="135" t="s">
        <v>729</v>
      </c>
      <c r="B81" s="135" t="s">
        <v>447</v>
      </c>
      <c r="C81" s="135" t="s">
        <v>721</v>
      </c>
      <c r="D81" s="135" t="s">
        <v>730</v>
      </c>
      <c r="E81" s="135" t="s">
        <v>4</v>
      </c>
      <c r="F81" s="135" t="s">
        <v>723</v>
      </c>
      <c r="G81" s="135" t="s">
        <v>4</v>
      </c>
      <c r="H81" s="135" t="s">
        <v>4</v>
      </c>
      <c r="I81" s="135" t="s">
        <v>731</v>
      </c>
      <c r="J81" s="135" t="s">
        <v>486</v>
      </c>
      <c r="K81" s="135" t="s">
        <v>92</v>
      </c>
      <c r="L81" s="135" t="s">
        <v>732</v>
      </c>
      <c r="M81" s="135" t="s">
        <v>733</v>
      </c>
      <c r="N81" s="135" t="s">
        <v>51</v>
      </c>
      <c r="O81" s="135" t="s">
        <v>734</v>
      </c>
      <c r="P81" s="135" t="s">
        <v>735</v>
      </c>
      <c r="Q81" s="146" t="str">
        <f>IF(OR(ISNUMBER(SEARCH("FAIL",J81&amp;" "&amp;N81)),ISNUMBER(SEARCH("CLEAN RETEST REQUIRED",J81&amp;" "&amp;N81))),"Failed",IF(OR(ISNUMBER(SEARCH("NOT RUN",J81&amp;" "&amp;N81)),ISNUMBER(SEARCH("NOT IMPLEMENTED",J81&amp;" "&amp;N81))),"Not started",IF(OR(ISNUMBER(SEARCH("PARTIAL",J81&amp;" "&amp;N81)),ISNUMBER(SEARCH("PENDING",J81&amp;" "&amp;N81)),ISNUMBER(SEARCH("IN PROGRESS",J81&amp;" "&amp;N81)),ISNUMBER(SEARCH("OPEN",J81&amp;" "&amp;N81)),ISNUMBER(SEARCH("RETEST REQUIRED",J81&amp;" "&amp;N81)),ISNUMBER(SEARCH("IMPLEMENTATION UPDATED",J81&amp;" "&amp;N81)),ISNUMBER(SEARCH("REQUIRED EVERY SESSION",J81&amp;" "&amp;N81))),"Pending",IF(OR(N81="PASS",ISNUMBER(SEARCH("PASS",J81&amp;" "&amp;N81))),"Done","Pending"))))</f>
        <v>Done</v>
      </c>
      <c r="R81" s="146" t="str">
        <f>IF(OR(LEFT(A81,9)="OPERATOR-",LEFT(A81,8)="PAYMENT-",LEFT(A81,7)="DEPLOY-"),"External","Core")</f>
        <v>Core</v>
      </c>
    </row>
    <row r="82" customFormat="false" ht="15" hidden="false" customHeight="false" outlineLevel="0" collapsed="false">
      <c r="A82" s="135" t="s">
        <v>736</v>
      </c>
      <c r="B82" s="135" t="s">
        <v>447</v>
      </c>
      <c r="C82" s="135" t="s">
        <v>737</v>
      </c>
      <c r="D82" s="135" t="s">
        <v>738</v>
      </c>
      <c r="E82" s="135" t="s">
        <v>739</v>
      </c>
      <c r="F82" s="135" t="s">
        <v>740</v>
      </c>
      <c r="G82" s="135" t="s">
        <v>452</v>
      </c>
      <c r="H82" s="135" t="s">
        <v>741</v>
      </c>
      <c r="I82" s="135" t="s">
        <v>742</v>
      </c>
      <c r="J82" s="135" t="s">
        <v>486</v>
      </c>
      <c r="K82" s="135" t="s">
        <v>743</v>
      </c>
      <c r="L82" s="135" t="s">
        <v>744</v>
      </c>
      <c r="M82" s="135" t="s">
        <v>745</v>
      </c>
      <c r="N82" s="135" t="s">
        <v>51</v>
      </c>
      <c r="O82" s="135" t="s">
        <v>746</v>
      </c>
      <c r="P82" s="135" t="s">
        <v>157</v>
      </c>
      <c r="Q82" s="146" t="str">
        <f>IF(OR(ISNUMBER(SEARCH("FAIL",J82&amp;" "&amp;N82)),ISNUMBER(SEARCH("CLEAN RETEST REQUIRED",J82&amp;" "&amp;N82))),"Failed",IF(OR(ISNUMBER(SEARCH("NOT RUN",J82&amp;" "&amp;N82)),ISNUMBER(SEARCH("NOT IMPLEMENTED",J82&amp;" "&amp;N82))),"Not started",IF(OR(ISNUMBER(SEARCH("PARTIAL",J82&amp;" "&amp;N82)),ISNUMBER(SEARCH("PENDING",J82&amp;" "&amp;N82)),ISNUMBER(SEARCH("IN PROGRESS",J82&amp;" "&amp;N82)),ISNUMBER(SEARCH("OPEN",J82&amp;" "&amp;N82)),ISNUMBER(SEARCH("RETEST REQUIRED",J82&amp;" "&amp;N82)),ISNUMBER(SEARCH("IMPLEMENTATION UPDATED",J82&amp;" "&amp;N82)),ISNUMBER(SEARCH("REQUIRED EVERY SESSION",J82&amp;" "&amp;N82))),"Pending",IF(OR(N82="PASS",ISNUMBER(SEARCH("PASS",J82&amp;" "&amp;N82))),"Done","Pending"))))</f>
        <v>Done</v>
      </c>
      <c r="R82" s="146" t="str">
        <f>IF(OR(LEFT(A82,9)="OPERATOR-",LEFT(A82,8)="PAYMENT-",LEFT(A82,7)="DEPLOY-"),"External","Core")</f>
        <v>Core</v>
      </c>
    </row>
    <row r="83" customFormat="false" ht="15" hidden="false" customHeight="false" outlineLevel="0" collapsed="false">
      <c r="A83" s="135" t="s">
        <v>747</v>
      </c>
      <c r="B83" s="135" t="s">
        <v>447</v>
      </c>
      <c r="C83" s="135" t="s">
        <v>737</v>
      </c>
      <c r="D83" s="135" t="s">
        <v>748</v>
      </c>
      <c r="E83" s="135" t="s">
        <v>4</v>
      </c>
      <c r="F83" s="135" t="s">
        <v>749</v>
      </c>
      <c r="G83" s="135" t="s">
        <v>750</v>
      </c>
      <c r="H83" s="135" t="s">
        <v>751</v>
      </c>
      <c r="I83" s="135" t="s">
        <v>752</v>
      </c>
      <c r="J83" s="135" t="s">
        <v>486</v>
      </c>
      <c r="K83" s="135" t="s">
        <v>743</v>
      </c>
      <c r="L83" s="135" t="s">
        <v>753</v>
      </c>
      <c r="M83" s="135" t="s">
        <v>754</v>
      </c>
      <c r="N83" s="135" t="s">
        <v>51</v>
      </c>
      <c r="O83" s="135" t="s">
        <v>755</v>
      </c>
      <c r="P83" s="135" t="s">
        <v>433</v>
      </c>
      <c r="Q83" s="146" t="str">
        <f>IF(OR(ISNUMBER(SEARCH("FAIL",J83&amp;" "&amp;N83)),ISNUMBER(SEARCH("CLEAN RETEST REQUIRED",J83&amp;" "&amp;N83))),"Failed",IF(OR(ISNUMBER(SEARCH("NOT RUN",J83&amp;" "&amp;N83)),ISNUMBER(SEARCH("NOT IMPLEMENTED",J83&amp;" "&amp;N83))),"Not started",IF(OR(ISNUMBER(SEARCH("PARTIAL",J83&amp;" "&amp;N83)),ISNUMBER(SEARCH("PENDING",J83&amp;" "&amp;N83)),ISNUMBER(SEARCH("IN PROGRESS",J83&amp;" "&amp;N83)),ISNUMBER(SEARCH("OPEN",J83&amp;" "&amp;N83)),ISNUMBER(SEARCH("RETEST REQUIRED",J83&amp;" "&amp;N83)),ISNUMBER(SEARCH("IMPLEMENTATION UPDATED",J83&amp;" "&amp;N83)),ISNUMBER(SEARCH("REQUIRED EVERY SESSION",J83&amp;" "&amp;N83))),"Pending",IF(OR(N83="PASS",ISNUMBER(SEARCH("PASS",J83&amp;" "&amp;N83))),"Done","Pending"))))</f>
        <v>Done</v>
      </c>
      <c r="R83" s="146" t="str">
        <f>IF(OR(LEFT(A83,9)="OPERATOR-",LEFT(A83,8)="PAYMENT-",LEFT(A83,7)="DEPLOY-"),"External","Core")</f>
        <v>Core</v>
      </c>
    </row>
    <row r="84" customFormat="false" ht="15" hidden="false" customHeight="false" outlineLevel="0" collapsed="false">
      <c r="A84" s="135" t="s">
        <v>756</v>
      </c>
      <c r="B84" s="135" t="s">
        <v>447</v>
      </c>
      <c r="C84" s="135" t="s">
        <v>757</v>
      </c>
      <c r="D84" s="135" t="s">
        <v>758</v>
      </c>
      <c r="E84" s="135" t="s">
        <v>4</v>
      </c>
      <c r="F84" s="135" t="s">
        <v>759</v>
      </c>
      <c r="G84" s="135" t="s">
        <v>4</v>
      </c>
      <c r="H84" s="135" t="s">
        <v>760</v>
      </c>
      <c r="I84" s="135" t="s">
        <v>761</v>
      </c>
      <c r="J84" s="135" t="s">
        <v>486</v>
      </c>
      <c r="K84" s="135" t="s">
        <v>743</v>
      </c>
      <c r="L84" s="135" t="s">
        <v>762</v>
      </c>
      <c r="M84" s="135" t="s">
        <v>763</v>
      </c>
      <c r="N84" s="135" t="s">
        <v>51</v>
      </c>
      <c r="O84" s="135" t="s">
        <v>764</v>
      </c>
      <c r="P84" s="135" t="s">
        <v>433</v>
      </c>
      <c r="Q84" s="146" t="str">
        <f>IF(OR(ISNUMBER(SEARCH("FAIL",J84&amp;" "&amp;N84)),ISNUMBER(SEARCH("CLEAN RETEST REQUIRED",J84&amp;" "&amp;N84))),"Failed",IF(OR(ISNUMBER(SEARCH("NOT RUN",J84&amp;" "&amp;N84)),ISNUMBER(SEARCH("NOT IMPLEMENTED",J84&amp;" "&amp;N84))),"Not started",IF(OR(ISNUMBER(SEARCH("PARTIAL",J84&amp;" "&amp;N84)),ISNUMBER(SEARCH("PENDING",J84&amp;" "&amp;N84)),ISNUMBER(SEARCH("IN PROGRESS",J84&amp;" "&amp;N84)),ISNUMBER(SEARCH("OPEN",J84&amp;" "&amp;N84)),ISNUMBER(SEARCH("RETEST REQUIRED",J84&amp;" "&amp;N84)),ISNUMBER(SEARCH("IMPLEMENTATION UPDATED",J84&amp;" "&amp;N84)),ISNUMBER(SEARCH("REQUIRED EVERY SESSION",J84&amp;" "&amp;N84))),"Pending",IF(OR(N84="PASS",ISNUMBER(SEARCH("PASS",J84&amp;" "&amp;N84))),"Done","Pending"))))</f>
        <v>Done</v>
      </c>
      <c r="R84" s="146" t="str">
        <f>IF(OR(LEFT(A84,9)="OPERATOR-",LEFT(A84,8)="PAYMENT-",LEFT(A84,7)="DEPLOY-"),"External","Core")</f>
        <v>Core</v>
      </c>
    </row>
    <row r="85" customFormat="false" ht="15" hidden="false" customHeight="false" outlineLevel="0" collapsed="false">
      <c r="A85" s="135" t="s">
        <v>765</v>
      </c>
      <c r="B85" s="135" t="s">
        <v>447</v>
      </c>
      <c r="C85" s="135" t="s">
        <v>737</v>
      </c>
      <c r="D85" s="135" t="s">
        <v>766</v>
      </c>
      <c r="E85" s="135" t="s">
        <v>767</v>
      </c>
      <c r="F85" s="135" t="s">
        <v>4</v>
      </c>
      <c r="G85" s="135" t="s">
        <v>4</v>
      </c>
      <c r="H85" s="135" t="s">
        <v>4</v>
      </c>
      <c r="I85" s="135" t="s">
        <v>768</v>
      </c>
      <c r="J85" s="135" t="s">
        <v>486</v>
      </c>
      <c r="K85" s="135" t="s">
        <v>743</v>
      </c>
      <c r="L85" s="135" t="s">
        <v>769</v>
      </c>
      <c r="M85" s="135" t="s">
        <v>770</v>
      </c>
      <c r="N85" s="135" t="s">
        <v>51</v>
      </c>
      <c r="O85" s="135" t="s">
        <v>771</v>
      </c>
      <c r="P85" s="135" t="s">
        <v>392</v>
      </c>
      <c r="Q85" s="146" t="str">
        <f>IF(OR(ISNUMBER(SEARCH("FAIL",J85&amp;" "&amp;N85)),ISNUMBER(SEARCH("CLEAN RETEST REQUIRED",J85&amp;" "&amp;N85))),"Failed",IF(OR(ISNUMBER(SEARCH("NOT RUN",J85&amp;" "&amp;N85)),ISNUMBER(SEARCH("NOT IMPLEMENTED",J85&amp;" "&amp;N85))),"Not started",IF(OR(ISNUMBER(SEARCH("PARTIAL",J85&amp;" "&amp;N85)),ISNUMBER(SEARCH("PENDING",J85&amp;" "&amp;N85)),ISNUMBER(SEARCH("IN PROGRESS",J85&amp;" "&amp;N85)),ISNUMBER(SEARCH("OPEN",J85&amp;" "&amp;N85)),ISNUMBER(SEARCH("RETEST REQUIRED",J85&amp;" "&amp;N85)),ISNUMBER(SEARCH("IMPLEMENTATION UPDATED",J85&amp;" "&amp;N85)),ISNUMBER(SEARCH("REQUIRED EVERY SESSION",J85&amp;" "&amp;N85))),"Pending",IF(OR(N85="PASS",ISNUMBER(SEARCH("PASS",J85&amp;" "&amp;N85))),"Done","Pending"))))</f>
        <v>Done</v>
      </c>
      <c r="R85" s="146" t="str">
        <f>IF(OR(LEFT(A85,9)="OPERATOR-",LEFT(A85,8)="PAYMENT-",LEFT(A85,7)="DEPLOY-"),"External","Core")</f>
        <v>Core</v>
      </c>
    </row>
    <row r="86" customFormat="false" ht="15" hidden="false" customHeight="false" outlineLevel="0" collapsed="false">
      <c r="A86" s="135" t="s">
        <v>772</v>
      </c>
      <c r="B86" s="135" t="s">
        <v>447</v>
      </c>
      <c r="C86" s="135" t="s">
        <v>773</v>
      </c>
      <c r="D86" s="135" t="s">
        <v>774</v>
      </c>
      <c r="E86" s="135" t="s">
        <v>775</v>
      </c>
      <c r="F86" s="135" t="s">
        <v>776</v>
      </c>
      <c r="G86" s="135" t="s">
        <v>777</v>
      </c>
      <c r="H86" s="135" t="s">
        <v>778</v>
      </c>
      <c r="I86" s="135" t="s">
        <v>779</v>
      </c>
      <c r="J86" s="135" t="s">
        <v>486</v>
      </c>
      <c r="K86" s="135" t="s">
        <v>743</v>
      </c>
      <c r="L86" s="135" t="s">
        <v>780</v>
      </c>
      <c r="M86" s="135" t="s">
        <v>781</v>
      </c>
      <c r="N86" s="135" t="s">
        <v>51</v>
      </c>
      <c r="O86" s="135" t="s">
        <v>782</v>
      </c>
      <c r="P86" s="135" t="s">
        <v>433</v>
      </c>
      <c r="Q86" s="146" t="str">
        <f>IF(OR(ISNUMBER(SEARCH("FAIL",J86&amp;" "&amp;N86)),ISNUMBER(SEARCH("CLEAN RETEST REQUIRED",J86&amp;" "&amp;N86))),"Failed",IF(OR(ISNUMBER(SEARCH("NOT RUN",J86&amp;" "&amp;N86)),ISNUMBER(SEARCH("NOT IMPLEMENTED",J86&amp;" "&amp;N86))),"Not started",IF(OR(ISNUMBER(SEARCH("PARTIAL",J86&amp;" "&amp;N86)),ISNUMBER(SEARCH("PENDING",J86&amp;" "&amp;N86)),ISNUMBER(SEARCH("IN PROGRESS",J86&amp;" "&amp;N86)),ISNUMBER(SEARCH("OPEN",J86&amp;" "&amp;N86)),ISNUMBER(SEARCH("RETEST REQUIRED",J86&amp;" "&amp;N86)),ISNUMBER(SEARCH("IMPLEMENTATION UPDATED",J86&amp;" "&amp;N86)),ISNUMBER(SEARCH("REQUIRED EVERY SESSION",J86&amp;" "&amp;N86))),"Pending",IF(OR(N86="PASS",ISNUMBER(SEARCH("PASS",J86&amp;" "&amp;N86))),"Done","Pending"))))</f>
        <v>Done</v>
      </c>
      <c r="R86" s="146" t="str">
        <f>IF(OR(LEFT(A86,9)="OPERATOR-",LEFT(A86,8)="PAYMENT-",LEFT(A86,7)="DEPLOY-"),"External","Core")</f>
        <v>Core</v>
      </c>
    </row>
    <row r="87" customFormat="false" ht="180" hidden="false" customHeight="true" outlineLevel="0" collapsed="false">
      <c r="A87" s="135" t="s">
        <v>783</v>
      </c>
      <c r="B87" s="135" t="s">
        <v>447</v>
      </c>
      <c r="C87" s="135" t="s">
        <v>784</v>
      </c>
      <c r="D87" s="135" t="s">
        <v>785</v>
      </c>
      <c r="E87" s="135" t="s">
        <v>786</v>
      </c>
      <c r="F87" s="135" t="s">
        <v>787</v>
      </c>
      <c r="G87" s="135" t="s">
        <v>788</v>
      </c>
      <c r="H87" s="135" t="s">
        <v>789</v>
      </c>
      <c r="I87" s="135" t="s">
        <v>790</v>
      </c>
      <c r="J87" s="135" t="s">
        <v>791</v>
      </c>
      <c r="K87" s="135" t="s">
        <v>792</v>
      </c>
      <c r="L87" s="135" t="s">
        <v>793</v>
      </c>
      <c r="M87" s="135" t="s">
        <v>794</v>
      </c>
      <c r="N87" s="135" t="s">
        <v>51</v>
      </c>
      <c r="O87" s="135" t="s">
        <v>795</v>
      </c>
      <c r="P87" s="135" t="s">
        <v>433</v>
      </c>
      <c r="Q87" s="146" t="str">
        <f>IF(OR(ISNUMBER(SEARCH("FAIL",J87&amp;" "&amp;N87)),ISNUMBER(SEARCH("CLEAN RETEST REQUIRED",J87&amp;" "&amp;N87))),"Failed",IF(OR(ISNUMBER(SEARCH("NOT RUN",J87&amp;" "&amp;N87)),ISNUMBER(SEARCH("NOT IMPLEMENTED",J87&amp;" "&amp;N87))),"Not started",IF(OR(ISNUMBER(SEARCH("PARTIAL",J87&amp;" "&amp;N87)),ISNUMBER(SEARCH("PENDING",J87&amp;" "&amp;N87)),ISNUMBER(SEARCH("IN PROGRESS",J87&amp;" "&amp;N87)),ISNUMBER(SEARCH("OPEN",J87&amp;" "&amp;N87)),ISNUMBER(SEARCH("RETEST REQUIRED",J87&amp;" "&amp;N87)),ISNUMBER(SEARCH("IMPLEMENTATION UPDATED",J87&amp;" "&amp;N87)),ISNUMBER(SEARCH("REQUIRED EVERY SESSION",J87&amp;" "&amp;N87))),"Pending",IF(OR(N87="PASS",ISNUMBER(SEARCH("PASS",J87&amp;" "&amp;N87))),"Done","Pending"))))</f>
        <v>Done</v>
      </c>
      <c r="R87" s="146" t="str">
        <f>IF(OR(LEFT(A87,9)="OPERATOR-",LEFT(A87,8)="PAYMENT-",LEFT(A87,7)="DEPLOY-"),"External","Core")</f>
        <v>Core</v>
      </c>
    </row>
    <row r="88" customFormat="false" ht="90" hidden="false" customHeight="true" outlineLevel="0" collapsed="false">
      <c r="A88" s="135" t="s">
        <v>796</v>
      </c>
      <c r="B88" s="135" t="s">
        <v>447</v>
      </c>
      <c r="C88" s="135" t="s">
        <v>797</v>
      </c>
      <c r="D88" s="135" t="s">
        <v>798</v>
      </c>
      <c r="E88" s="135" t="s">
        <v>4</v>
      </c>
      <c r="F88" s="135" t="s">
        <v>4</v>
      </c>
      <c r="G88" s="135" t="s">
        <v>799</v>
      </c>
      <c r="H88" s="135" t="s">
        <v>800</v>
      </c>
      <c r="I88" s="135" t="s">
        <v>801</v>
      </c>
      <c r="J88" s="135" t="s">
        <v>486</v>
      </c>
      <c r="K88" s="135" t="s">
        <v>792</v>
      </c>
      <c r="L88" s="135" t="s">
        <v>802</v>
      </c>
      <c r="M88" s="135" t="s">
        <v>803</v>
      </c>
      <c r="N88" s="135" t="s">
        <v>51</v>
      </c>
      <c r="O88" s="135" t="s">
        <v>804</v>
      </c>
      <c r="P88" s="135" t="s">
        <v>433</v>
      </c>
      <c r="Q88" s="146" t="str">
        <f>IF(OR(ISNUMBER(SEARCH("FAIL",J88&amp;" "&amp;N88)),ISNUMBER(SEARCH("CLEAN RETEST REQUIRED",J88&amp;" "&amp;N88))),"Failed",IF(OR(ISNUMBER(SEARCH("NOT RUN",J88&amp;" "&amp;N88)),ISNUMBER(SEARCH("NOT IMPLEMENTED",J88&amp;" "&amp;N88))),"Not started",IF(OR(ISNUMBER(SEARCH("PARTIAL",J88&amp;" "&amp;N88)),ISNUMBER(SEARCH("PENDING",J88&amp;" "&amp;N88)),ISNUMBER(SEARCH("IN PROGRESS",J88&amp;" "&amp;N88)),ISNUMBER(SEARCH("OPEN",J88&amp;" "&amp;N88)),ISNUMBER(SEARCH("RETEST REQUIRED",J88&amp;" "&amp;N88)),ISNUMBER(SEARCH("IMPLEMENTATION UPDATED",J88&amp;" "&amp;N88)),ISNUMBER(SEARCH("REQUIRED EVERY SESSION",J88&amp;" "&amp;N88))),"Pending",IF(OR(N88="PASS",ISNUMBER(SEARCH("PASS",J88&amp;" "&amp;N88))),"Done","Pending"))))</f>
        <v>Done</v>
      </c>
      <c r="R88" s="146" t="str">
        <f>IF(OR(LEFT(A88,9)="OPERATOR-",LEFT(A88,8)="PAYMENT-",LEFT(A88,7)="DEPLOY-"),"External","Core")</f>
        <v>Core</v>
      </c>
    </row>
    <row r="89" customFormat="false" ht="180" hidden="false" customHeight="true" outlineLevel="0" collapsed="false">
      <c r="A89" s="135" t="s">
        <v>805</v>
      </c>
      <c r="B89" s="135" t="s">
        <v>447</v>
      </c>
      <c r="C89" s="135" t="s">
        <v>806</v>
      </c>
      <c r="D89" s="135" t="s">
        <v>807</v>
      </c>
      <c r="E89" s="135" t="s">
        <v>808</v>
      </c>
      <c r="F89" s="135" t="s">
        <v>809</v>
      </c>
      <c r="G89" s="135" t="s">
        <v>810</v>
      </c>
      <c r="H89" s="135" t="s">
        <v>811</v>
      </c>
      <c r="I89" s="135" t="s">
        <v>812</v>
      </c>
      <c r="J89" s="135" t="s">
        <v>486</v>
      </c>
      <c r="K89" s="135" t="s">
        <v>792</v>
      </c>
      <c r="L89" s="135" t="s">
        <v>813</v>
      </c>
      <c r="M89" s="135" t="s">
        <v>814</v>
      </c>
      <c r="N89" s="135" t="s">
        <v>51</v>
      </c>
      <c r="O89" s="135" t="s">
        <v>815</v>
      </c>
      <c r="P89" s="135" t="s">
        <v>433</v>
      </c>
      <c r="Q89" s="146" t="str">
        <f>IF(OR(ISNUMBER(SEARCH("FAIL",J89&amp;" "&amp;N89)),ISNUMBER(SEARCH("CLEAN RETEST REQUIRED",J89&amp;" "&amp;N89))),"Failed",IF(OR(ISNUMBER(SEARCH("NOT RUN",J89&amp;" "&amp;N89)),ISNUMBER(SEARCH("NOT IMPLEMENTED",J89&amp;" "&amp;N89))),"Not started",IF(OR(ISNUMBER(SEARCH("PARTIAL",J89&amp;" "&amp;N89)),ISNUMBER(SEARCH("PENDING",J89&amp;" "&amp;N89)),ISNUMBER(SEARCH("IN PROGRESS",J89&amp;" "&amp;N89)),ISNUMBER(SEARCH("OPEN",J89&amp;" "&amp;N89)),ISNUMBER(SEARCH("RETEST REQUIRED",J89&amp;" "&amp;N89)),ISNUMBER(SEARCH("IMPLEMENTATION UPDATED",J89&amp;" "&amp;N89)),ISNUMBER(SEARCH("REQUIRED EVERY SESSION",J89&amp;" "&amp;N89))),"Pending",IF(OR(N89="PASS",ISNUMBER(SEARCH("PASS",J89&amp;" "&amp;N89))),"Done","Pending"))))</f>
        <v>Done</v>
      </c>
      <c r="R89" s="146" t="str">
        <f>IF(OR(LEFT(A89,9)="OPERATOR-",LEFT(A89,8)="PAYMENT-",LEFT(A89,7)="DEPLOY-"),"External","Core")</f>
        <v>Core</v>
      </c>
    </row>
    <row r="90" customFormat="false" ht="180" hidden="false" customHeight="true" outlineLevel="0" collapsed="false">
      <c r="A90" s="135" t="s">
        <v>816</v>
      </c>
      <c r="B90" s="135" t="s">
        <v>447</v>
      </c>
      <c r="C90" s="135" t="s">
        <v>817</v>
      </c>
      <c r="D90" s="135" t="s">
        <v>818</v>
      </c>
      <c r="E90" s="135" t="s">
        <v>819</v>
      </c>
      <c r="F90" s="135" t="s">
        <v>820</v>
      </c>
      <c r="G90" s="135" t="s">
        <v>821</v>
      </c>
      <c r="H90" s="135" t="s">
        <v>822</v>
      </c>
      <c r="I90" s="135" t="s">
        <v>823</v>
      </c>
      <c r="J90" s="135" t="s">
        <v>486</v>
      </c>
      <c r="K90" s="135" t="s">
        <v>487</v>
      </c>
      <c r="L90" s="135" t="s">
        <v>824</v>
      </c>
      <c r="M90" s="135" t="s">
        <v>825</v>
      </c>
      <c r="N90" s="135" t="s">
        <v>51</v>
      </c>
      <c r="O90" s="135" t="s">
        <v>826</v>
      </c>
      <c r="P90" s="135" t="s">
        <v>433</v>
      </c>
      <c r="Q90" s="146" t="str">
        <f>IF(OR(ISNUMBER(SEARCH("FAIL",J90&amp;" "&amp;N90)),ISNUMBER(SEARCH("CLEAN RETEST REQUIRED",J90&amp;" "&amp;N90))),"Failed",IF(OR(ISNUMBER(SEARCH("NOT RUN",J90&amp;" "&amp;N90)),ISNUMBER(SEARCH("NOT IMPLEMENTED",J90&amp;" "&amp;N90))),"Not started",IF(OR(ISNUMBER(SEARCH("PARTIAL",J90&amp;" "&amp;N90)),ISNUMBER(SEARCH("PENDING",J90&amp;" "&amp;N90)),ISNUMBER(SEARCH("IN PROGRESS",J90&amp;" "&amp;N90)),ISNUMBER(SEARCH("OPEN",J90&amp;" "&amp;N90)),ISNUMBER(SEARCH("RETEST REQUIRED",J90&amp;" "&amp;N90)),ISNUMBER(SEARCH("IMPLEMENTATION UPDATED",J90&amp;" "&amp;N90)),ISNUMBER(SEARCH("REQUIRED EVERY SESSION",J90&amp;" "&amp;N90))),"Pending",IF(OR(N90="PASS",ISNUMBER(SEARCH("PASS",J90&amp;" "&amp;N90))),"Done","Pending"))))</f>
        <v>Done</v>
      </c>
      <c r="R90" s="146" t="str">
        <f>IF(OR(LEFT(A90,9)="OPERATOR-",LEFT(A90,8)="PAYMENT-",LEFT(A90,7)="DEPLOY-"),"External","Core")</f>
        <v>Core</v>
      </c>
    </row>
    <row r="91" customFormat="false" ht="135" hidden="false" customHeight="true" outlineLevel="0" collapsed="false">
      <c r="A91" s="135" t="s">
        <v>827</v>
      </c>
      <c r="B91" s="135" t="s">
        <v>447</v>
      </c>
      <c r="C91" s="135" t="s">
        <v>828</v>
      </c>
      <c r="D91" s="135" t="s">
        <v>829</v>
      </c>
      <c r="E91" s="135" t="s">
        <v>4</v>
      </c>
      <c r="F91" s="135" t="s">
        <v>830</v>
      </c>
      <c r="G91" s="135" t="s">
        <v>4</v>
      </c>
      <c r="H91" s="135" t="s">
        <v>831</v>
      </c>
      <c r="I91" s="135" t="s">
        <v>832</v>
      </c>
      <c r="J91" s="135" t="s">
        <v>486</v>
      </c>
      <c r="K91" s="135" t="s">
        <v>487</v>
      </c>
      <c r="L91" s="135" t="s">
        <v>833</v>
      </c>
      <c r="M91" s="135" t="s">
        <v>834</v>
      </c>
      <c r="N91" s="135" t="s">
        <v>51</v>
      </c>
      <c r="O91" s="135" t="s">
        <v>835</v>
      </c>
      <c r="P91" s="135" t="s">
        <v>433</v>
      </c>
      <c r="Q91" s="146" t="str">
        <f>IF(OR(ISNUMBER(SEARCH("FAIL",J91&amp;" "&amp;N91)),ISNUMBER(SEARCH("CLEAN RETEST REQUIRED",J91&amp;" "&amp;N91))),"Failed",IF(OR(ISNUMBER(SEARCH("NOT RUN",J91&amp;" "&amp;N91)),ISNUMBER(SEARCH("NOT IMPLEMENTED",J91&amp;" "&amp;N91))),"Not started",IF(OR(ISNUMBER(SEARCH("PARTIAL",J91&amp;" "&amp;N91)),ISNUMBER(SEARCH("PENDING",J91&amp;" "&amp;N91)),ISNUMBER(SEARCH("IN PROGRESS",J91&amp;" "&amp;N91)),ISNUMBER(SEARCH("OPEN",J91&amp;" "&amp;N91)),ISNUMBER(SEARCH("RETEST REQUIRED",J91&amp;" "&amp;N91)),ISNUMBER(SEARCH("IMPLEMENTATION UPDATED",J91&amp;" "&amp;N91)),ISNUMBER(SEARCH("REQUIRED EVERY SESSION",J91&amp;" "&amp;N91))),"Pending",IF(OR(N91="PASS",ISNUMBER(SEARCH("PASS",J91&amp;" "&amp;N91))),"Done","Pending"))))</f>
        <v>Done</v>
      </c>
      <c r="R91" s="146" t="str">
        <f>IF(OR(LEFT(A91,9)="OPERATOR-",LEFT(A91,8)="PAYMENT-",LEFT(A91,7)="DEPLOY-"),"External","Core")</f>
        <v>Core</v>
      </c>
    </row>
    <row r="92" customFormat="false" ht="15" hidden="false" customHeight="false" outlineLevel="0" collapsed="false">
      <c r="A92" s="135" t="s">
        <v>836</v>
      </c>
      <c r="B92" s="135" t="s">
        <v>447</v>
      </c>
      <c r="C92" s="135" t="s">
        <v>837</v>
      </c>
      <c r="D92" s="135" t="s">
        <v>838</v>
      </c>
      <c r="E92" s="135" t="s">
        <v>4</v>
      </c>
      <c r="F92" s="135" t="s">
        <v>839</v>
      </c>
      <c r="G92" s="135" t="s">
        <v>4</v>
      </c>
      <c r="H92" s="135" t="s">
        <v>840</v>
      </c>
      <c r="I92" s="135" t="s">
        <v>841</v>
      </c>
      <c r="J92" s="135" t="s">
        <v>486</v>
      </c>
      <c r="K92" s="135" t="s">
        <v>743</v>
      </c>
      <c r="L92" s="135" t="s">
        <v>842</v>
      </c>
      <c r="M92" s="135" t="s">
        <v>843</v>
      </c>
      <c r="N92" s="135" t="s">
        <v>51</v>
      </c>
      <c r="O92" s="135" t="s">
        <v>844</v>
      </c>
      <c r="P92" s="135" t="s">
        <v>433</v>
      </c>
      <c r="Q92" s="146" t="str">
        <f>IF(OR(ISNUMBER(SEARCH("FAIL",J92&amp;" "&amp;N92)),ISNUMBER(SEARCH("CLEAN RETEST REQUIRED",J92&amp;" "&amp;N92))),"Failed",IF(OR(ISNUMBER(SEARCH("NOT RUN",J92&amp;" "&amp;N92)),ISNUMBER(SEARCH("NOT IMPLEMENTED",J92&amp;" "&amp;N92))),"Not started",IF(OR(ISNUMBER(SEARCH("PARTIAL",J92&amp;" "&amp;N92)),ISNUMBER(SEARCH("PENDING",J92&amp;" "&amp;N92)),ISNUMBER(SEARCH("IN PROGRESS",J92&amp;" "&amp;N92)),ISNUMBER(SEARCH("OPEN",J92&amp;" "&amp;N92)),ISNUMBER(SEARCH("RETEST REQUIRED",J92&amp;" "&amp;N92)),ISNUMBER(SEARCH("IMPLEMENTATION UPDATED",J92&amp;" "&amp;N92)),ISNUMBER(SEARCH("REQUIRED EVERY SESSION",J92&amp;" "&amp;N92))),"Pending",IF(OR(N92="PASS",ISNUMBER(SEARCH("PASS",J92&amp;" "&amp;N92))),"Done","Pending"))))</f>
        <v>Done</v>
      </c>
      <c r="R92" s="146" t="str">
        <f>IF(OR(LEFT(A92,9)="OPERATOR-",LEFT(A92,8)="PAYMENT-",LEFT(A92,7)="DEPLOY-"),"External","Core")</f>
        <v>Core</v>
      </c>
    </row>
    <row r="93" customFormat="false" ht="15" hidden="false" customHeight="false" outlineLevel="0" collapsed="false">
      <c r="A93" s="135" t="s">
        <v>845</v>
      </c>
      <c r="B93" s="135" t="s">
        <v>846</v>
      </c>
      <c r="C93" s="135" t="s">
        <v>847</v>
      </c>
      <c r="D93" s="135" t="s">
        <v>848</v>
      </c>
      <c r="E93" s="135" t="s">
        <v>849</v>
      </c>
      <c r="F93" s="135" t="s">
        <v>850</v>
      </c>
      <c r="G93" s="135" t="s">
        <v>851</v>
      </c>
      <c r="H93" s="135" t="s">
        <v>852</v>
      </c>
      <c r="I93" s="135" t="s">
        <v>853</v>
      </c>
      <c r="J93" s="135" t="s">
        <v>486</v>
      </c>
      <c r="K93" s="135" t="s">
        <v>487</v>
      </c>
      <c r="L93" s="135" t="s">
        <v>854</v>
      </c>
      <c r="M93" s="135" t="s">
        <v>855</v>
      </c>
      <c r="N93" s="135" t="s">
        <v>51</v>
      </c>
      <c r="O93" s="135" t="s">
        <v>856</v>
      </c>
      <c r="P93" s="135" t="s">
        <v>433</v>
      </c>
      <c r="Q93" s="146" t="str">
        <f>IF(OR(ISNUMBER(SEARCH("FAIL",J93&amp;" "&amp;N93)),ISNUMBER(SEARCH("CLEAN RETEST REQUIRED",J93&amp;" "&amp;N93))),"Failed",IF(OR(ISNUMBER(SEARCH("NOT RUN",J93&amp;" "&amp;N93)),ISNUMBER(SEARCH("NOT IMPLEMENTED",J93&amp;" "&amp;N93))),"Not started",IF(OR(ISNUMBER(SEARCH("PARTIAL",J93&amp;" "&amp;N93)),ISNUMBER(SEARCH("PENDING",J93&amp;" "&amp;N93)),ISNUMBER(SEARCH("IN PROGRESS",J93&amp;" "&amp;N93)),ISNUMBER(SEARCH("OPEN",J93&amp;" "&amp;N93)),ISNUMBER(SEARCH("RETEST REQUIRED",J93&amp;" "&amp;N93)),ISNUMBER(SEARCH("IMPLEMENTATION UPDATED",J93&amp;" "&amp;N93)),ISNUMBER(SEARCH("REQUIRED EVERY SESSION",J93&amp;" "&amp;N93))),"Pending",IF(OR(N93="PASS",ISNUMBER(SEARCH("PASS",J93&amp;" "&amp;N93))),"Done","Pending"))))</f>
        <v>Done</v>
      </c>
      <c r="R93" s="146" t="str">
        <f>IF(OR(LEFT(A93,9)="OPERATOR-",LEFT(A93,8)="PAYMENT-",LEFT(A93,7)="DEPLOY-"),"External","Core")</f>
        <v>Core</v>
      </c>
    </row>
    <row r="94" customFormat="false" ht="15" hidden="false" customHeight="false" outlineLevel="0" collapsed="false">
      <c r="A94" s="135" t="s">
        <v>857</v>
      </c>
      <c r="B94" s="135" t="s">
        <v>447</v>
      </c>
      <c r="C94" s="135" t="s">
        <v>858</v>
      </c>
      <c r="D94" s="135" t="s">
        <v>859</v>
      </c>
      <c r="E94" s="135" t="s">
        <v>4</v>
      </c>
      <c r="F94" s="135" t="s">
        <v>860</v>
      </c>
      <c r="G94" s="135" t="s">
        <v>4</v>
      </c>
      <c r="H94" s="135" t="s">
        <v>861</v>
      </c>
      <c r="I94" s="135" t="s">
        <v>862</v>
      </c>
      <c r="J94" s="135" t="s">
        <v>486</v>
      </c>
      <c r="K94" s="135" t="s">
        <v>743</v>
      </c>
      <c r="L94" s="135" t="s">
        <v>863</v>
      </c>
      <c r="M94" s="135" t="s">
        <v>864</v>
      </c>
      <c r="N94" s="135" t="s">
        <v>51</v>
      </c>
      <c r="O94" s="135" t="s">
        <v>865</v>
      </c>
      <c r="P94" s="135" t="s">
        <v>433</v>
      </c>
      <c r="Q94" s="146" t="str">
        <f>IF(OR(ISNUMBER(SEARCH("FAIL",J94&amp;" "&amp;N94)),ISNUMBER(SEARCH("CLEAN RETEST REQUIRED",J94&amp;" "&amp;N94))),"Failed",IF(OR(ISNUMBER(SEARCH("NOT RUN",J94&amp;" "&amp;N94)),ISNUMBER(SEARCH("NOT IMPLEMENTED",J94&amp;" "&amp;N94))),"Not started",IF(OR(ISNUMBER(SEARCH("PARTIAL",J94&amp;" "&amp;N94)),ISNUMBER(SEARCH("PENDING",J94&amp;" "&amp;N94)),ISNUMBER(SEARCH("IN PROGRESS",J94&amp;" "&amp;N94)),ISNUMBER(SEARCH("OPEN",J94&amp;" "&amp;N94)),ISNUMBER(SEARCH("RETEST REQUIRED",J94&amp;" "&amp;N94)),ISNUMBER(SEARCH("IMPLEMENTATION UPDATED",J94&amp;" "&amp;N94)),ISNUMBER(SEARCH("REQUIRED EVERY SESSION",J94&amp;" "&amp;N94))),"Pending",IF(OR(N94="PASS",ISNUMBER(SEARCH("PASS",J94&amp;" "&amp;N94))),"Done","Pending"))))</f>
        <v>Done</v>
      </c>
      <c r="R94" s="146" t="str">
        <f>IF(OR(LEFT(A94,9)="OPERATOR-",LEFT(A94,8)="PAYMENT-",LEFT(A94,7)="DEPLOY-"),"External","Core")</f>
        <v>Core</v>
      </c>
    </row>
    <row r="95" customFormat="false" ht="15" hidden="false" customHeight="false" outlineLevel="0" collapsed="false">
      <c r="A95" s="135" t="s">
        <v>866</v>
      </c>
      <c r="B95" s="135" t="s">
        <v>846</v>
      </c>
      <c r="C95" s="135" t="s">
        <v>867</v>
      </c>
      <c r="D95" s="135" t="s">
        <v>868</v>
      </c>
      <c r="E95" s="135" t="s">
        <v>4</v>
      </c>
      <c r="F95" s="135" t="s">
        <v>869</v>
      </c>
      <c r="G95" s="135" t="s">
        <v>4</v>
      </c>
      <c r="H95" s="135" t="s">
        <v>870</v>
      </c>
      <c r="I95" s="135" t="s">
        <v>871</v>
      </c>
      <c r="J95" s="135" t="s">
        <v>486</v>
      </c>
      <c r="K95" s="135" t="s">
        <v>743</v>
      </c>
      <c r="L95" s="135" t="s">
        <v>872</v>
      </c>
      <c r="M95" s="135" t="s">
        <v>873</v>
      </c>
      <c r="N95" s="135" t="s">
        <v>51</v>
      </c>
      <c r="O95" s="135" t="s">
        <v>874</v>
      </c>
      <c r="P95" s="135" t="s">
        <v>433</v>
      </c>
      <c r="Q95" s="146" t="str">
        <f>IF(OR(ISNUMBER(SEARCH("FAIL",J95&amp;" "&amp;N95)),ISNUMBER(SEARCH("CLEAN RETEST REQUIRED",J95&amp;" "&amp;N95))),"Failed",IF(OR(ISNUMBER(SEARCH("NOT RUN",J95&amp;" "&amp;N95)),ISNUMBER(SEARCH("NOT IMPLEMENTED",J95&amp;" "&amp;N95))),"Not started",IF(OR(ISNUMBER(SEARCH("PARTIAL",J95&amp;" "&amp;N95)),ISNUMBER(SEARCH("PENDING",J95&amp;" "&amp;N95)),ISNUMBER(SEARCH("IN PROGRESS",J95&amp;" "&amp;N95)),ISNUMBER(SEARCH("OPEN",J95&amp;" "&amp;N95)),ISNUMBER(SEARCH("RETEST REQUIRED",J95&amp;" "&amp;N95)),ISNUMBER(SEARCH("IMPLEMENTATION UPDATED",J95&amp;" "&amp;N95)),ISNUMBER(SEARCH("REQUIRED EVERY SESSION",J95&amp;" "&amp;N95))),"Pending",IF(OR(N95="PASS",ISNUMBER(SEARCH("PASS",J95&amp;" "&amp;N95))),"Done","Pending"))))</f>
        <v>Done</v>
      </c>
      <c r="R95" s="146" t="str">
        <f>IF(OR(LEFT(A95,9)="OPERATOR-",LEFT(A95,8)="PAYMENT-",LEFT(A95,7)="DEPLOY-"),"External","Core")</f>
        <v>Core</v>
      </c>
    </row>
    <row r="96" customFormat="false" ht="15" hidden="false" customHeight="false" outlineLevel="0" collapsed="false">
      <c r="A96" s="146" t="s">
        <v>875</v>
      </c>
      <c r="B96" s="146" t="s">
        <v>846</v>
      </c>
      <c r="C96" s="146" t="s">
        <v>876</v>
      </c>
      <c r="D96" s="146" t="s">
        <v>877</v>
      </c>
      <c r="E96" s="146" t="s">
        <v>4</v>
      </c>
      <c r="F96" s="146" t="s">
        <v>878</v>
      </c>
      <c r="G96" s="146" t="s">
        <v>4</v>
      </c>
      <c r="H96" s="146" t="s">
        <v>879</v>
      </c>
      <c r="I96" s="146" t="s">
        <v>880</v>
      </c>
      <c r="J96" s="146" t="s">
        <v>51</v>
      </c>
      <c r="K96" s="146" t="s">
        <v>743</v>
      </c>
      <c r="L96" s="146" t="s">
        <v>881</v>
      </c>
      <c r="M96" s="146" t="s">
        <v>882</v>
      </c>
      <c r="N96" s="146" t="s">
        <v>486</v>
      </c>
      <c r="O96" s="146" t="s">
        <v>883</v>
      </c>
      <c r="P96" s="146" t="s">
        <v>433</v>
      </c>
      <c r="Q96" s="146" t="str">
        <f>IF(OR(ISNUMBER(SEARCH("FAIL",J96&amp;" "&amp;N96)),ISNUMBER(SEARCH("CLEAN RETEST REQUIRED",J96&amp;" "&amp;N96))),"Failed",IF(OR(ISNUMBER(SEARCH("NOT RUN",J96&amp;" "&amp;N96)),ISNUMBER(SEARCH("NOT IMPLEMENTED",J96&amp;" "&amp;N96))),"Not started",IF(OR(ISNUMBER(SEARCH("PARTIAL",J96&amp;" "&amp;N96)),ISNUMBER(SEARCH("PENDING",J96&amp;" "&amp;N96)),ISNUMBER(SEARCH("IN PROGRESS",J96&amp;" "&amp;N96)),ISNUMBER(SEARCH("OPEN",J96&amp;" "&amp;N96)),ISNUMBER(SEARCH("RETEST REQUIRED",J96&amp;" "&amp;N96)),ISNUMBER(SEARCH("IMPLEMENTATION UPDATED",J96&amp;" "&amp;N96)),ISNUMBER(SEARCH("REQUIRED EVERY SESSION",J96&amp;" "&amp;N96))),"Pending",IF(OR(N96="PASS",ISNUMBER(SEARCH("PASS",J96&amp;" "&amp;N96))),"Done","Pending"))))</f>
        <v>Done</v>
      </c>
      <c r="R96" s="146" t="str">
        <f>IF(OR(LEFT(A96,9)="OPERATOR-",LEFT(A96,8)="PAYMENT-",LEFT(A96,7)="DEPLOY-"),"External","Core")</f>
        <v>Core</v>
      </c>
    </row>
    <row r="97" customFormat="false" ht="105" hidden="false" customHeight="true" outlineLevel="0" collapsed="false">
      <c r="A97" s="135" t="s">
        <v>884</v>
      </c>
      <c r="B97" s="135" t="s">
        <v>885</v>
      </c>
      <c r="C97" s="135" t="s">
        <v>886</v>
      </c>
      <c r="D97" s="135" t="s">
        <v>887</v>
      </c>
      <c r="E97" s="135" t="s">
        <v>888</v>
      </c>
      <c r="F97" s="135" t="s">
        <v>889</v>
      </c>
      <c r="G97" s="135" t="s">
        <v>4</v>
      </c>
      <c r="H97" s="135" t="s">
        <v>4</v>
      </c>
      <c r="I97" s="135" t="s">
        <v>890</v>
      </c>
      <c r="J97" s="135" t="s">
        <v>486</v>
      </c>
      <c r="K97" s="135" t="s">
        <v>591</v>
      </c>
      <c r="L97" s="135" t="s">
        <v>891</v>
      </c>
      <c r="M97" s="135" t="s">
        <v>892</v>
      </c>
      <c r="N97" s="135" t="s">
        <v>51</v>
      </c>
      <c r="O97" s="135" t="s">
        <v>893</v>
      </c>
      <c r="P97" s="135" t="s">
        <v>433</v>
      </c>
      <c r="Q97" s="146" t="str">
        <f>IF(OR(ISNUMBER(SEARCH("FAIL",J97&amp;" "&amp;N97)),ISNUMBER(SEARCH("CLEAN RETEST REQUIRED",J97&amp;" "&amp;N97))),"Failed",IF(OR(ISNUMBER(SEARCH("NOT RUN",J97&amp;" "&amp;N97)),ISNUMBER(SEARCH("NOT IMPLEMENTED",J97&amp;" "&amp;N97))),"Not started",IF(OR(ISNUMBER(SEARCH("PARTIAL",J97&amp;" "&amp;N97)),ISNUMBER(SEARCH("PENDING",J97&amp;" "&amp;N97)),ISNUMBER(SEARCH("IN PROGRESS",J97&amp;" "&amp;N97)),ISNUMBER(SEARCH("OPEN",J97&amp;" "&amp;N97)),ISNUMBER(SEARCH("RETEST REQUIRED",J97&amp;" "&amp;N97)),ISNUMBER(SEARCH("IMPLEMENTATION UPDATED",J97&amp;" "&amp;N97)),ISNUMBER(SEARCH("REQUIRED EVERY SESSION",J97&amp;" "&amp;N97))),"Pending",IF(OR(N97="PASS",ISNUMBER(SEARCH("PASS",J97&amp;" "&amp;N97))),"Done","Pending"))))</f>
        <v>Done</v>
      </c>
      <c r="R97" s="146" t="str">
        <f>IF(OR(LEFT(A97,9)="OPERATOR-",LEFT(A97,8)="PAYMENT-",LEFT(A97,7)="DEPLOY-"),"External","Core")</f>
        <v>Core</v>
      </c>
    </row>
    <row r="98" customFormat="false" ht="75" hidden="false" customHeight="true" outlineLevel="0" collapsed="false">
      <c r="A98" s="136" t="s">
        <v>894</v>
      </c>
      <c r="B98" s="136" t="s">
        <v>885</v>
      </c>
      <c r="C98" s="136" t="s">
        <v>895</v>
      </c>
      <c r="D98" s="136" t="s">
        <v>896</v>
      </c>
      <c r="E98" s="136" t="s">
        <v>4</v>
      </c>
      <c r="F98" s="136" t="s">
        <v>897</v>
      </c>
      <c r="G98" s="136" t="s">
        <v>4</v>
      </c>
      <c r="H98" s="136" t="s">
        <v>4</v>
      </c>
      <c r="I98" s="136" t="s">
        <v>898</v>
      </c>
      <c r="J98" s="136" t="s">
        <v>899</v>
      </c>
      <c r="K98" s="136" t="s">
        <v>900</v>
      </c>
      <c r="L98" s="136" t="s">
        <v>901</v>
      </c>
      <c r="M98" s="136" t="s">
        <v>902</v>
      </c>
      <c r="N98" s="136" t="s">
        <v>1</v>
      </c>
      <c r="O98" s="136" t="s">
        <v>903</v>
      </c>
      <c r="P98" s="136" t="s">
        <v>433</v>
      </c>
      <c r="Q98" s="146" t="str">
        <f>IF(OR(ISNUMBER(SEARCH("FAIL",J98&amp;" "&amp;N98)),ISNUMBER(SEARCH("CLEAN RETEST REQUIRED",J98&amp;" "&amp;N98))),"Failed",IF(OR(ISNUMBER(SEARCH("NOT RUN",J98&amp;" "&amp;N98)),ISNUMBER(SEARCH("NOT IMPLEMENTED",J98&amp;" "&amp;N98))),"Not started",IF(OR(ISNUMBER(SEARCH("PARTIAL",J98&amp;" "&amp;N98)),ISNUMBER(SEARCH("PENDING",J98&amp;" "&amp;N98)),ISNUMBER(SEARCH("IN PROGRESS",J98&amp;" "&amp;N98)),ISNUMBER(SEARCH("OPEN",J98&amp;" "&amp;N98)),ISNUMBER(SEARCH("RETEST REQUIRED",J98&amp;" "&amp;N98)),ISNUMBER(SEARCH("IMPLEMENTATION UPDATED",J98&amp;" "&amp;N98)),ISNUMBER(SEARCH("REQUIRED EVERY SESSION",J98&amp;" "&amp;N98))),"Pending",IF(OR(N98="PASS",ISNUMBER(SEARCH("PASS",J98&amp;" "&amp;N98))),"Done","Pending"))))</f>
        <v>Pending</v>
      </c>
      <c r="R98" s="146" t="str">
        <f>IF(OR(LEFT(A98,9)="OPERATOR-",LEFT(A98,8)="PAYMENT-",LEFT(A98,7)="DEPLOY-"),"External","Core")</f>
        <v>Core</v>
      </c>
    </row>
    <row r="99" customFormat="false" ht="15" hidden="false" customHeight="false" outlineLevel="0" collapsed="false">
      <c r="A99" s="135" t="s">
        <v>904</v>
      </c>
      <c r="B99" s="135" t="s">
        <v>447</v>
      </c>
      <c r="C99" s="135" t="s">
        <v>905</v>
      </c>
      <c r="D99" s="135" t="s">
        <v>906</v>
      </c>
      <c r="E99" s="135" t="s">
        <v>907</v>
      </c>
      <c r="F99" s="135" t="s">
        <v>908</v>
      </c>
      <c r="G99" s="135" t="s">
        <v>777</v>
      </c>
      <c r="H99" s="135" t="s">
        <v>909</v>
      </c>
      <c r="I99" s="135" t="s">
        <v>910</v>
      </c>
      <c r="J99" s="135" t="s">
        <v>47</v>
      </c>
      <c r="K99" s="135" t="s">
        <v>900</v>
      </c>
      <c r="L99" s="135" t="s">
        <v>911</v>
      </c>
      <c r="M99" s="135" t="s">
        <v>912</v>
      </c>
      <c r="N99" s="135" t="s">
        <v>51</v>
      </c>
      <c r="O99" s="135" t="s">
        <v>913</v>
      </c>
      <c r="P99" s="135" t="s">
        <v>147</v>
      </c>
      <c r="Q99" s="146" t="str">
        <f>IF(OR(ISNUMBER(SEARCH("FAIL",J99&amp;" "&amp;N99)),ISNUMBER(SEARCH("CLEAN RETEST REQUIRED",J99&amp;" "&amp;N99))),"Failed",IF(OR(ISNUMBER(SEARCH("NOT RUN",J99&amp;" "&amp;N99)),ISNUMBER(SEARCH("NOT IMPLEMENTED",J99&amp;" "&amp;N99))),"Not started",IF(OR(ISNUMBER(SEARCH("PARTIAL",J99&amp;" "&amp;N99)),ISNUMBER(SEARCH("PENDING",J99&amp;" "&amp;N99)),ISNUMBER(SEARCH("IN PROGRESS",J99&amp;" "&amp;N99)),ISNUMBER(SEARCH("OPEN",J99&amp;" "&amp;N99)),ISNUMBER(SEARCH("RETEST REQUIRED",J99&amp;" "&amp;N99)),ISNUMBER(SEARCH("IMPLEMENTATION UPDATED",J99&amp;" "&amp;N99)),ISNUMBER(SEARCH("REQUIRED EVERY SESSION",J99&amp;" "&amp;N99))),"Pending",IF(OR(N99="PASS",ISNUMBER(SEARCH("PASS",J99&amp;" "&amp;N99))),"Done","Pending"))))</f>
        <v>Done</v>
      </c>
      <c r="R99" s="146" t="str">
        <f>IF(OR(LEFT(A99,9)="OPERATOR-",LEFT(A99,8)="PAYMENT-",LEFT(A99,7)="DEPLOY-"),"External","Core")</f>
        <v>Core</v>
      </c>
    </row>
    <row r="100" customFormat="false" ht="15" hidden="false" customHeight="false" outlineLevel="0" collapsed="false">
      <c r="A100" s="135" t="s">
        <v>914</v>
      </c>
      <c r="B100" s="135" t="s">
        <v>447</v>
      </c>
      <c r="C100" s="135" t="s">
        <v>905</v>
      </c>
      <c r="D100" s="135" t="s">
        <v>915</v>
      </c>
      <c r="E100" s="135" t="s">
        <v>506</v>
      </c>
      <c r="F100" s="135" t="s">
        <v>916</v>
      </c>
      <c r="G100" s="135" t="s">
        <v>917</v>
      </c>
      <c r="H100" s="135" t="s">
        <v>918</v>
      </c>
      <c r="I100" s="135" t="s">
        <v>919</v>
      </c>
      <c r="J100" s="135" t="s">
        <v>486</v>
      </c>
      <c r="K100" s="135" t="s">
        <v>900</v>
      </c>
      <c r="L100" s="135" t="s">
        <v>920</v>
      </c>
      <c r="M100" s="135" t="s">
        <v>921</v>
      </c>
      <c r="N100" s="135" t="s">
        <v>51</v>
      </c>
      <c r="O100" s="135" t="s">
        <v>922</v>
      </c>
      <c r="P100" s="135" t="s">
        <v>227</v>
      </c>
      <c r="Q100" s="146" t="str">
        <f>IF(OR(ISNUMBER(SEARCH("FAIL",J100&amp;" "&amp;N100)),ISNUMBER(SEARCH("CLEAN RETEST REQUIRED",J100&amp;" "&amp;N100))),"Failed",IF(OR(ISNUMBER(SEARCH("NOT RUN",J100&amp;" "&amp;N100)),ISNUMBER(SEARCH("NOT IMPLEMENTED",J100&amp;" "&amp;N100))),"Not started",IF(OR(ISNUMBER(SEARCH("PARTIAL",J100&amp;" "&amp;N100)),ISNUMBER(SEARCH("PENDING",J100&amp;" "&amp;N100)),ISNUMBER(SEARCH("IN PROGRESS",J100&amp;" "&amp;N100)),ISNUMBER(SEARCH("OPEN",J100&amp;" "&amp;N100)),ISNUMBER(SEARCH("RETEST REQUIRED",J100&amp;" "&amp;N100)),ISNUMBER(SEARCH("IMPLEMENTATION UPDATED",J100&amp;" "&amp;N100)),ISNUMBER(SEARCH("REQUIRED EVERY SESSION",J100&amp;" "&amp;N100))),"Pending",IF(OR(N100="PASS",ISNUMBER(SEARCH("PASS",J100&amp;" "&amp;N100))),"Done","Pending"))))</f>
        <v>Done</v>
      </c>
      <c r="R100" s="146" t="str">
        <f>IF(OR(LEFT(A100,9)="OPERATOR-",LEFT(A100,8)="PAYMENT-",LEFT(A100,7)="DEPLOY-"),"External","Core")</f>
        <v>Core</v>
      </c>
    </row>
    <row r="101" customFormat="false" ht="15" hidden="false" customHeight="false" outlineLevel="0" collapsed="false">
      <c r="A101" s="146" t="s">
        <v>923</v>
      </c>
      <c r="B101" s="146" t="s">
        <v>447</v>
      </c>
      <c r="C101" s="146" t="s">
        <v>905</v>
      </c>
      <c r="D101" s="146" t="s">
        <v>924</v>
      </c>
      <c r="E101" s="146" t="s">
        <v>925</v>
      </c>
      <c r="F101" s="146" t="s">
        <v>926</v>
      </c>
      <c r="G101" s="146" t="s">
        <v>927</v>
      </c>
      <c r="H101" s="146" t="s">
        <v>928</v>
      </c>
      <c r="I101" s="146" t="s">
        <v>929</v>
      </c>
      <c r="J101" s="146" t="s">
        <v>930</v>
      </c>
      <c r="K101" s="146" t="s">
        <v>900</v>
      </c>
      <c r="L101" s="146" t="s">
        <v>931</v>
      </c>
      <c r="M101" s="146" t="s">
        <v>932</v>
      </c>
      <c r="N101" s="146" t="s">
        <v>1</v>
      </c>
      <c r="O101" s="146" t="s">
        <v>933</v>
      </c>
      <c r="P101" s="146" t="s">
        <v>392</v>
      </c>
      <c r="Q101" s="146" t="str">
        <f>IF(OR(ISNUMBER(SEARCH("FAIL",J101&amp;" "&amp;N101)),ISNUMBER(SEARCH("CLEAN RETEST REQUIRED",J101&amp;" "&amp;N101))),"Failed",IF(OR(ISNUMBER(SEARCH("NOT RUN",J101&amp;" "&amp;N101)),ISNUMBER(SEARCH("NOT IMPLEMENTED",J101&amp;" "&amp;N101))),"Not started",IF(OR(ISNUMBER(SEARCH("PARTIAL",J101&amp;" "&amp;N101)),ISNUMBER(SEARCH("PENDING",J101&amp;" "&amp;N101)),ISNUMBER(SEARCH("IN PROGRESS",J101&amp;" "&amp;N101)),ISNUMBER(SEARCH("OPEN",J101&amp;" "&amp;N101)),ISNUMBER(SEARCH("RETEST REQUIRED",J101&amp;" "&amp;N101)),ISNUMBER(SEARCH("IMPLEMENTATION UPDATED",J101&amp;" "&amp;N101)),ISNUMBER(SEARCH("REQUIRED EVERY SESSION",J101&amp;" "&amp;N101))),"Pending",IF(OR(N101="PASS",ISNUMBER(SEARCH("PASS",J101&amp;" "&amp;N101))),"Done","Pending"))))</f>
        <v>Pending</v>
      </c>
      <c r="R101" s="146" t="str">
        <f>IF(OR(LEFT(A101,9)="OPERATOR-",LEFT(A101,8)="PAYMENT-",LEFT(A101,7)="DEPLOY-"),"External","Core")</f>
        <v>Core</v>
      </c>
    </row>
    <row r="102" customFormat="false" ht="15" hidden="false" customHeight="false" outlineLevel="0" collapsed="false">
      <c r="A102" s="138" t="s">
        <v>934</v>
      </c>
      <c r="B102" s="138" t="s">
        <v>447</v>
      </c>
      <c r="C102" s="138" t="s">
        <v>935</v>
      </c>
      <c r="D102" s="138" t="s">
        <v>936</v>
      </c>
      <c r="E102" s="138" t="s">
        <v>937</v>
      </c>
      <c r="F102" s="138" t="s">
        <v>938</v>
      </c>
      <c r="G102" s="138" t="s">
        <v>4</v>
      </c>
      <c r="H102" s="138" t="s">
        <v>619</v>
      </c>
      <c r="I102" s="138" t="s">
        <v>939</v>
      </c>
      <c r="J102" s="138" t="s">
        <v>58</v>
      </c>
      <c r="K102" s="138" t="s">
        <v>1</v>
      </c>
      <c r="L102" s="138" t="s">
        <v>940</v>
      </c>
      <c r="M102" s="138" t="s">
        <v>941</v>
      </c>
      <c r="N102" s="138" t="s">
        <v>1</v>
      </c>
      <c r="O102" s="138" t="s">
        <v>942</v>
      </c>
      <c r="P102" s="138" t="s">
        <v>147</v>
      </c>
      <c r="Q102" s="146" t="str">
        <f>IF(OR(ISNUMBER(SEARCH("FAIL",J102&amp;" "&amp;N102)),ISNUMBER(SEARCH("CLEAN RETEST REQUIRED",J102&amp;" "&amp;N102))),"Failed",IF(OR(ISNUMBER(SEARCH("NOT RUN",J102&amp;" "&amp;N102)),ISNUMBER(SEARCH("NOT IMPLEMENTED",J102&amp;" "&amp;N102))),"Not started",IF(OR(ISNUMBER(SEARCH("PARTIAL",J102&amp;" "&amp;N102)),ISNUMBER(SEARCH("PENDING",J102&amp;" "&amp;N102)),ISNUMBER(SEARCH("IN PROGRESS",J102&amp;" "&amp;N102)),ISNUMBER(SEARCH("OPEN",J102&amp;" "&amp;N102)),ISNUMBER(SEARCH("RETEST REQUIRED",J102&amp;" "&amp;N102)),ISNUMBER(SEARCH("IMPLEMENTATION UPDATED",J102&amp;" "&amp;N102)),ISNUMBER(SEARCH("REQUIRED EVERY SESSION",J102&amp;" "&amp;N102))),"Pending",IF(OR(N102="PASS",ISNUMBER(SEARCH("PASS",J102&amp;" "&amp;N102))),"Done","Pending"))))</f>
        <v>Not started</v>
      </c>
      <c r="R102" s="146" t="str">
        <f>IF(OR(LEFT(A102,9)="OPERATOR-",LEFT(A102,8)="PAYMENT-",LEFT(A102,7)="DEPLOY-"),"External","Core")</f>
        <v>Core</v>
      </c>
    </row>
    <row r="103" customFormat="false" ht="15" hidden="false" customHeight="false" outlineLevel="0" collapsed="false">
      <c r="A103" s="138" t="s">
        <v>943</v>
      </c>
      <c r="B103" s="138" t="s">
        <v>447</v>
      </c>
      <c r="C103" s="138" t="s">
        <v>935</v>
      </c>
      <c r="D103" s="138" t="s">
        <v>944</v>
      </c>
      <c r="E103" s="138" t="s">
        <v>937</v>
      </c>
      <c r="F103" s="138" t="s">
        <v>945</v>
      </c>
      <c r="G103" s="138" t="s">
        <v>4</v>
      </c>
      <c r="H103" s="138" t="s">
        <v>946</v>
      </c>
      <c r="I103" s="138" t="s">
        <v>947</v>
      </c>
      <c r="J103" s="138" t="s">
        <v>58</v>
      </c>
      <c r="K103" s="138" t="s">
        <v>1</v>
      </c>
      <c r="L103" s="138" t="s">
        <v>948</v>
      </c>
      <c r="M103" s="138" t="s">
        <v>949</v>
      </c>
      <c r="N103" s="138" t="s">
        <v>1</v>
      </c>
      <c r="O103" s="138" t="s">
        <v>950</v>
      </c>
      <c r="P103" s="138" t="s">
        <v>170</v>
      </c>
      <c r="Q103" s="146" t="str">
        <f>IF(OR(ISNUMBER(SEARCH("FAIL",J103&amp;" "&amp;N103)),ISNUMBER(SEARCH("CLEAN RETEST REQUIRED",J103&amp;" "&amp;N103))),"Failed",IF(OR(ISNUMBER(SEARCH("NOT RUN",J103&amp;" "&amp;N103)),ISNUMBER(SEARCH("NOT IMPLEMENTED",J103&amp;" "&amp;N103))),"Not started",IF(OR(ISNUMBER(SEARCH("PARTIAL",J103&amp;" "&amp;N103)),ISNUMBER(SEARCH("PENDING",J103&amp;" "&amp;N103)),ISNUMBER(SEARCH("IN PROGRESS",J103&amp;" "&amp;N103)),ISNUMBER(SEARCH("OPEN",J103&amp;" "&amp;N103)),ISNUMBER(SEARCH("RETEST REQUIRED",J103&amp;" "&amp;N103)),ISNUMBER(SEARCH("IMPLEMENTATION UPDATED",J103&amp;" "&amp;N103)),ISNUMBER(SEARCH("REQUIRED EVERY SESSION",J103&amp;" "&amp;N103))),"Pending",IF(OR(N103="PASS",ISNUMBER(SEARCH("PASS",J103&amp;" "&amp;N103))),"Done","Pending"))))</f>
        <v>Not started</v>
      </c>
      <c r="R103" s="146" t="str">
        <f>IF(OR(LEFT(A103,9)="OPERATOR-",LEFT(A103,8)="PAYMENT-",LEFT(A103,7)="DEPLOY-"),"External","Core")</f>
        <v>Core</v>
      </c>
    </row>
    <row r="104" customFormat="false" ht="15" hidden="false" customHeight="false" outlineLevel="0" collapsed="false">
      <c r="A104" s="138" t="s">
        <v>951</v>
      </c>
      <c r="B104" s="138" t="s">
        <v>447</v>
      </c>
      <c r="C104" s="138" t="s">
        <v>952</v>
      </c>
      <c r="D104" s="138" t="s">
        <v>953</v>
      </c>
      <c r="E104" s="138" t="s">
        <v>954</v>
      </c>
      <c r="F104" s="138" t="s">
        <v>955</v>
      </c>
      <c r="G104" s="138" t="s">
        <v>4</v>
      </c>
      <c r="H104" s="138" t="s">
        <v>956</v>
      </c>
      <c r="I104" s="138" t="s">
        <v>957</v>
      </c>
      <c r="J104" s="138" t="s">
        <v>58</v>
      </c>
      <c r="K104" s="138" t="s">
        <v>1</v>
      </c>
      <c r="L104" s="138" t="s">
        <v>958</v>
      </c>
      <c r="M104" s="138" t="s">
        <v>959</v>
      </c>
      <c r="N104" s="138" t="s">
        <v>1</v>
      </c>
      <c r="O104" s="138" t="s">
        <v>960</v>
      </c>
      <c r="P104" s="138" t="s">
        <v>170</v>
      </c>
      <c r="Q104" s="146" t="str">
        <f>IF(OR(ISNUMBER(SEARCH("FAIL",J104&amp;" "&amp;N104)),ISNUMBER(SEARCH("CLEAN RETEST REQUIRED",J104&amp;" "&amp;N104))),"Failed",IF(OR(ISNUMBER(SEARCH("NOT RUN",J104&amp;" "&amp;N104)),ISNUMBER(SEARCH("NOT IMPLEMENTED",J104&amp;" "&amp;N104))),"Not started",IF(OR(ISNUMBER(SEARCH("PARTIAL",J104&amp;" "&amp;N104)),ISNUMBER(SEARCH("PENDING",J104&amp;" "&amp;N104)),ISNUMBER(SEARCH("IN PROGRESS",J104&amp;" "&amp;N104)),ISNUMBER(SEARCH("OPEN",J104&amp;" "&amp;N104)),ISNUMBER(SEARCH("RETEST REQUIRED",J104&amp;" "&amp;N104)),ISNUMBER(SEARCH("IMPLEMENTATION UPDATED",J104&amp;" "&amp;N104)),ISNUMBER(SEARCH("REQUIRED EVERY SESSION",J104&amp;" "&amp;N104))),"Pending",IF(OR(N104="PASS",ISNUMBER(SEARCH("PASS",J104&amp;" "&amp;N104))),"Done","Pending"))))</f>
        <v>Not started</v>
      </c>
      <c r="R104" s="146" t="str">
        <f>IF(OR(LEFT(A104,9)="OPERATOR-",LEFT(A104,8)="PAYMENT-",LEFT(A104,7)="DEPLOY-"),"External","Core")</f>
        <v>Core</v>
      </c>
    </row>
    <row r="105" customFormat="false" ht="15" hidden="false" customHeight="false" outlineLevel="0" collapsed="false">
      <c r="A105" s="243" t="s">
        <v>961</v>
      </c>
      <c r="B105" s="243" t="s">
        <v>447</v>
      </c>
      <c r="C105" s="243" t="s">
        <v>962</v>
      </c>
      <c r="D105" s="243" t="s">
        <v>963</v>
      </c>
      <c r="E105" s="243" t="s">
        <v>4</v>
      </c>
      <c r="F105" s="243" t="s">
        <v>964</v>
      </c>
      <c r="G105" s="243" t="s">
        <v>4</v>
      </c>
      <c r="H105" s="243" t="s">
        <v>965</v>
      </c>
      <c r="I105" s="243" t="s">
        <v>966</v>
      </c>
      <c r="J105" s="243" t="s">
        <v>58</v>
      </c>
      <c r="K105" s="243" t="s">
        <v>1</v>
      </c>
      <c r="L105" s="243" t="s">
        <v>967</v>
      </c>
      <c r="M105" s="243" t="s">
        <v>968</v>
      </c>
      <c r="N105" s="243" t="s">
        <v>1</v>
      </c>
      <c r="O105" s="243" t="s">
        <v>969</v>
      </c>
      <c r="P105" s="243" t="s">
        <v>433</v>
      </c>
      <c r="Q105" s="146" t="str">
        <f>IF(OR(ISNUMBER(SEARCH("FAIL",J105&amp;" "&amp;N105)),ISNUMBER(SEARCH("CLEAN RETEST REQUIRED",J105&amp;" "&amp;N105))),"Failed",IF(OR(ISNUMBER(SEARCH("NOT RUN",J105&amp;" "&amp;N105)),ISNUMBER(SEARCH("NOT IMPLEMENTED",J105&amp;" "&amp;N105))),"Not started",IF(OR(ISNUMBER(SEARCH("PARTIAL",J105&amp;" "&amp;N105)),ISNUMBER(SEARCH("PENDING",J105&amp;" "&amp;N105)),ISNUMBER(SEARCH("IN PROGRESS",J105&amp;" "&amp;N105)),ISNUMBER(SEARCH("OPEN",J105&amp;" "&amp;N105)),ISNUMBER(SEARCH("RETEST REQUIRED",J105&amp;" "&amp;N105)),ISNUMBER(SEARCH("IMPLEMENTATION UPDATED",J105&amp;" "&amp;N105)),ISNUMBER(SEARCH("REQUIRED EVERY SESSION",J105&amp;" "&amp;N105))),"Pending",IF(OR(N105="PASS",ISNUMBER(SEARCH("PASS",J105&amp;" "&amp;N105))),"Done","Pending"))))</f>
        <v>Not started</v>
      </c>
      <c r="R105" s="146" t="str">
        <f>IF(OR(LEFT(A105,9)="OPERATOR-",LEFT(A105,8)="PAYMENT-",LEFT(A105,7)="DEPLOY-"),"External","Core")</f>
        <v>External</v>
      </c>
    </row>
    <row r="106" customFormat="false" ht="15" hidden="false" customHeight="false" outlineLevel="0" collapsed="false">
      <c r="A106" s="243" t="s">
        <v>970</v>
      </c>
      <c r="B106" s="243" t="s">
        <v>885</v>
      </c>
      <c r="C106" s="243" t="s">
        <v>971</v>
      </c>
      <c r="D106" s="243" t="s">
        <v>972</v>
      </c>
      <c r="E106" s="243" t="s">
        <v>4</v>
      </c>
      <c r="F106" s="243" t="s">
        <v>973</v>
      </c>
      <c r="G106" s="243" t="s">
        <v>4</v>
      </c>
      <c r="H106" s="243" t="s">
        <v>974</v>
      </c>
      <c r="I106" s="243" t="s">
        <v>975</v>
      </c>
      <c r="J106" s="243" t="s">
        <v>976</v>
      </c>
      <c r="K106" s="243" t="s">
        <v>1</v>
      </c>
      <c r="L106" s="243" t="s">
        <v>977</v>
      </c>
      <c r="M106" s="243" t="s">
        <v>978</v>
      </c>
      <c r="N106" s="243" t="s">
        <v>1</v>
      </c>
      <c r="O106" s="243" t="s">
        <v>979</v>
      </c>
      <c r="P106" s="243" t="s">
        <v>433</v>
      </c>
      <c r="Q106" s="146" t="str">
        <f>IF(OR(ISNUMBER(SEARCH("FAIL",J106&amp;" "&amp;N106)),ISNUMBER(SEARCH("CLEAN RETEST REQUIRED",J106&amp;" "&amp;N106))),"Failed",IF(OR(ISNUMBER(SEARCH("NOT RUN",J106&amp;" "&amp;N106)),ISNUMBER(SEARCH("NOT IMPLEMENTED",J106&amp;" "&amp;N106))),"Not started",IF(OR(ISNUMBER(SEARCH("PARTIAL",J106&amp;" "&amp;N106)),ISNUMBER(SEARCH("PENDING",J106&amp;" "&amp;N106)),ISNUMBER(SEARCH("IN PROGRESS",J106&amp;" "&amp;N106)),ISNUMBER(SEARCH("OPEN",J106&amp;" "&amp;N106)),ISNUMBER(SEARCH("RETEST REQUIRED",J106&amp;" "&amp;N106)),ISNUMBER(SEARCH("IMPLEMENTATION UPDATED",J106&amp;" "&amp;N106)),ISNUMBER(SEARCH("REQUIRED EVERY SESSION",J106&amp;" "&amp;N106))),"Pending",IF(OR(N106="PASS",ISNUMBER(SEARCH("PASS",J106&amp;" "&amp;N106))),"Done","Pending"))))</f>
        <v>Not started</v>
      </c>
      <c r="R106" s="146" t="str">
        <f>IF(OR(LEFT(A106,9)="OPERATOR-",LEFT(A106,8)="PAYMENT-",LEFT(A106,7)="DEPLOY-"),"External","Core")</f>
        <v>External</v>
      </c>
    </row>
    <row r="107" customFormat="false" ht="15" hidden="false" customHeight="false" outlineLevel="0" collapsed="false">
      <c r="A107" s="243" t="s">
        <v>980</v>
      </c>
      <c r="B107" s="243" t="s">
        <v>885</v>
      </c>
      <c r="C107" s="243" t="s">
        <v>981</v>
      </c>
      <c r="D107" s="243" t="s">
        <v>982</v>
      </c>
      <c r="E107" s="243" t="s">
        <v>4</v>
      </c>
      <c r="F107" s="243" t="s">
        <v>983</v>
      </c>
      <c r="G107" s="243" t="s">
        <v>4</v>
      </c>
      <c r="H107" s="243" t="s">
        <v>4</v>
      </c>
      <c r="I107" s="243" t="s">
        <v>984</v>
      </c>
      <c r="J107" s="243" t="s">
        <v>976</v>
      </c>
      <c r="K107" s="243" t="s">
        <v>1</v>
      </c>
      <c r="L107" s="243" t="s">
        <v>985</v>
      </c>
      <c r="M107" s="243" t="s">
        <v>986</v>
      </c>
      <c r="N107" s="243" t="s">
        <v>1</v>
      </c>
      <c r="O107" s="243" t="s">
        <v>987</v>
      </c>
      <c r="P107" s="243" t="s">
        <v>433</v>
      </c>
      <c r="Q107" s="146" t="str">
        <f>IF(OR(ISNUMBER(SEARCH("FAIL",J107&amp;" "&amp;N107)),ISNUMBER(SEARCH("CLEAN RETEST REQUIRED",J107&amp;" "&amp;N107))),"Failed",IF(OR(ISNUMBER(SEARCH("NOT RUN",J107&amp;" "&amp;N107)),ISNUMBER(SEARCH("NOT IMPLEMENTED",J107&amp;" "&amp;N107))),"Not started",IF(OR(ISNUMBER(SEARCH("PARTIAL",J107&amp;" "&amp;N107)),ISNUMBER(SEARCH("PENDING",J107&amp;" "&amp;N107)),ISNUMBER(SEARCH("IN PROGRESS",J107&amp;" "&amp;N107)),ISNUMBER(SEARCH("OPEN",J107&amp;" "&amp;N107)),ISNUMBER(SEARCH("RETEST REQUIRED",J107&amp;" "&amp;N107)),ISNUMBER(SEARCH("IMPLEMENTATION UPDATED",J107&amp;" "&amp;N107)),ISNUMBER(SEARCH("REQUIRED EVERY SESSION",J107&amp;" "&amp;N107))),"Pending",IF(OR(N107="PASS",ISNUMBER(SEARCH("PASS",J107&amp;" "&amp;N107))),"Done","Pending"))))</f>
        <v>Not started</v>
      </c>
      <c r="R107" s="146" t="str">
        <f>IF(OR(LEFT(A107,9)="OPERATOR-",LEFT(A107,8)="PAYMENT-",LEFT(A107,7)="DEPLOY-"),"External","Core")</f>
        <v>External</v>
      </c>
    </row>
    <row r="108" customFormat="false" ht="15" hidden="false" customHeight="false" outlineLevel="0" collapsed="false">
      <c r="A108" s="138" t="s">
        <v>988</v>
      </c>
      <c r="B108" s="138" t="s">
        <v>447</v>
      </c>
      <c r="C108" s="138" t="s">
        <v>989</v>
      </c>
      <c r="D108" s="138" t="s">
        <v>990</v>
      </c>
      <c r="E108" s="138" t="s">
        <v>991</v>
      </c>
      <c r="F108" s="138" t="s">
        <v>992</v>
      </c>
      <c r="G108" s="138" t="s">
        <v>777</v>
      </c>
      <c r="H108" s="138" t="s">
        <v>993</v>
      </c>
      <c r="I108" s="138" t="s">
        <v>994</v>
      </c>
      <c r="J108" s="138" t="s">
        <v>58</v>
      </c>
      <c r="K108" s="138" t="s">
        <v>1</v>
      </c>
      <c r="L108" s="138" t="s">
        <v>995</v>
      </c>
      <c r="M108" s="138" t="s">
        <v>996</v>
      </c>
      <c r="N108" s="138" t="s">
        <v>1</v>
      </c>
      <c r="O108" s="138" t="s">
        <v>997</v>
      </c>
      <c r="P108" s="138" t="s">
        <v>170</v>
      </c>
      <c r="Q108" s="146" t="str">
        <f>IF(OR(ISNUMBER(SEARCH("FAIL",J108&amp;" "&amp;N108)),ISNUMBER(SEARCH("CLEAN RETEST REQUIRED",J108&amp;" "&amp;N108))),"Failed",IF(OR(ISNUMBER(SEARCH("NOT RUN",J108&amp;" "&amp;N108)),ISNUMBER(SEARCH("NOT IMPLEMENTED",J108&amp;" "&amp;N108))),"Not started",IF(OR(ISNUMBER(SEARCH("PARTIAL",J108&amp;" "&amp;N108)),ISNUMBER(SEARCH("PENDING",J108&amp;" "&amp;N108)),ISNUMBER(SEARCH("IN PROGRESS",J108&amp;" "&amp;N108)),ISNUMBER(SEARCH("OPEN",J108&amp;" "&amp;N108)),ISNUMBER(SEARCH("RETEST REQUIRED",J108&amp;" "&amp;N108)),ISNUMBER(SEARCH("IMPLEMENTATION UPDATED",J108&amp;" "&amp;N108)),ISNUMBER(SEARCH("REQUIRED EVERY SESSION",J108&amp;" "&amp;N108))),"Pending",IF(OR(N108="PASS",ISNUMBER(SEARCH("PASS",J108&amp;" "&amp;N108))),"Done","Pending"))))</f>
        <v>Not started</v>
      </c>
      <c r="R108" s="146" t="str">
        <f>IF(OR(LEFT(A108,9)="OPERATOR-",LEFT(A108,8)="PAYMENT-",LEFT(A108,7)="DEPLOY-"),"External","Core")</f>
        <v>Core</v>
      </c>
    </row>
    <row r="109" customFormat="false" ht="15" hidden="false" customHeight="false" outlineLevel="0" collapsed="false">
      <c r="A109" s="138" t="s">
        <v>998</v>
      </c>
      <c r="B109" s="138" t="s">
        <v>447</v>
      </c>
      <c r="C109" s="138" t="s">
        <v>999</v>
      </c>
      <c r="D109" s="138" t="s">
        <v>1000</v>
      </c>
      <c r="E109" s="138" t="s">
        <v>4</v>
      </c>
      <c r="F109" s="138" t="s">
        <v>4</v>
      </c>
      <c r="G109" s="138" t="s">
        <v>4</v>
      </c>
      <c r="H109" s="138" t="s">
        <v>4</v>
      </c>
      <c r="I109" s="138" t="s">
        <v>1001</v>
      </c>
      <c r="J109" s="138" t="s">
        <v>58</v>
      </c>
      <c r="K109" s="138" t="s">
        <v>1</v>
      </c>
      <c r="L109" s="138" t="s">
        <v>1002</v>
      </c>
      <c r="M109" s="138" t="s">
        <v>1003</v>
      </c>
      <c r="N109" s="138" t="s">
        <v>1</v>
      </c>
      <c r="O109" s="138" t="s">
        <v>1004</v>
      </c>
      <c r="P109" s="138" t="s">
        <v>227</v>
      </c>
      <c r="Q109" s="146" t="str">
        <f>IF(OR(ISNUMBER(SEARCH("FAIL",J109&amp;" "&amp;N109)),ISNUMBER(SEARCH("CLEAN RETEST REQUIRED",J109&amp;" "&amp;N109))),"Failed",IF(OR(ISNUMBER(SEARCH("NOT RUN",J109&amp;" "&amp;N109)),ISNUMBER(SEARCH("NOT IMPLEMENTED",J109&amp;" "&amp;N109))),"Not started",IF(OR(ISNUMBER(SEARCH("PARTIAL",J109&amp;" "&amp;N109)),ISNUMBER(SEARCH("PENDING",J109&amp;" "&amp;N109)),ISNUMBER(SEARCH("IN PROGRESS",J109&amp;" "&amp;N109)),ISNUMBER(SEARCH("OPEN",J109&amp;" "&amp;N109)),ISNUMBER(SEARCH("RETEST REQUIRED",J109&amp;" "&amp;N109)),ISNUMBER(SEARCH("IMPLEMENTATION UPDATED",J109&amp;" "&amp;N109)),ISNUMBER(SEARCH("REQUIRED EVERY SESSION",J109&amp;" "&amp;N109))),"Pending",IF(OR(N109="PASS",ISNUMBER(SEARCH("PASS",J109&amp;" "&amp;N109))),"Done","Pending"))))</f>
        <v>Not started</v>
      </c>
      <c r="R109" s="146" t="str">
        <f>IF(OR(LEFT(A109,9)="OPERATOR-",LEFT(A109,8)="PAYMENT-",LEFT(A109,7)="DEPLOY-"),"External","Core")</f>
        <v>Core</v>
      </c>
    </row>
    <row r="110" customFormat="false" ht="15" hidden="false" customHeight="false" outlineLevel="0" collapsed="false">
      <c r="A110" s="138" t="s">
        <v>1005</v>
      </c>
      <c r="B110" s="138" t="s">
        <v>447</v>
      </c>
      <c r="C110" s="138" t="s">
        <v>1006</v>
      </c>
      <c r="D110" s="138" t="s">
        <v>1007</v>
      </c>
      <c r="E110" s="138" t="s">
        <v>1008</v>
      </c>
      <c r="F110" s="138" t="s">
        <v>1009</v>
      </c>
      <c r="G110" s="138" t="s">
        <v>452</v>
      </c>
      <c r="H110" s="138" t="s">
        <v>1010</v>
      </c>
      <c r="I110" s="138" t="s">
        <v>1011</v>
      </c>
      <c r="J110" s="138" t="s">
        <v>58</v>
      </c>
      <c r="K110" s="138" t="s">
        <v>1</v>
      </c>
      <c r="L110" s="138" t="s">
        <v>1012</v>
      </c>
      <c r="M110" s="138" t="s">
        <v>1013</v>
      </c>
      <c r="N110" s="138" t="s">
        <v>1</v>
      </c>
      <c r="O110" s="138" t="s">
        <v>1014</v>
      </c>
      <c r="P110" s="138" t="s">
        <v>392</v>
      </c>
      <c r="Q110" s="146" t="str">
        <f>IF(OR(ISNUMBER(SEARCH("FAIL",J110&amp;" "&amp;N110)),ISNUMBER(SEARCH("CLEAN RETEST REQUIRED",J110&amp;" "&amp;N110))),"Failed",IF(OR(ISNUMBER(SEARCH("NOT RUN",J110&amp;" "&amp;N110)),ISNUMBER(SEARCH("NOT IMPLEMENTED",J110&amp;" "&amp;N110))),"Not started",IF(OR(ISNUMBER(SEARCH("PARTIAL",J110&amp;" "&amp;N110)),ISNUMBER(SEARCH("PENDING",J110&amp;" "&amp;N110)),ISNUMBER(SEARCH("IN PROGRESS",J110&amp;" "&amp;N110)),ISNUMBER(SEARCH("OPEN",J110&amp;" "&amp;N110)),ISNUMBER(SEARCH("RETEST REQUIRED",J110&amp;" "&amp;N110)),ISNUMBER(SEARCH("IMPLEMENTATION UPDATED",J110&amp;" "&amp;N110)),ISNUMBER(SEARCH("REQUIRED EVERY SESSION",J110&amp;" "&amp;N110))),"Pending",IF(OR(N110="PASS",ISNUMBER(SEARCH("PASS",J110&amp;" "&amp;N110))),"Done","Pending"))))</f>
        <v>Not started</v>
      </c>
      <c r="R110" s="146" t="str">
        <f>IF(OR(LEFT(A110,9)="OPERATOR-",LEFT(A110,8)="PAYMENT-",LEFT(A110,7)="DEPLOY-"),"External","Core")</f>
        <v>Core</v>
      </c>
    </row>
    <row r="111" customFormat="false" ht="15" hidden="false" customHeight="false" outlineLevel="0" collapsed="false">
      <c r="A111" s="138" t="s">
        <v>1015</v>
      </c>
      <c r="B111" s="138" t="s">
        <v>447</v>
      </c>
      <c r="C111" s="138" t="s">
        <v>1016</v>
      </c>
      <c r="D111" s="138" t="s">
        <v>1017</v>
      </c>
      <c r="E111" s="138" t="s">
        <v>1018</v>
      </c>
      <c r="F111" s="138" t="s">
        <v>1019</v>
      </c>
      <c r="G111" s="138" t="s">
        <v>452</v>
      </c>
      <c r="H111" s="138" t="s">
        <v>1020</v>
      </c>
      <c r="I111" s="138" t="s">
        <v>1021</v>
      </c>
      <c r="J111" s="138" t="s">
        <v>58</v>
      </c>
      <c r="K111" s="138" t="s">
        <v>1</v>
      </c>
      <c r="L111" s="138" t="s">
        <v>1022</v>
      </c>
      <c r="M111" s="138" t="s">
        <v>1023</v>
      </c>
      <c r="N111" s="138" t="s">
        <v>1</v>
      </c>
      <c r="O111" s="138" t="s">
        <v>1024</v>
      </c>
      <c r="P111" s="138" t="s">
        <v>392</v>
      </c>
      <c r="Q111" s="146" t="str">
        <f>IF(OR(ISNUMBER(SEARCH("FAIL",J111&amp;" "&amp;N111)),ISNUMBER(SEARCH("CLEAN RETEST REQUIRED",J111&amp;" "&amp;N111))),"Failed",IF(OR(ISNUMBER(SEARCH("NOT RUN",J111&amp;" "&amp;N111)),ISNUMBER(SEARCH("NOT IMPLEMENTED",J111&amp;" "&amp;N111))),"Not started",IF(OR(ISNUMBER(SEARCH("PARTIAL",J111&amp;" "&amp;N111)),ISNUMBER(SEARCH("PENDING",J111&amp;" "&amp;N111)),ISNUMBER(SEARCH("IN PROGRESS",J111&amp;" "&amp;N111)),ISNUMBER(SEARCH("OPEN",J111&amp;" "&amp;N111)),ISNUMBER(SEARCH("RETEST REQUIRED",J111&amp;" "&amp;N111)),ISNUMBER(SEARCH("IMPLEMENTATION UPDATED",J111&amp;" "&amp;N111)),ISNUMBER(SEARCH("REQUIRED EVERY SESSION",J111&amp;" "&amp;N111))),"Pending",IF(OR(N111="PASS",ISNUMBER(SEARCH("PASS",J111&amp;" "&amp;N111))),"Done","Pending"))))</f>
        <v>Not started</v>
      </c>
      <c r="R111" s="146" t="str">
        <f>IF(OR(LEFT(A111,9)="OPERATOR-",LEFT(A111,8)="PAYMENT-",LEFT(A111,7)="DEPLOY-"),"External","Core")</f>
        <v>Core</v>
      </c>
    </row>
    <row r="112" customFormat="false" ht="15" hidden="false" customHeight="false" outlineLevel="0" collapsed="false">
      <c r="A112" s="135" t="s">
        <v>1025</v>
      </c>
      <c r="B112" s="135" t="s">
        <v>1026</v>
      </c>
      <c r="C112" s="135" t="s">
        <v>448</v>
      </c>
      <c r="D112" s="135" t="s">
        <v>1027</v>
      </c>
      <c r="E112" s="135" t="s">
        <v>4</v>
      </c>
      <c r="F112" s="135" t="s">
        <v>4</v>
      </c>
      <c r="G112" s="135" t="s">
        <v>4</v>
      </c>
      <c r="H112" s="135" t="s">
        <v>4</v>
      </c>
      <c r="I112" s="135" t="s">
        <v>1028</v>
      </c>
      <c r="J112" s="135" t="s">
        <v>1029</v>
      </c>
      <c r="K112" s="135" t="s">
        <v>92</v>
      </c>
      <c r="L112" s="135" t="s">
        <v>1030</v>
      </c>
      <c r="M112" s="135" t="s">
        <v>1031</v>
      </c>
      <c r="N112" s="135" t="s">
        <v>51</v>
      </c>
      <c r="O112" s="135" t="s">
        <v>1032</v>
      </c>
      <c r="P112" s="135" t="s">
        <v>227</v>
      </c>
      <c r="Q112" s="146" t="str">
        <f>IF(OR(ISNUMBER(SEARCH("FAIL",J112&amp;" "&amp;N112)),ISNUMBER(SEARCH("CLEAN RETEST REQUIRED",J112&amp;" "&amp;N112))),"Failed",IF(OR(ISNUMBER(SEARCH("NOT RUN",J112&amp;" "&amp;N112)),ISNUMBER(SEARCH("NOT IMPLEMENTED",J112&amp;" "&amp;N112))),"Not started",IF(OR(ISNUMBER(SEARCH("PARTIAL",J112&amp;" "&amp;N112)),ISNUMBER(SEARCH("PENDING",J112&amp;" "&amp;N112)),ISNUMBER(SEARCH("IN PROGRESS",J112&amp;" "&amp;N112)),ISNUMBER(SEARCH("OPEN",J112&amp;" "&amp;N112)),ISNUMBER(SEARCH("RETEST REQUIRED",J112&amp;" "&amp;N112)),ISNUMBER(SEARCH("IMPLEMENTATION UPDATED",J112&amp;" "&amp;N112)),ISNUMBER(SEARCH("REQUIRED EVERY SESSION",J112&amp;" "&amp;N112))),"Pending",IF(OR(N112="PASS",ISNUMBER(SEARCH("PASS",J112&amp;" "&amp;N112))),"Done","Pending"))))</f>
        <v>Done</v>
      </c>
      <c r="R112" s="146" t="str">
        <f>IF(OR(LEFT(A112,9)="OPERATOR-",LEFT(A112,8)="PAYMENT-",LEFT(A112,7)="DEPLOY-"),"External","Core")</f>
        <v>Core</v>
      </c>
    </row>
    <row r="113" customFormat="false" ht="15" hidden="false" customHeight="false" outlineLevel="0" collapsed="false">
      <c r="A113" s="135" t="s">
        <v>1033</v>
      </c>
      <c r="B113" s="135" t="s">
        <v>447</v>
      </c>
      <c r="C113" s="135" t="s">
        <v>1034</v>
      </c>
      <c r="D113" s="135" t="s">
        <v>1035</v>
      </c>
      <c r="E113" s="135" t="s">
        <v>4</v>
      </c>
      <c r="F113" s="135" t="s">
        <v>4</v>
      </c>
      <c r="G113" s="135" t="s">
        <v>4</v>
      </c>
      <c r="H113" s="135" t="s">
        <v>4</v>
      </c>
      <c r="I113" s="135" t="s">
        <v>1036</v>
      </c>
      <c r="J113" s="135" t="s">
        <v>47</v>
      </c>
      <c r="K113" s="135" t="s">
        <v>92</v>
      </c>
      <c r="L113" s="135" t="s">
        <v>1037</v>
      </c>
      <c r="M113" s="135" t="s">
        <v>1038</v>
      </c>
      <c r="N113" s="135" t="s">
        <v>51</v>
      </c>
      <c r="O113" s="135" t="s">
        <v>1039</v>
      </c>
      <c r="P113" s="135" t="s">
        <v>170</v>
      </c>
      <c r="Q113" s="146" t="str">
        <f>IF(OR(ISNUMBER(SEARCH("FAIL",J113&amp;" "&amp;N113)),ISNUMBER(SEARCH("CLEAN RETEST REQUIRED",J113&amp;" "&amp;N113))),"Failed",IF(OR(ISNUMBER(SEARCH("NOT RUN",J113&amp;" "&amp;N113)),ISNUMBER(SEARCH("NOT IMPLEMENTED",J113&amp;" "&amp;N113))),"Not started",IF(OR(ISNUMBER(SEARCH("PARTIAL",J113&amp;" "&amp;N113)),ISNUMBER(SEARCH("PENDING",J113&amp;" "&amp;N113)),ISNUMBER(SEARCH("IN PROGRESS",J113&amp;" "&amp;N113)),ISNUMBER(SEARCH("OPEN",J113&amp;" "&amp;N113)),ISNUMBER(SEARCH("RETEST REQUIRED",J113&amp;" "&amp;N113)),ISNUMBER(SEARCH("IMPLEMENTATION UPDATED",J113&amp;" "&amp;N113)),ISNUMBER(SEARCH("REQUIRED EVERY SESSION",J113&amp;" "&amp;N113))),"Pending",IF(OR(N113="PASS",ISNUMBER(SEARCH("PASS",J113&amp;" "&amp;N113))),"Done","Pending"))))</f>
        <v>Done</v>
      </c>
      <c r="R113" s="146" t="str">
        <f>IF(OR(LEFT(A113,9)="OPERATOR-",LEFT(A113,8)="PAYMENT-",LEFT(A113,7)="DEPLOY-"),"External","Core")</f>
        <v>Core</v>
      </c>
    </row>
    <row r="114" customFormat="false" ht="15" hidden="false" customHeight="false" outlineLevel="0" collapsed="false">
      <c r="A114" s="135" t="s">
        <v>1040</v>
      </c>
      <c r="B114" s="135" t="s">
        <v>447</v>
      </c>
      <c r="C114" s="135" t="s">
        <v>1041</v>
      </c>
      <c r="D114" s="135" t="s">
        <v>1042</v>
      </c>
      <c r="E114" s="135" t="s">
        <v>4</v>
      </c>
      <c r="F114" s="135" t="s">
        <v>4</v>
      </c>
      <c r="G114" s="135" t="s">
        <v>4</v>
      </c>
      <c r="H114" s="135" t="s">
        <v>4</v>
      </c>
      <c r="I114" s="135" t="s">
        <v>1043</v>
      </c>
      <c r="J114" s="135" t="s">
        <v>47</v>
      </c>
      <c r="K114" s="135" t="s">
        <v>92</v>
      </c>
      <c r="L114" s="135" t="s">
        <v>1044</v>
      </c>
      <c r="M114" s="135" t="s">
        <v>1045</v>
      </c>
      <c r="N114" s="135" t="s">
        <v>51</v>
      </c>
      <c r="O114" s="135" t="s">
        <v>1046</v>
      </c>
      <c r="P114" s="135" t="s">
        <v>157</v>
      </c>
      <c r="Q114" s="146" t="str">
        <f>IF(OR(ISNUMBER(SEARCH("FAIL",J114&amp;" "&amp;N114)),ISNUMBER(SEARCH("CLEAN RETEST REQUIRED",J114&amp;" "&amp;N114))),"Failed",IF(OR(ISNUMBER(SEARCH("NOT RUN",J114&amp;" "&amp;N114)),ISNUMBER(SEARCH("NOT IMPLEMENTED",J114&amp;" "&amp;N114))),"Not started",IF(OR(ISNUMBER(SEARCH("PARTIAL",J114&amp;" "&amp;N114)),ISNUMBER(SEARCH("PENDING",J114&amp;" "&amp;N114)),ISNUMBER(SEARCH("IN PROGRESS",J114&amp;" "&amp;N114)),ISNUMBER(SEARCH("OPEN",J114&amp;" "&amp;N114)),ISNUMBER(SEARCH("RETEST REQUIRED",J114&amp;" "&amp;N114)),ISNUMBER(SEARCH("IMPLEMENTATION UPDATED",J114&amp;" "&amp;N114)),ISNUMBER(SEARCH("REQUIRED EVERY SESSION",J114&amp;" "&amp;N114))),"Pending",IF(OR(N114="PASS",ISNUMBER(SEARCH("PASS",J114&amp;" "&amp;N114))),"Done","Pending"))))</f>
        <v>Done</v>
      </c>
      <c r="R114" s="146" t="str">
        <f>IF(OR(LEFT(A114,9)="OPERATOR-",LEFT(A114,8)="PAYMENT-",LEFT(A114,7)="DEPLOY-"),"External","Core")</f>
        <v>Core</v>
      </c>
    </row>
    <row r="115" customFormat="false" ht="15" hidden="false" customHeight="false" outlineLevel="0" collapsed="false">
      <c r="A115" s="136" t="s">
        <v>1047</v>
      </c>
      <c r="B115" s="136" t="s">
        <v>1048</v>
      </c>
      <c r="C115" s="136" t="s">
        <v>1049</v>
      </c>
      <c r="D115" s="136" t="s">
        <v>1050</v>
      </c>
      <c r="E115" s="136" t="s">
        <v>4</v>
      </c>
      <c r="F115" s="136" t="s">
        <v>4</v>
      </c>
      <c r="G115" s="136" t="s">
        <v>4</v>
      </c>
      <c r="H115" s="136" t="s">
        <v>4</v>
      </c>
      <c r="I115" s="136" t="s">
        <v>1051</v>
      </c>
      <c r="J115" s="136" t="s">
        <v>1052</v>
      </c>
      <c r="K115" s="136" t="s">
        <v>48</v>
      </c>
      <c r="L115" s="136" t="s">
        <v>1053</v>
      </c>
      <c r="M115" s="136" t="s">
        <v>1054</v>
      </c>
      <c r="N115" s="136" t="s">
        <v>1055</v>
      </c>
      <c r="O115" s="136" t="s">
        <v>1056</v>
      </c>
      <c r="P115" s="136" t="s">
        <v>243</v>
      </c>
      <c r="Q115" s="146" t="str">
        <f>IF(OR(ISNUMBER(SEARCH("FAIL",J115&amp;" "&amp;N115)),ISNUMBER(SEARCH("CLEAN RETEST REQUIRED",J115&amp;" "&amp;N115))),"Failed",IF(OR(ISNUMBER(SEARCH("NOT RUN",J115&amp;" "&amp;N115)),ISNUMBER(SEARCH("NOT IMPLEMENTED",J115&amp;" "&amp;N115))),"Not started",IF(OR(ISNUMBER(SEARCH("PARTIAL",J115&amp;" "&amp;N115)),ISNUMBER(SEARCH("PENDING",J115&amp;" "&amp;N115)),ISNUMBER(SEARCH("IN PROGRESS",J115&amp;" "&amp;N115)),ISNUMBER(SEARCH("OPEN",J115&amp;" "&amp;N115)),ISNUMBER(SEARCH("RETEST REQUIRED",J115&amp;" "&amp;N115)),ISNUMBER(SEARCH("IMPLEMENTATION UPDATED",J115&amp;" "&amp;N115)),ISNUMBER(SEARCH("REQUIRED EVERY SESSION",J115&amp;" "&amp;N115))),"Pending",IF(OR(N115="PASS",ISNUMBER(SEARCH("PASS",J115&amp;" "&amp;N115))),"Done","Pending"))))</f>
        <v>Pending</v>
      </c>
      <c r="R115" s="146" t="str">
        <f>IF(OR(LEFT(A115,9)="OPERATOR-",LEFT(A115,8)="PAYMENT-",LEFT(A115,7)="DEPLOY-"),"External","Core")</f>
        <v>Core</v>
      </c>
    </row>
    <row r="116" customFormat="false" ht="15" hidden="false" customHeight="false" outlineLevel="0" collapsed="false">
      <c r="A116" s="243" t="s">
        <v>1057</v>
      </c>
      <c r="B116" s="243" t="s">
        <v>1058</v>
      </c>
      <c r="C116" s="243" t="s">
        <v>1059</v>
      </c>
      <c r="D116" s="243" t="s">
        <v>1060</v>
      </c>
      <c r="E116" s="243" t="s">
        <v>4</v>
      </c>
      <c r="F116" s="243" t="s">
        <v>1061</v>
      </c>
      <c r="G116" s="243" t="s">
        <v>4</v>
      </c>
      <c r="H116" s="243" t="s">
        <v>4</v>
      </c>
      <c r="I116" s="243" t="s">
        <v>1062</v>
      </c>
      <c r="J116" s="243" t="s">
        <v>1063</v>
      </c>
      <c r="K116" s="243" t="s">
        <v>1</v>
      </c>
      <c r="L116" s="243" t="s">
        <v>1064</v>
      </c>
      <c r="M116" s="243" t="s">
        <v>1065</v>
      </c>
      <c r="N116" s="243" t="s">
        <v>1</v>
      </c>
      <c r="O116" s="243" t="s">
        <v>1066</v>
      </c>
      <c r="P116" s="243" t="s">
        <v>433</v>
      </c>
      <c r="Q116" s="146" t="str">
        <f>IF(OR(ISNUMBER(SEARCH("FAIL",J116&amp;" "&amp;N116)),ISNUMBER(SEARCH("CLEAN RETEST REQUIRED",J116&amp;" "&amp;N116))),"Failed",IF(OR(ISNUMBER(SEARCH("NOT RUN",J116&amp;" "&amp;N116)),ISNUMBER(SEARCH("NOT IMPLEMENTED",J116&amp;" "&amp;N116))),"Not started",IF(OR(ISNUMBER(SEARCH("PARTIAL",J116&amp;" "&amp;N116)),ISNUMBER(SEARCH("PENDING",J116&amp;" "&amp;N116)),ISNUMBER(SEARCH("IN PROGRESS",J116&amp;" "&amp;N116)),ISNUMBER(SEARCH("OPEN",J116&amp;" "&amp;N116)),ISNUMBER(SEARCH("RETEST REQUIRED",J116&amp;" "&amp;N116)),ISNUMBER(SEARCH("IMPLEMENTATION UPDATED",J116&amp;" "&amp;N116)),ISNUMBER(SEARCH("REQUIRED EVERY SESSION",J116&amp;" "&amp;N116))),"Pending",IF(OR(N116="PASS",ISNUMBER(SEARCH("PASS",J116&amp;" "&amp;N116))),"Done","Pending"))))</f>
        <v>Not started</v>
      </c>
      <c r="R116" s="146" t="str">
        <f>IF(OR(LEFT(A116,9)="OPERATOR-",LEFT(A116,8)="PAYMENT-",LEFT(A116,7)="DEPLOY-"),"External","Core")</f>
        <v>External</v>
      </c>
    </row>
    <row r="117" customFormat="false" ht="15" hidden="false" customHeight="false" outlineLevel="0" collapsed="false">
      <c r="A117" s="243" t="s">
        <v>1067</v>
      </c>
      <c r="B117" s="243" t="s">
        <v>1058</v>
      </c>
      <c r="C117" s="243" t="s">
        <v>1059</v>
      </c>
      <c r="D117" s="243" t="s">
        <v>1068</v>
      </c>
      <c r="E117" s="243" t="s">
        <v>1069</v>
      </c>
      <c r="F117" s="243" t="s">
        <v>1070</v>
      </c>
      <c r="G117" s="243" t="s">
        <v>4</v>
      </c>
      <c r="H117" s="243" t="s">
        <v>1071</v>
      </c>
      <c r="I117" s="243" t="s">
        <v>1072</v>
      </c>
      <c r="J117" s="243" t="s">
        <v>1063</v>
      </c>
      <c r="K117" s="243" t="s">
        <v>1</v>
      </c>
      <c r="L117" s="243" t="s">
        <v>1073</v>
      </c>
      <c r="M117" s="243" t="s">
        <v>1074</v>
      </c>
      <c r="N117" s="243" t="s">
        <v>1</v>
      </c>
      <c r="O117" s="243" t="s">
        <v>1075</v>
      </c>
      <c r="P117" s="243" t="s">
        <v>433</v>
      </c>
      <c r="Q117" s="146" t="str">
        <f>IF(OR(ISNUMBER(SEARCH("FAIL",J117&amp;" "&amp;N117)),ISNUMBER(SEARCH("CLEAN RETEST REQUIRED",J117&amp;" "&amp;N117))),"Failed",IF(OR(ISNUMBER(SEARCH("NOT RUN",J117&amp;" "&amp;N117)),ISNUMBER(SEARCH("NOT IMPLEMENTED",J117&amp;" "&amp;N117))),"Not started",IF(OR(ISNUMBER(SEARCH("PARTIAL",J117&amp;" "&amp;N117)),ISNUMBER(SEARCH("PENDING",J117&amp;" "&amp;N117)),ISNUMBER(SEARCH("IN PROGRESS",J117&amp;" "&amp;N117)),ISNUMBER(SEARCH("OPEN",J117&amp;" "&amp;N117)),ISNUMBER(SEARCH("RETEST REQUIRED",J117&amp;" "&amp;N117)),ISNUMBER(SEARCH("IMPLEMENTATION UPDATED",J117&amp;" "&amp;N117)),ISNUMBER(SEARCH("REQUIRED EVERY SESSION",J117&amp;" "&amp;N117))),"Pending",IF(OR(N117="PASS",ISNUMBER(SEARCH("PASS",J117&amp;" "&amp;N117))),"Done","Pending"))))</f>
        <v>Not started</v>
      </c>
      <c r="R117" s="146" t="str">
        <f>IF(OR(LEFT(A117,9)="OPERATOR-",LEFT(A117,8)="PAYMENT-",LEFT(A117,7)="DEPLOY-"),"External","Core")</f>
        <v>External</v>
      </c>
    </row>
    <row r="118" customFormat="false" ht="15" hidden="false" customHeight="false" outlineLevel="0" collapsed="false">
      <c r="A118" s="243" t="s">
        <v>1076</v>
      </c>
      <c r="B118" s="243" t="s">
        <v>1058</v>
      </c>
      <c r="C118" s="243" t="s">
        <v>1077</v>
      </c>
      <c r="D118" s="243" t="s">
        <v>1078</v>
      </c>
      <c r="E118" s="243" t="s">
        <v>4</v>
      </c>
      <c r="F118" s="243" t="s">
        <v>1079</v>
      </c>
      <c r="G118" s="243" t="s">
        <v>4</v>
      </c>
      <c r="H118" s="243" t="s">
        <v>4</v>
      </c>
      <c r="I118" s="243" t="s">
        <v>1080</v>
      </c>
      <c r="J118" s="243" t="s">
        <v>1063</v>
      </c>
      <c r="K118" s="243" t="s">
        <v>1</v>
      </c>
      <c r="L118" s="243" t="s">
        <v>1081</v>
      </c>
      <c r="M118" s="243" t="s">
        <v>1082</v>
      </c>
      <c r="N118" s="243" t="s">
        <v>1</v>
      </c>
      <c r="O118" s="243" t="s">
        <v>1083</v>
      </c>
      <c r="P118" s="243" t="s">
        <v>433</v>
      </c>
      <c r="Q118" s="146" t="str">
        <f>IF(OR(ISNUMBER(SEARCH("FAIL",J118&amp;" "&amp;N118)),ISNUMBER(SEARCH("CLEAN RETEST REQUIRED",J118&amp;" "&amp;N118))),"Failed",IF(OR(ISNUMBER(SEARCH("NOT RUN",J118&amp;" "&amp;N118)),ISNUMBER(SEARCH("NOT IMPLEMENTED",J118&amp;" "&amp;N118))),"Not started",IF(OR(ISNUMBER(SEARCH("PARTIAL",J118&amp;" "&amp;N118)),ISNUMBER(SEARCH("PENDING",J118&amp;" "&amp;N118)),ISNUMBER(SEARCH("IN PROGRESS",J118&amp;" "&amp;N118)),ISNUMBER(SEARCH("OPEN",J118&amp;" "&amp;N118)),ISNUMBER(SEARCH("RETEST REQUIRED",J118&amp;" "&amp;N118)),ISNUMBER(SEARCH("IMPLEMENTATION UPDATED",J118&amp;" "&amp;N118)),ISNUMBER(SEARCH("REQUIRED EVERY SESSION",J118&amp;" "&amp;N118))),"Pending",IF(OR(N118="PASS",ISNUMBER(SEARCH("PASS",J118&amp;" "&amp;N118))),"Done","Pending"))))</f>
        <v>Not started</v>
      </c>
      <c r="R118" s="146" t="str">
        <f>IF(OR(LEFT(A118,9)="OPERATOR-",LEFT(A118,8)="PAYMENT-",LEFT(A118,7)="DEPLOY-"),"External","Core")</f>
        <v>External</v>
      </c>
    </row>
    <row r="119" customFormat="false" ht="15" hidden="false" customHeight="false" outlineLevel="0" collapsed="false">
      <c r="A119" s="243" t="s">
        <v>1084</v>
      </c>
      <c r="B119" s="243" t="s">
        <v>1058</v>
      </c>
      <c r="C119" s="243" t="s">
        <v>1085</v>
      </c>
      <c r="D119" s="243" t="s">
        <v>1086</v>
      </c>
      <c r="E119" s="243" t="s">
        <v>4</v>
      </c>
      <c r="F119" s="243" t="s">
        <v>1087</v>
      </c>
      <c r="G119" s="243" t="s">
        <v>4</v>
      </c>
      <c r="H119" s="243" t="s">
        <v>1088</v>
      </c>
      <c r="I119" s="243" t="s">
        <v>1089</v>
      </c>
      <c r="J119" s="243" t="s">
        <v>1063</v>
      </c>
      <c r="K119" s="243" t="s">
        <v>1</v>
      </c>
      <c r="L119" s="243" t="s">
        <v>1090</v>
      </c>
      <c r="M119" s="243" t="s">
        <v>1091</v>
      </c>
      <c r="N119" s="243" t="s">
        <v>1</v>
      </c>
      <c r="O119" s="243" t="s">
        <v>1092</v>
      </c>
      <c r="P119" s="243" t="s">
        <v>433</v>
      </c>
      <c r="Q119" s="146" t="str">
        <f>IF(OR(ISNUMBER(SEARCH("FAIL",J119&amp;" "&amp;N119)),ISNUMBER(SEARCH("CLEAN RETEST REQUIRED",J119&amp;" "&amp;N119))),"Failed",IF(OR(ISNUMBER(SEARCH("NOT RUN",J119&amp;" "&amp;N119)),ISNUMBER(SEARCH("NOT IMPLEMENTED",J119&amp;" "&amp;N119))),"Not started",IF(OR(ISNUMBER(SEARCH("PARTIAL",J119&amp;" "&amp;N119)),ISNUMBER(SEARCH("PENDING",J119&amp;" "&amp;N119)),ISNUMBER(SEARCH("IN PROGRESS",J119&amp;" "&amp;N119)),ISNUMBER(SEARCH("OPEN",J119&amp;" "&amp;N119)),ISNUMBER(SEARCH("RETEST REQUIRED",J119&amp;" "&amp;N119)),ISNUMBER(SEARCH("IMPLEMENTATION UPDATED",J119&amp;" "&amp;N119)),ISNUMBER(SEARCH("REQUIRED EVERY SESSION",J119&amp;" "&amp;N119))),"Pending",IF(OR(N119="PASS",ISNUMBER(SEARCH("PASS",J119&amp;" "&amp;N119))),"Done","Pending"))))</f>
        <v>Not started</v>
      </c>
      <c r="R119" s="146" t="str">
        <f>IF(OR(LEFT(A119,9)="OPERATOR-",LEFT(A119,8)="PAYMENT-",LEFT(A119,7)="DEPLOY-"),"External","Core")</f>
        <v>External</v>
      </c>
    </row>
    <row r="120" customFormat="false" ht="15" hidden="false" customHeight="false" outlineLevel="0" collapsed="false">
      <c r="A120" s="243" t="s">
        <v>1093</v>
      </c>
      <c r="B120" s="243" t="s">
        <v>1058</v>
      </c>
      <c r="C120" s="243" t="s">
        <v>1094</v>
      </c>
      <c r="D120" s="243" t="s">
        <v>1095</v>
      </c>
      <c r="E120" s="243" t="s">
        <v>4</v>
      </c>
      <c r="F120" s="243" t="s">
        <v>1096</v>
      </c>
      <c r="G120" s="243" t="s">
        <v>4</v>
      </c>
      <c r="H120" s="243" t="s">
        <v>1097</v>
      </c>
      <c r="I120" s="243" t="s">
        <v>1098</v>
      </c>
      <c r="J120" s="243" t="s">
        <v>1063</v>
      </c>
      <c r="K120" s="243" t="s">
        <v>1</v>
      </c>
      <c r="L120" s="243" t="s">
        <v>1099</v>
      </c>
      <c r="M120" s="243" t="s">
        <v>1100</v>
      </c>
      <c r="N120" s="243" t="s">
        <v>1</v>
      </c>
      <c r="O120" s="243" t="s">
        <v>1101</v>
      </c>
      <c r="P120" s="243" t="s">
        <v>433</v>
      </c>
      <c r="Q120" s="146" t="str">
        <f>IF(OR(ISNUMBER(SEARCH("FAIL",J120&amp;" "&amp;N120)),ISNUMBER(SEARCH("CLEAN RETEST REQUIRED",J120&amp;" "&amp;N120))),"Failed",IF(OR(ISNUMBER(SEARCH("NOT RUN",J120&amp;" "&amp;N120)),ISNUMBER(SEARCH("NOT IMPLEMENTED",J120&amp;" "&amp;N120))),"Not started",IF(OR(ISNUMBER(SEARCH("PARTIAL",J120&amp;" "&amp;N120)),ISNUMBER(SEARCH("PENDING",J120&amp;" "&amp;N120)),ISNUMBER(SEARCH("IN PROGRESS",J120&amp;" "&amp;N120)),ISNUMBER(SEARCH("OPEN",J120&amp;" "&amp;N120)),ISNUMBER(SEARCH("RETEST REQUIRED",J120&amp;" "&amp;N120)),ISNUMBER(SEARCH("IMPLEMENTATION UPDATED",J120&amp;" "&amp;N120)),ISNUMBER(SEARCH("REQUIRED EVERY SESSION",J120&amp;" "&amp;N120))),"Pending",IF(OR(N120="PASS",ISNUMBER(SEARCH("PASS",J120&amp;" "&amp;N120))),"Done","Pending"))))</f>
        <v>Not started</v>
      </c>
      <c r="R120" s="146" t="str">
        <f>IF(OR(LEFT(A120,9)="OPERATOR-",LEFT(A120,8)="PAYMENT-",LEFT(A120,7)="DEPLOY-"),"External","Core")</f>
        <v>External</v>
      </c>
    </row>
    <row r="121" customFormat="false" ht="15" hidden="false" customHeight="false" outlineLevel="0" collapsed="false">
      <c r="A121" s="243" t="s">
        <v>1102</v>
      </c>
      <c r="B121" s="243" t="s">
        <v>1058</v>
      </c>
      <c r="C121" s="243" t="s">
        <v>1059</v>
      </c>
      <c r="D121" s="243" t="s">
        <v>1103</v>
      </c>
      <c r="E121" s="243" t="s">
        <v>1069</v>
      </c>
      <c r="F121" s="243" t="s">
        <v>1104</v>
      </c>
      <c r="G121" s="243" t="s">
        <v>4</v>
      </c>
      <c r="H121" s="243" t="s">
        <v>1071</v>
      </c>
      <c r="I121" s="243" t="s">
        <v>1105</v>
      </c>
      <c r="J121" s="243" t="s">
        <v>1063</v>
      </c>
      <c r="K121" s="243" t="s">
        <v>1</v>
      </c>
      <c r="L121" s="243" t="s">
        <v>1106</v>
      </c>
      <c r="M121" s="243" t="s">
        <v>1107</v>
      </c>
      <c r="N121" s="243" t="s">
        <v>1</v>
      </c>
      <c r="O121" s="243" t="s">
        <v>1108</v>
      </c>
      <c r="P121" s="243" t="s">
        <v>433</v>
      </c>
      <c r="Q121" s="146" t="str">
        <f>IF(OR(ISNUMBER(SEARCH("FAIL",J121&amp;" "&amp;N121)),ISNUMBER(SEARCH("CLEAN RETEST REQUIRED",J121&amp;" "&amp;N121))),"Failed",IF(OR(ISNUMBER(SEARCH("NOT RUN",J121&amp;" "&amp;N121)),ISNUMBER(SEARCH("NOT IMPLEMENTED",J121&amp;" "&amp;N121))),"Not started",IF(OR(ISNUMBER(SEARCH("PARTIAL",J121&amp;" "&amp;N121)),ISNUMBER(SEARCH("PENDING",J121&amp;" "&amp;N121)),ISNUMBER(SEARCH("IN PROGRESS",J121&amp;" "&amp;N121)),ISNUMBER(SEARCH("OPEN",J121&amp;" "&amp;N121)),ISNUMBER(SEARCH("RETEST REQUIRED",J121&amp;" "&amp;N121)),ISNUMBER(SEARCH("IMPLEMENTATION UPDATED",J121&amp;" "&amp;N121)),ISNUMBER(SEARCH("REQUIRED EVERY SESSION",J121&amp;" "&amp;N121))),"Pending",IF(OR(N121="PASS",ISNUMBER(SEARCH("PASS",J121&amp;" "&amp;N121))),"Done","Pending"))))</f>
        <v>Not started</v>
      </c>
      <c r="R121" s="146" t="str">
        <f>IF(OR(LEFT(A121,9)="OPERATOR-",LEFT(A121,8)="PAYMENT-",LEFT(A121,7)="DEPLOY-"),"External","Core")</f>
        <v>External</v>
      </c>
    </row>
    <row r="122" customFormat="false" ht="15" hidden="false" customHeight="false" outlineLevel="0" collapsed="false">
      <c r="A122" s="243" t="s">
        <v>1109</v>
      </c>
      <c r="B122" s="243" t="s">
        <v>1058</v>
      </c>
      <c r="C122" s="243" t="s">
        <v>1110</v>
      </c>
      <c r="D122" s="243" t="s">
        <v>1111</v>
      </c>
      <c r="E122" s="243" t="s">
        <v>4</v>
      </c>
      <c r="F122" s="243" t="s">
        <v>1112</v>
      </c>
      <c r="G122" s="243" t="s">
        <v>4</v>
      </c>
      <c r="H122" s="243" t="s">
        <v>1113</v>
      </c>
      <c r="I122" s="243" t="s">
        <v>1114</v>
      </c>
      <c r="J122" s="243" t="s">
        <v>1063</v>
      </c>
      <c r="K122" s="243" t="s">
        <v>1</v>
      </c>
      <c r="L122" s="243" t="s">
        <v>1115</v>
      </c>
      <c r="M122" s="243" t="s">
        <v>1116</v>
      </c>
      <c r="N122" s="243" t="s">
        <v>1</v>
      </c>
      <c r="O122" s="243" t="s">
        <v>1117</v>
      </c>
      <c r="P122" s="243" t="s">
        <v>433</v>
      </c>
      <c r="Q122" s="146" t="str">
        <f>IF(OR(ISNUMBER(SEARCH("FAIL",J122&amp;" "&amp;N122)),ISNUMBER(SEARCH("CLEAN RETEST REQUIRED",J122&amp;" "&amp;N122))),"Failed",IF(OR(ISNUMBER(SEARCH("NOT RUN",J122&amp;" "&amp;N122)),ISNUMBER(SEARCH("NOT IMPLEMENTED",J122&amp;" "&amp;N122))),"Not started",IF(OR(ISNUMBER(SEARCH("PARTIAL",J122&amp;" "&amp;N122)),ISNUMBER(SEARCH("PENDING",J122&amp;" "&amp;N122)),ISNUMBER(SEARCH("IN PROGRESS",J122&amp;" "&amp;N122)),ISNUMBER(SEARCH("OPEN",J122&amp;" "&amp;N122)),ISNUMBER(SEARCH("RETEST REQUIRED",J122&amp;" "&amp;N122)),ISNUMBER(SEARCH("IMPLEMENTATION UPDATED",J122&amp;" "&amp;N122)),ISNUMBER(SEARCH("REQUIRED EVERY SESSION",J122&amp;" "&amp;N122))),"Pending",IF(OR(N122="PASS",ISNUMBER(SEARCH("PASS",J122&amp;" "&amp;N122))),"Done","Pending"))))</f>
        <v>Not started</v>
      </c>
      <c r="R122" s="146" t="str">
        <f>IF(OR(LEFT(A122,9)="OPERATOR-",LEFT(A122,8)="PAYMENT-",LEFT(A122,7)="DEPLOY-"),"External","Core")</f>
        <v>External</v>
      </c>
    </row>
    <row r="123" customFormat="false" ht="15" hidden="false" customHeight="false" outlineLevel="0" collapsed="false">
      <c r="A123" s="243" t="s">
        <v>1118</v>
      </c>
      <c r="B123" s="243" t="s">
        <v>1119</v>
      </c>
      <c r="C123" s="243" t="s">
        <v>1120</v>
      </c>
      <c r="D123" s="243" t="s">
        <v>1121</v>
      </c>
      <c r="E123" s="243" t="s">
        <v>1122</v>
      </c>
      <c r="F123" s="243" t="s">
        <v>1123</v>
      </c>
      <c r="G123" s="243" t="s">
        <v>4</v>
      </c>
      <c r="H123" s="243" t="s">
        <v>1124</v>
      </c>
      <c r="I123" s="243" t="s">
        <v>1125</v>
      </c>
      <c r="J123" s="243" t="s">
        <v>1063</v>
      </c>
      <c r="K123" s="243" t="s">
        <v>1</v>
      </c>
      <c r="L123" s="243" t="s">
        <v>1126</v>
      </c>
      <c r="M123" s="243" t="s">
        <v>1127</v>
      </c>
      <c r="N123" s="243" t="s">
        <v>1</v>
      </c>
      <c r="O123" s="243" t="s">
        <v>1128</v>
      </c>
      <c r="P123" s="243" t="s">
        <v>433</v>
      </c>
      <c r="Q123" s="146" t="str">
        <f>IF(OR(ISNUMBER(SEARCH("FAIL",J123&amp;" "&amp;N123)),ISNUMBER(SEARCH("CLEAN RETEST REQUIRED",J123&amp;" "&amp;N123))),"Failed",IF(OR(ISNUMBER(SEARCH("NOT RUN",J123&amp;" "&amp;N123)),ISNUMBER(SEARCH("NOT IMPLEMENTED",J123&amp;" "&amp;N123))),"Not started",IF(OR(ISNUMBER(SEARCH("PARTIAL",J123&amp;" "&amp;N123)),ISNUMBER(SEARCH("PENDING",J123&amp;" "&amp;N123)),ISNUMBER(SEARCH("IN PROGRESS",J123&amp;" "&amp;N123)),ISNUMBER(SEARCH("OPEN",J123&amp;" "&amp;N123)),ISNUMBER(SEARCH("RETEST REQUIRED",J123&amp;" "&amp;N123)),ISNUMBER(SEARCH("IMPLEMENTATION UPDATED",J123&amp;" "&amp;N123)),ISNUMBER(SEARCH("REQUIRED EVERY SESSION",J123&amp;" "&amp;N123))),"Pending",IF(OR(N123="PASS",ISNUMBER(SEARCH("PASS",J123&amp;" "&amp;N123))),"Done","Pending"))))</f>
        <v>Not started</v>
      </c>
      <c r="R123" s="146" t="str">
        <f>IF(OR(LEFT(A123,9)="OPERATOR-",LEFT(A123,8)="PAYMENT-",LEFT(A123,7)="DEPLOY-"),"External","Core")</f>
        <v>External</v>
      </c>
    </row>
    <row r="124" customFormat="false" ht="15" hidden="false" customHeight="false" outlineLevel="0" collapsed="false">
      <c r="A124" s="243" t="s">
        <v>1129</v>
      </c>
      <c r="B124" s="243" t="s">
        <v>1119</v>
      </c>
      <c r="C124" s="243" t="s">
        <v>1130</v>
      </c>
      <c r="D124" s="243" t="s">
        <v>1131</v>
      </c>
      <c r="E124" s="243" t="s">
        <v>4</v>
      </c>
      <c r="F124" s="243" t="s">
        <v>1132</v>
      </c>
      <c r="G124" s="243" t="s">
        <v>4</v>
      </c>
      <c r="H124" s="243" t="s">
        <v>1133</v>
      </c>
      <c r="I124" s="243" t="s">
        <v>1134</v>
      </c>
      <c r="J124" s="243" t="s">
        <v>1063</v>
      </c>
      <c r="K124" s="243" t="s">
        <v>1</v>
      </c>
      <c r="L124" s="243" t="s">
        <v>1135</v>
      </c>
      <c r="M124" s="243" t="s">
        <v>1136</v>
      </c>
      <c r="N124" s="243" t="s">
        <v>1</v>
      </c>
      <c r="O124" s="243" t="s">
        <v>1137</v>
      </c>
      <c r="P124" s="243" t="s">
        <v>433</v>
      </c>
      <c r="Q124" s="146" t="str">
        <f>IF(OR(ISNUMBER(SEARCH("FAIL",J124&amp;" "&amp;N124)),ISNUMBER(SEARCH("CLEAN RETEST REQUIRED",J124&amp;" "&amp;N124))),"Failed",IF(OR(ISNUMBER(SEARCH("NOT RUN",J124&amp;" "&amp;N124)),ISNUMBER(SEARCH("NOT IMPLEMENTED",J124&amp;" "&amp;N124))),"Not started",IF(OR(ISNUMBER(SEARCH("PARTIAL",J124&amp;" "&amp;N124)),ISNUMBER(SEARCH("PENDING",J124&amp;" "&amp;N124)),ISNUMBER(SEARCH("IN PROGRESS",J124&amp;" "&amp;N124)),ISNUMBER(SEARCH("OPEN",J124&amp;" "&amp;N124)),ISNUMBER(SEARCH("RETEST REQUIRED",J124&amp;" "&amp;N124)),ISNUMBER(SEARCH("IMPLEMENTATION UPDATED",J124&amp;" "&amp;N124)),ISNUMBER(SEARCH("REQUIRED EVERY SESSION",J124&amp;" "&amp;N124))),"Pending",IF(OR(N124="PASS",ISNUMBER(SEARCH("PASS",J124&amp;" "&amp;N124))),"Done","Pending"))))</f>
        <v>Not started</v>
      </c>
      <c r="R124" s="146" t="str">
        <f>IF(OR(LEFT(A124,9)="OPERATOR-",LEFT(A124,8)="PAYMENT-",LEFT(A124,7)="DEPLOY-"),"External","Core")</f>
        <v>External</v>
      </c>
    </row>
    <row r="125" customFormat="false" ht="15" hidden="false" customHeight="false" outlineLevel="0" collapsed="false">
      <c r="A125" s="243" t="s">
        <v>1138</v>
      </c>
      <c r="B125" s="243" t="s">
        <v>1119</v>
      </c>
      <c r="C125" s="243" t="s">
        <v>1130</v>
      </c>
      <c r="D125" s="243" t="s">
        <v>1139</v>
      </c>
      <c r="E125" s="243" t="s">
        <v>4</v>
      </c>
      <c r="F125" s="243" t="s">
        <v>1140</v>
      </c>
      <c r="G125" s="243" t="s">
        <v>4</v>
      </c>
      <c r="H125" s="243" t="s">
        <v>1141</v>
      </c>
      <c r="I125" s="243" t="s">
        <v>1142</v>
      </c>
      <c r="J125" s="243" t="s">
        <v>1063</v>
      </c>
      <c r="K125" s="243" t="s">
        <v>1</v>
      </c>
      <c r="L125" s="243" t="s">
        <v>1143</v>
      </c>
      <c r="M125" s="243" t="s">
        <v>1144</v>
      </c>
      <c r="N125" s="243" t="s">
        <v>1</v>
      </c>
      <c r="O125" s="243" t="s">
        <v>1145</v>
      </c>
      <c r="P125" s="243" t="s">
        <v>433</v>
      </c>
      <c r="Q125" s="146" t="str">
        <f>IF(OR(ISNUMBER(SEARCH("FAIL",J125&amp;" "&amp;N125)),ISNUMBER(SEARCH("CLEAN RETEST REQUIRED",J125&amp;" "&amp;N125))),"Failed",IF(OR(ISNUMBER(SEARCH("NOT RUN",J125&amp;" "&amp;N125)),ISNUMBER(SEARCH("NOT IMPLEMENTED",J125&amp;" "&amp;N125))),"Not started",IF(OR(ISNUMBER(SEARCH("PARTIAL",J125&amp;" "&amp;N125)),ISNUMBER(SEARCH("PENDING",J125&amp;" "&amp;N125)),ISNUMBER(SEARCH("IN PROGRESS",J125&amp;" "&amp;N125)),ISNUMBER(SEARCH("OPEN",J125&amp;" "&amp;N125)),ISNUMBER(SEARCH("RETEST REQUIRED",J125&amp;" "&amp;N125)),ISNUMBER(SEARCH("IMPLEMENTATION UPDATED",J125&amp;" "&amp;N125)),ISNUMBER(SEARCH("REQUIRED EVERY SESSION",J125&amp;" "&amp;N125))),"Pending",IF(OR(N125="PASS",ISNUMBER(SEARCH("PASS",J125&amp;" "&amp;N125))),"Done","Pending"))))</f>
        <v>Not started</v>
      </c>
      <c r="R125" s="146" t="str">
        <f>IF(OR(LEFT(A125,9)="OPERATOR-",LEFT(A125,8)="PAYMENT-",LEFT(A125,7)="DEPLOY-"),"External","Core")</f>
        <v>External</v>
      </c>
    </row>
    <row r="126" customFormat="false" ht="15" hidden="false" customHeight="false" outlineLevel="0" collapsed="false">
      <c r="A126" s="243" t="s">
        <v>1146</v>
      </c>
      <c r="B126" s="243" t="s">
        <v>1119</v>
      </c>
      <c r="C126" s="243" t="s">
        <v>1147</v>
      </c>
      <c r="D126" s="243" t="s">
        <v>1148</v>
      </c>
      <c r="E126" s="243" t="s">
        <v>1149</v>
      </c>
      <c r="F126" s="243" t="s">
        <v>1150</v>
      </c>
      <c r="G126" s="243" t="s">
        <v>4</v>
      </c>
      <c r="H126" s="243" t="s">
        <v>1151</v>
      </c>
      <c r="I126" s="243" t="s">
        <v>1152</v>
      </c>
      <c r="J126" s="243" t="s">
        <v>1153</v>
      </c>
      <c r="K126" s="243" t="s">
        <v>1</v>
      </c>
      <c r="L126" s="243" t="s">
        <v>1154</v>
      </c>
      <c r="M126" s="243" t="s">
        <v>1155</v>
      </c>
      <c r="N126" s="243" t="s">
        <v>1</v>
      </c>
      <c r="O126" s="243" t="s">
        <v>1156</v>
      </c>
      <c r="P126" s="243" t="s">
        <v>433</v>
      </c>
      <c r="Q126" s="146" t="str">
        <f>IF(OR(ISNUMBER(SEARCH("FAIL",J126&amp;" "&amp;N126)),ISNUMBER(SEARCH("CLEAN RETEST REQUIRED",J126&amp;" "&amp;N126))),"Failed",IF(OR(ISNUMBER(SEARCH("NOT RUN",J126&amp;" "&amp;N126)),ISNUMBER(SEARCH("NOT IMPLEMENTED",J126&amp;" "&amp;N126))),"Not started",IF(OR(ISNUMBER(SEARCH("PARTIAL",J126&amp;" "&amp;N126)),ISNUMBER(SEARCH("PENDING",J126&amp;" "&amp;N126)),ISNUMBER(SEARCH("IN PROGRESS",J126&amp;" "&amp;N126)),ISNUMBER(SEARCH("OPEN",J126&amp;" "&amp;N126)),ISNUMBER(SEARCH("RETEST REQUIRED",J126&amp;" "&amp;N126)),ISNUMBER(SEARCH("IMPLEMENTATION UPDATED",J126&amp;" "&amp;N126)),ISNUMBER(SEARCH("REQUIRED EVERY SESSION",J126&amp;" "&amp;N126))),"Pending",IF(OR(N126="PASS",ISNUMBER(SEARCH("PASS",J126&amp;" "&amp;N126))),"Done","Pending"))))</f>
        <v>Pending</v>
      </c>
      <c r="R126" s="146" t="str">
        <f>IF(OR(LEFT(A126,9)="OPERATOR-",LEFT(A126,8)="PAYMENT-",LEFT(A126,7)="DEPLOY-"),"External","Core")</f>
        <v>External</v>
      </c>
    </row>
    <row r="127" customFormat="false" ht="15" hidden="false" customHeight="false" outlineLevel="0" collapsed="false">
      <c r="A127" s="243" t="s">
        <v>1157</v>
      </c>
      <c r="B127" s="243" t="s">
        <v>1119</v>
      </c>
      <c r="C127" s="243" t="s">
        <v>1158</v>
      </c>
      <c r="D127" s="243" t="s">
        <v>1159</v>
      </c>
      <c r="E127" s="243" t="s">
        <v>4</v>
      </c>
      <c r="F127" s="243" t="s">
        <v>1160</v>
      </c>
      <c r="G127" s="243" t="s">
        <v>4</v>
      </c>
      <c r="H127" s="243" t="s">
        <v>1161</v>
      </c>
      <c r="I127" s="243" t="s">
        <v>1162</v>
      </c>
      <c r="J127" s="243" t="s">
        <v>1153</v>
      </c>
      <c r="K127" s="243" t="s">
        <v>1</v>
      </c>
      <c r="L127" s="243" t="s">
        <v>1163</v>
      </c>
      <c r="M127" s="243" t="s">
        <v>1164</v>
      </c>
      <c r="N127" s="243" t="s">
        <v>1</v>
      </c>
      <c r="O127" s="243" t="s">
        <v>1165</v>
      </c>
      <c r="P127" s="243" t="s">
        <v>433</v>
      </c>
      <c r="Q127" s="146" t="str">
        <f>IF(OR(ISNUMBER(SEARCH("FAIL",J127&amp;" "&amp;N127)),ISNUMBER(SEARCH("CLEAN RETEST REQUIRED",J127&amp;" "&amp;N127))),"Failed",IF(OR(ISNUMBER(SEARCH("NOT RUN",J127&amp;" "&amp;N127)),ISNUMBER(SEARCH("NOT IMPLEMENTED",J127&amp;" "&amp;N127))),"Not started",IF(OR(ISNUMBER(SEARCH("PARTIAL",J127&amp;" "&amp;N127)),ISNUMBER(SEARCH("PENDING",J127&amp;" "&amp;N127)),ISNUMBER(SEARCH("IN PROGRESS",J127&amp;" "&amp;N127)),ISNUMBER(SEARCH("OPEN",J127&amp;" "&amp;N127)),ISNUMBER(SEARCH("RETEST REQUIRED",J127&amp;" "&amp;N127)),ISNUMBER(SEARCH("IMPLEMENTATION UPDATED",J127&amp;" "&amp;N127)),ISNUMBER(SEARCH("REQUIRED EVERY SESSION",J127&amp;" "&amp;N127))),"Pending",IF(OR(N127="PASS",ISNUMBER(SEARCH("PASS",J127&amp;" "&amp;N127))),"Done","Pending"))))</f>
        <v>Pending</v>
      </c>
      <c r="R127" s="146" t="str">
        <f>IF(OR(LEFT(A127,9)="OPERATOR-",LEFT(A127,8)="PAYMENT-",LEFT(A127,7)="DEPLOY-"),"External","Core")</f>
        <v>External</v>
      </c>
    </row>
    <row r="128" customFormat="false" ht="15" hidden="false" customHeight="false" outlineLevel="0" collapsed="false">
      <c r="A128" s="243" t="s">
        <v>1166</v>
      </c>
      <c r="B128" s="243" t="s">
        <v>1119</v>
      </c>
      <c r="C128" s="243" t="s">
        <v>1120</v>
      </c>
      <c r="D128" s="243" t="s">
        <v>1167</v>
      </c>
      <c r="E128" s="243" t="s">
        <v>1168</v>
      </c>
      <c r="F128" s="243" t="s">
        <v>1169</v>
      </c>
      <c r="G128" s="243" t="s">
        <v>4</v>
      </c>
      <c r="H128" s="243" t="s">
        <v>1170</v>
      </c>
      <c r="I128" s="243" t="s">
        <v>1171</v>
      </c>
      <c r="J128" s="243" t="s">
        <v>1172</v>
      </c>
      <c r="K128" s="243" t="s">
        <v>1</v>
      </c>
      <c r="L128" s="243" t="s">
        <v>1173</v>
      </c>
      <c r="M128" s="243" t="s">
        <v>1174</v>
      </c>
      <c r="N128" s="243" t="s">
        <v>1</v>
      </c>
      <c r="O128" s="243" t="s">
        <v>1175</v>
      </c>
      <c r="P128" s="243" t="s">
        <v>227</v>
      </c>
      <c r="Q128" s="146" t="str">
        <f>IF(OR(ISNUMBER(SEARCH("FAIL",J128&amp;" "&amp;N128)),ISNUMBER(SEARCH("CLEAN RETEST REQUIRED",J128&amp;" "&amp;N128))),"Failed",IF(OR(ISNUMBER(SEARCH("NOT RUN",J128&amp;" "&amp;N128)),ISNUMBER(SEARCH("NOT IMPLEMENTED",J128&amp;" "&amp;N128))),"Not started",IF(OR(ISNUMBER(SEARCH("PARTIAL",J128&amp;" "&amp;N128)),ISNUMBER(SEARCH("PENDING",J128&amp;" "&amp;N128)),ISNUMBER(SEARCH("IN PROGRESS",J128&amp;" "&amp;N128)),ISNUMBER(SEARCH("OPEN",J128&amp;" "&amp;N128)),ISNUMBER(SEARCH("RETEST REQUIRED",J128&amp;" "&amp;N128)),ISNUMBER(SEARCH("IMPLEMENTATION UPDATED",J128&amp;" "&amp;N128)),ISNUMBER(SEARCH("REQUIRED EVERY SESSION",J128&amp;" "&amp;N128))),"Pending",IF(OR(N128="PASS",ISNUMBER(SEARCH("PASS",J128&amp;" "&amp;N128))),"Done","Pending"))))</f>
        <v>Not started</v>
      </c>
      <c r="R128" s="146" t="str">
        <f>IF(OR(LEFT(A128,9)="OPERATOR-",LEFT(A128,8)="PAYMENT-",LEFT(A128,7)="DEPLOY-"),"External","Core")</f>
        <v>External</v>
      </c>
    </row>
    <row r="129" customFormat="false" ht="15" hidden="false" customHeight="false" outlineLevel="0" collapsed="false">
      <c r="A129" s="243" t="s">
        <v>1176</v>
      </c>
      <c r="B129" s="243" t="s">
        <v>1119</v>
      </c>
      <c r="C129" s="243" t="s">
        <v>1177</v>
      </c>
      <c r="D129" s="243" t="s">
        <v>1178</v>
      </c>
      <c r="E129" s="243" t="s">
        <v>4</v>
      </c>
      <c r="F129" s="243" t="s">
        <v>1179</v>
      </c>
      <c r="G129" s="243" t="s">
        <v>4</v>
      </c>
      <c r="H129" s="243" t="s">
        <v>4</v>
      </c>
      <c r="I129" s="243" t="s">
        <v>1180</v>
      </c>
      <c r="J129" s="243" t="s">
        <v>1063</v>
      </c>
      <c r="K129" s="243" t="s">
        <v>1</v>
      </c>
      <c r="L129" s="243" t="s">
        <v>1181</v>
      </c>
      <c r="M129" s="243" t="s">
        <v>1182</v>
      </c>
      <c r="N129" s="243" t="s">
        <v>1</v>
      </c>
      <c r="O129" s="243" t="s">
        <v>1183</v>
      </c>
      <c r="P129" s="243" t="s">
        <v>392</v>
      </c>
      <c r="Q129" s="146" t="str">
        <f>IF(OR(ISNUMBER(SEARCH("FAIL",J129&amp;" "&amp;N129)),ISNUMBER(SEARCH("CLEAN RETEST REQUIRED",J129&amp;" "&amp;N129))),"Failed",IF(OR(ISNUMBER(SEARCH("NOT RUN",J129&amp;" "&amp;N129)),ISNUMBER(SEARCH("NOT IMPLEMENTED",J129&amp;" "&amp;N129))),"Not started",IF(OR(ISNUMBER(SEARCH("PARTIAL",J129&amp;" "&amp;N129)),ISNUMBER(SEARCH("PENDING",J129&amp;" "&amp;N129)),ISNUMBER(SEARCH("IN PROGRESS",J129&amp;" "&amp;N129)),ISNUMBER(SEARCH("OPEN",J129&amp;" "&amp;N129)),ISNUMBER(SEARCH("RETEST REQUIRED",J129&amp;" "&amp;N129)),ISNUMBER(SEARCH("IMPLEMENTATION UPDATED",J129&amp;" "&amp;N129)),ISNUMBER(SEARCH("REQUIRED EVERY SESSION",J129&amp;" "&amp;N129))),"Pending",IF(OR(N129="PASS",ISNUMBER(SEARCH("PASS",J129&amp;" "&amp;N129))),"Done","Pending"))))</f>
        <v>Not started</v>
      </c>
      <c r="R129" s="146" t="str">
        <f>IF(OR(LEFT(A129,9)="OPERATOR-",LEFT(A129,8)="PAYMENT-",LEFT(A129,7)="DEPLOY-"),"External","Core")</f>
        <v>External</v>
      </c>
    </row>
    <row r="130" customFormat="false" ht="15" hidden="false" customHeight="false" outlineLevel="0" collapsed="false">
      <c r="A130" s="243" t="s">
        <v>1184</v>
      </c>
      <c r="B130" s="243" t="s">
        <v>1119</v>
      </c>
      <c r="C130" s="243" t="s">
        <v>1185</v>
      </c>
      <c r="D130" s="243" t="s">
        <v>1186</v>
      </c>
      <c r="E130" s="243" t="s">
        <v>4</v>
      </c>
      <c r="F130" s="243" t="s">
        <v>1187</v>
      </c>
      <c r="G130" s="243" t="s">
        <v>4</v>
      </c>
      <c r="H130" s="243" t="s">
        <v>4</v>
      </c>
      <c r="I130" s="243" t="s">
        <v>1188</v>
      </c>
      <c r="J130" s="243" t="s">
        <v>1063</v>
      </c>
      <c r="K130" s="243" t="s">
        <v>1</v>
      </c>
      <c r="L130" s="243" t="s">
        <v>1189</v>
      </c>
      <c r="M130" s="243" t="s">
        <v>1190</v>
      </c>
      <c r="N130" s="243" t="s">
        <v>1</v>
      </c>
      <c r="O130" s="243" t="s">
        <v>1191</v>
      </c>
      <c r="P130" s="243" t="s">
        <v>433</v>
      </c>
      <c r="Q130" s="146" t="str">
        <f>IF(OR(ISNUMBER(SEARCH("FAIL",J130&amp;" "&amp;N130)),ISNUMBER(SEARCH("CLEAN RETEST REQUIRED",J130&amp;" "&amp;N130))),"Failed",IF(OR(ISNUMBER(SEARCH("NOT RUN",J130&amp;" "&amp;N130)),ISNUMBER(SEARCH("NOT IMPLEMENTED",J130&amp;" "&amp;N130))),"Not started",IF(OR(ISNUMBER(SEARCH("PARTIAL",J130&amp;" "&amp;N130)),ISNUMBER(SEARCH("PENDING",J130&amp;" "&amp;N130)),ISNUMBER(SEARCH("IN PROGRESS",J130&amp;" "&amp;N130)),ISNUMBER(SEARCH("OPEN",J130&amp;" "&amp;N130)),ISNUMBER(SEARCH("RETEST REQUIRED",J130&amp;" "&amp;N130)),ISNUMBER(SEARCH("IMPLEMENTATION UPDATED",J130&amp;" "&amp;N130)),ISNUMBER(SEARCH("REQUIRED EVERY SESSION",J130&amp;" "&amp;N130))),"Pending",IF(OR(N130="PASS",ISNUMBER(SEARCH("PASS",J130&amp;" "&amp;N130))),"Done","Pending"))))</f>
        <v>Not started</v>
      </c>
      <c r="R130" s="146" t="str">
        <f>IF(OR(LEFT(A130,9)="OPERATOR-",LEFT(A130,8)="PAYMENT-",LEFT(A130,7)="DEPLOY-"),"External","Core")</f>
        <v>External</v>
      </c>
    </row>
    <row r="131" customFormat="false" ht="15" hidden="false" customHeight="false" outlineLevel="0" collapsed="false">
      <c r="A131" s="243" t="s">
        <v>1192</v>
      </c>
      <c r="B131" s="243" t="s">
        <v>1119</v>
      </c>
      <c r="C131" s="243" t="s">
        <v>1193</v>
      </c>
      <c r="D131" s="243" t="s">
        <v>1194</v>
      </c>
      <c r="E131" s="243" t="s">
        <v>4</v>
      </c>
      <c r="F131" s="243" t="s">
        <v>1195</v>
      </c>
      <c r="G131" s="243" t="s">
        <v>4</v>
      </c>
      <c r="H131" s="243" t="s">
        <v>1196</v>
      </c>
      <c r="I131" s="243" t="s">
        <v>1197</v>
      </c>
      <c r="J131" s="243" t="s">
        <v>1063</v>
      </c>
      <c r="K131" s="243" t="s">
        <v>1</v>
      </c>
      <c r="L131" s="243" t="s">
        <v>1198</v>
      </c>
      <c r="M131" s="243" t="s">
        <v>1199</v>
      </c>
      <c r="N131" s="243" t="s">
        <v>1</v>
      </c>
      <c r="O131" s="243" t="s">
        <v>1200</v>
      </c>
      <c r="P131" s="243" t="s">
        <v>433</v>
      </c>
      <c r="Q131" s="146" t="str">
        <f>IF(OR(ISNUMBER(SEARCH("FAIL",J131&amp;" "&amp;N131)),ISNUMBER(SEARCH("CLEAN RETEST REQUIRED",J131&amp;" "&amp;N131))),"Failed",IF(OR(ISNUMBER(SEARCH("NOT RUN",J131&amp;" "&amp;N131)),ISNUMBER(SEARCH("NOT IMPLEMENTED",J131&amp;" "&amp;N131))),"Not started",IF(OR(ISNUMBER(SEARCH("PARTIAL",J131&amp;" "&amp;N131)),ISNUMBER(SEARCH("PENDING",J131&amp;" "&amp;N131)),ISNUMBER(SEARCH("IN PROGRESS",J131&amp;" "&amp;N131)),ISNUMBER(SEARCH("OPEN",J131&amp;" "&amp;N131)),ISNUMBER(SEARCH("RETEST REQUIRED",J131&amp;" "&amp;N131)),ISNUMBER(SEARCH("IMPLEMENTATION UPDATED",J131&amp;" "&amp;N131)),ISNUMBER(SEARCH("REQUIRED EVERY SESSION",J131&amp;" "&amp;N131))),"Pending",IF(OR(N131="PASS",ISNUMBER(SEARCH("PASS",J131&amp;" "&amp;N131))),"Done","Pending"))))</f>
        <v>Not started</v>
      </c>
      <c r="R131" s="146" t="str">
        <f>IF(OR(LEFT(A131,9)="OPERATOR-",LEFT(A131,8)="PAYMENT-",LEFT(A131,7)="DEPLOY-"),"External","Core")</f>
        <v>External</v>
      </c>
    </row>
    <row r="132" customFormat="false" ht="45" hidden="false" customHeight="true" outlineLevel="0" collapsed="false">
      <c r="A132" s="135" t="s">
        <v>1201</v>
      </c>
      <c r="B132" s="135" t="s">
        <v>1202</v>
      </c>
      <c r="C132" s="135" t="s">
        <v>1203</v>
      </c>
      <c r="D132" s="135" t="s">
        <v>1204</v>
      </c>
      <c r="E132" s="135" t="s">
        <v>1205</v>
      </c>
      <c r="F132" s="135" t="s">
        <v>1206</v>
      </c>
      <c r="G132" s="135" t="s">
        <v>1207</v>
      </c>
      <c r="H132" s="135" t="s">
        <v>4</v>
      </c>
      <c r="I132" s="135" t="s">
        <v>1208</v>
      </c>
      <c r="J132" s="135" t="s">
        <v>1209</v>
      </c>
      <c r="K132" s="135" t="s">
        <v>487</v>
      </c>
      <c r="L132" s="135" t="s">
        <v>1210</v>
      </c>
      <c r="M132" s="135" t="s">
        <v>1211</v>
      </c>
      <c r="N132" s="135" t="s">
        <v>51</v>
      </c>
      <c r="O132" s="135" t="s">
        <v>1212</v>
      </c>
      <c r="P132" s="135" t="s">
        <v>392</v>
      </c>
      <c r="Q132" s="146" t="str">
        <f>IF(OR(ISNUMBER(SEARCH("FAIL",J132&amp;" "&amp;N132)),ISNUMBER(SEARCH("CLEAN RETEST REQUIRED",J132&amp;" "&amp;N132))),"Failed",IF(OR(ISNUMBER(SEARCH("NOT RUN",J132&amp;" "&amp;N132)),ISNUMBER(SEARCH("NOT IMPLEMENTED",J132&amp;" "&amp;N132))),"Not started",IF(OR(ISNUMBER(SEARCH("PARTIAL",J132&amp;" "&amp;N132)),ISNUMBER(SEARCH("PENDING",J132&amp;" "&amp;N132)),ISNUMBER(SEARCH("IN PROGRESS",J132&amp;" "&amp;N132)),ISNUMBER(SEARCH("OPEN",J132&amp;" "&amp;N132)),ISNUMBER(SEARCH("RETEST REQUIRED",J132&amp;" "&amp;N132)),ISNUMBER(SEARCH("IMPLEMENTATION UPDATED",J132&amp;" "&amp;N132)),ISNUMBER(SEARCH("REQUIRED EVERY SESSION",J132&amp;" "&amp;N132))),"Pending",IF(OR(N132="PASS",ISNUMBER(SEARCH("PASS",J132&amp;" "&amp;N132))),"Done","Pending"))))</f>
        <v>Done</v>
      </c>
      <c r="R132" s="146" t="str">
        <f>IF(OR(LEFT(A132,9)="OPERATOR-",LEFT(A132,8)="PAYMENT-",LEFT(A132,7)="DEPLOY-"),"External","Core")</f>
        <v>Core</v>
      </c>
    </row>
    <row r="133" customFormat="false" ht="15" hidden="false" customHeight="false" outlineLevel="0" collapsed="false">
      <c r="A133" s="138" t="s">
        <v>1213</v>
      </c>
      <c r="B133" s="138" t="s">
        <v>1202</v>
      </c>
      <c r="C133" s="138" t="s">
        <v>1203</v>
      </c>
      <c r="D133" s="138" t="s">
        <v>1214</v>
      </c>
      <c r="E133" s="138" t="s">
        <v>1205</v>
      </c>
      <c r="F133" s="138" t="s">
        <v>1215</v>
      </c>
      <c r="G133" s="138" t="s">
        <v>1207</v>
      </c>
      <c r="H133" s="138" t="s">
        <v>4</v>
      </c>
      <c r="I133" s="138" t="s">
        <v>1216</v>
      </c>
      <c r="J133" s="138" t="s">
        <v>1172</v>
      </c>
      <c r="K133" s="138" t="s">
        <v>1</v>
      </c>
      <c r="L133" s="138" t="s">
        <v>1217</v>
      </c>
      <c r="M133" s="138" t="s">
        <v>1218</v>
      </c>
      <c r="N133" s="138" t="s">
        <v>1</v>
      </c>
      <c r="O133" s="138" t="s">
        <v>1219</v>
      </c>
      <c r="P133" s="138" t="s">
        <v>433</v>
      </c>
      <c r="Q133" s="146" t="str">
        <f>IF(OR(ISNUMBER(SEARCH("FAIL",J133&amp;" "&amp;N133)),ISNUMBER(SEARCH("CLEAN RETEST REQUIRED",J133&amp;" "&amp;N133))),"Failed",IF(OR(ISNUMBER(SEARCH("NOT RUN",J133&amp;" "&amp;N133)),ISNUMBER(SEARCH("NOT IMPLEMENTED",J133&amp;" "&amp;N133))),"Not started",IF(OR(ISNUMBER(SEARCH("PARTIAL",J133&amp;" "&amp;N133)),ISNUMBER(SEARCH("PENDING",J133&amp;" "&amp;N133)),ISNUMBER(SEARCH("IN PROGRESS",J133&amp;" "&amp;N133)),ISNUMBER(SEARCH("OPEN",J133&amp;" "&amp;N133)),ISNUMBER(SEARCH("RETEST REQUIRED",J133&amp;" "&amp;N133)),ISNUMBER(SEARCH("IMPLEMENTATION UPDATED",J133&amp;" "&amp;N133)),ISNUMBER(SEARCH("REQUIRED EVERY SESSION",J133&amp;" "&amp;N133))),"Pending",IF(OR(N133="PASS",ISNUMBER(SEARCH("PASS",J133&amp;" "&amp;N133))),"Done","Pending"))))</f>
        <v>Not started</v>
      </c>
      <c r="R133" s="146" t="str">
        <f>IF(OR(LEFT(A133,9)="OPERATOR-",LEFT(A133,8)="PAYMENT-",LEFT(A133,7)="DEPLOY-"),"External","Core")</f>
        <v>Core</v>
      </c>
    </row>
    <row r="134" customFormat="false" ht="60" hidden="false" customHeight="true" outlineLevel="0" collapsed="false">
      <c r="A134" s="135" t="s">
        <v>1220</v>
      </c>
      <c r="B134" s="135" t="s">
        <v>1202</v>
      </c>
      <c r="C134" s="135" t="s">
        <v>1221</v>
      </c>
      <c r="D134" s="135" t="s">
        <v>1222</v>
      </c>
      <c r="E134" s="135" t="s">
        <v>4</v>
      </c>
      <c r="F134" s="135" t="s">
        <v>1223</v>
      </c>
      <c r="G134" s="135" t="s">
        <v>4</v>
      </c>
      <c r="H134" s="135" t="s">
        <v>4</v>
      </c>
      <c r="I134" s="135" t="s">
        <v>1224</v>
      </c>
      <c r="J134" s="135" t="s">
        <v>1209</v>
      </c>
      <c r="K134" s="135" t="s">
        <v>487</v>
      </c>
      <c r="L134" s="135" t="s">
        <v>1225</v>
      </c>
      <c r="M134" s="135" t="s">
        <v>1226</v>
      </c>
      <c r="N134" s="135" t="s">
        <v>51</v>
      </c>
      <c r="O134" s="135" t="s">
        <v>1227</v>
      </c>
      <c r="P134" s="135" t="s">
        <v>433</v>
      </c>
      <c r="Q134" s="146" t="str">
        <f>IF(OR(ISNUMBER(SEARCH("FAIL",J134&amp;" "&amp;N134)),ISNUMBER(SEARCH("CLEAN RETEST REQUIRED",J134&amp;" "&amp;N134))),"Failed",IF(OR(ISNUMBER(SEARCH("NOT RUN",J134&amp;" "&amp;N134)),ISNUMBER(SEARCH("NOT IMPLEMENTED",J134&amp;" "&amp;N134))),"Not started",IF(OR(ISNUMBER(SEARCH("PARTIAL",J134&amp;" "&amp;N134)),ISNUMBER(SEARCH("PENDING",J134&amp;" "&amp;N134)),ISNUMBER(SEARCH("IN PROGRESS",J134&amp;" "&amp;N134)),ISNUMBER(SEARCH("OPEN",J134&amp;" "&amp;N134)),ISNUMBER(SEARCH("RETEST REQUIRED",J134&amp;" "&amp;N134)),ISNUMBER(SEARCH("IMPLEMENTATION UPDATED",J134&amp;" "&amp;N134)),ISNUMBER(SEARCH("REQUIRED EVERY SESSION",J134&amp;" "&amp;N134))),"Pending",IF(OR(N134="PASS",ISNUMBER(SEARCH("PASS",J134&amp;" "&amp;N134))),"Done","Pending"))))</f>
        <v>Done</v>
      </c>
      <c r="R134" s="146" t="str">
        <f>IF(OR(LEFT(A134,9)="OPERATOR-",LEFT(A134,8)="PAYMENT-",LEFT(A134,7)="DEPLOY-"),"External","Core")</f>
        <v>Core</v>
      </c>
    </row>
    <row r="135" customFormat="false" ht="150" hidden="false" customHeight="true" outlineLevel="0" collapsed="false">
      <c r="A135" s="135" t="s">
        <v>1228</v>
      </c>
      <c r="B135" s="135" t="s">
        <v>1202</v>
      </c>
      <c r="C135" s="135" t="s">
        <v>1221</v>
      </c>
      <c r="D135" s="135" t="s">
        <v>1229</v>
      </c>
      <c r="E135" s="135" t="s">
        <v>4</v>
      </c>
      <c r="F135" s="135" t="s">
        <v>1230</v>
      </c>
      <c r="G135" s="135" t="s">
        <v>4</v>
      </c>
      <c r="H135" s="135" t="s">
        <v>4</v>
      </c>
      <c r="I135" s="135" t="s">
        <v>1231</v>
      </c>
      <c r="J135" s="135" t="s">
        <v>1209</v>
      </c>
      <c r="K135" s="135" t="s">
        <v>487</v>
      </c>
      <c r="L135" s="135" t="s">
        <v>1232</v>
      </c>
      <c r="M135" s="135" t="s">
        <v>1233</v>
      </c>
      <c r="N135" s="135" t="s">
        <v>51</v>
      </c>
      <c r="O135" s="135" t="s">
        <v>1234</v>
      </c>
      <c r="P135" s="135" t="s">
        <v>433</v>
      </c>
      <c r="Q135" s="146" t="str">
        <f>IF(OR(ISNUMBER(SEARCH("FAIL",J135&amp;" "&amp;N135)),ISNUMBER(SEARCH("CLEAN RETEST REQUIRED",J135&amp;" "&amp;N135))),"Failed",IF(OR(ISNUMBER(SEARCH("NOT RUN",J135&amp;" "&amp;N135)),ISNUMBER(SEARCH("NOT IMPLEMENTED",J135&amp;" "&amp;N135))),"Not started",IF(OR(ISNUMBER(SEARCH("PARTIAL",J135&amp;" "&amp;N135)),ISNUMBER(SEARCH("PENDING",J135&amp;" "&amp;N135)),ISNUMBER(SEARCH("IN PROGRESS",J135&amp;" "&amp;N135)),ISNUMBER(SEARCH("OPEN",J135&amp;" "&amp;N135)),ISNUMBER(SEARCH("RETEST REQUIRED",J135&amp;" "&amp;N135)),ISNUMBER(SEARCH("IMPLEMENTATION UPDATED",J135&amp;" "&amp;N135)),ISNUMBER(SEARCH("REQUIRED EVERY SESSION",J135&amp;" "&amp;N135))),"Pending",IF(OR(N135="PASS",ISNUMBER(SEARCH("PASS",J135&amp;" "&amp;N135))),"Done","Pending"))))</f>
        <v>Done</v>
      </c>
      <c r="R135" s="146" t="str">
        <f>IF(OR(LEFT(A135,9)="OPERATOR-",LEFT(A135,8)="PAYMENT-",LEFT(A135,7)="DEPLOY-"),"External","Core")</f>
        <v>Core</v>
      </c>
    </row>
    <row r="136" customFormat="false" ht="15" hidden="false" customHeight="false" outlineLevel="0" collapsed="false">
      <c r="A136" s="243" t="s">
        <v>1235</v>
      </c>
      <c r="B136" s="243" t="s">
        <v>1202</v>
      </c>
      <c r="C136" s="243" t="s">
        <v>1236</v>
      </c>
      <c r="D136" s="243" t="s">
        <v>1237</v>
      </c>
      <c r="E136" s="243" t="s">
        <v>4</v>
      </c>
      <c r="F136" s="243" t="s">
        <v>1238</v>
      </c>
      <c r="G136" s="243" t="s">
        <v>4</v>
      </c>
      <c r="H136" s="243" t="s">
        <v>4</v>
      </c>
      <c r="I136" s="243" t="s">
        <v>1239</v>
      </c>
      <c r="J136" s="243" t="s">
        <v>1172</v>
      </c>
      <c r="K136" s="243" t="s">
        <v>1</v>
      </c>
      <c r="L136" s="243" t="s">
        <v>1240</v>
      </c>
      <c r="M136" s="243" t="s">
        <v>1241</v>
      </c>
      <c r="N136" s="243" t="s">
        <v>1</v>
      </c>
      <c r="O136" s="243" t="s">
        <v>1242</v>
      </c>
      <c r="P136" s="243" t="s">
        <v>433</v>
      </c>
      <c r="Q136" s="146" t="str">
        <f>IF(OR(ISNUMBER(SEARCH("FAIL",J136&amp;" "&amp;N136)),ISNUMBER(SEARCH("CLEAN RETEST REQUIRED",J136&amp;" "&amp;N136))),"Failed",IF(OR(ISNUMBER(SEARCH("NOT RUN",J136&amp;" "&amp;N136)),ISNUMBER(SEARCH("NOT IMPLEMENTED",J136&amp;" "&amp;N136))),"Not started",IF(OR(ISNUMBER(SEARCH("PARTIAL",J136&amp;" "&amp;N136)),ISNUMBER(SEARCH("PENDING",J136&amp;" "&amp;N136)),ISNUMBER(SEARCH("IN PROGRESS",J136&amp;" "&amp;N136)),ISNUMBER(SEARCH("OPEN",J136&amp;" "&amp;N136)),ISNUMBER(SEARCH("RETEST REQUIRED",J136&amp;" "&amp;N136)),ISNUMBER(SEARCH("IMPLEMENTATION UPDATED",J136&amp;" "&amp;N136)),ISNUMBER(SEARCH("REQUIRED EVERY SESSION",J136&amp;" "&amp;N136))),"Pending",IF(OR(N136="PASS",ISNUMBER(SEARCH("PASS",J136&amp;" "&amp;N136))),"Done","Pending"))))</f>
        <v>Not started</v>
      </c>
      <c r="R136" s="146" t="str">
        <f>IF(OR(LEFT(A136,9)="OPERATOR-",LEFT(A136,8)="PAYMENT-",LEFT(A136,7)="DEPLOY-"),"External","Core")</f>
        <v>External</v>
      </c>
    </row>
    <row r="137" customFormat="false" ht="15" hidden="false" customHeight="false" outlineLevel="0" collapsed="false">
      <c r="A137" s="243" t="s">
        <v>1243</v>
      </c>
      <c r="B137" s="243" t="s">
        <v>1202</v>
      </c>
      <c r="C137" s="243" t="s">
        <v>1244</v>
      </c>
      <c r="D137" s="243" t="s">
        <v>1245</v>
      </c>
      <c r="E137" s="243" t="s">
        <v>4</v>
      </c>
      <c r="F137" s="243" t="s">
        <v>1246</v>
      </c>
      <c r="G137" s="243" t="s">
        <v>4</v>
      </c>
      <c r="H137" s="243" t="s">
        <v>4</v>
      </c>
      <c r="I137" s="243" t="s">
        <v>1247</v>
      </c>
      <c r="J137" s="243" t="s">
        <v>1172</v>
      </c>
      <c r="K137" s="243" t="s">
        <v>1</v>
      </c>
      <c r="L137" s="243" t="s">
        <v>1248</v>
      </c>
      <c r="M137" s="243" t="s">
        <v>1249</v>
      </c>
      <c r="N137" s="243" t="s">
        <v>1</v>
      </c>
      <c r="O137" s="243" t="s">
        <v>1250</v>
      </c>
      <c r="P137" s="243" t="s">
        <v>392</v>
      </c>
      <c r="Q137" s="146" t="str">
        <f>IF(OR(ISNUMBER(SEARCH("FAIL",J137&amp;" "&amp;N137)),ISNUMBER(SEARCH("CLEAN RETEST REQUIRED",J137&amp;" "&amp;N137))),"Failed",IF(OR(ISNUMBER(SEARCH("NOT RUN",J137&amp;" "&amp;N137)),ISNUMBER(SEARCH("NOT IMPLEMENTED",J137&amp;" "&amp;N137))),"Not started",IF(OR(ISNUMBER(SEARCH("PARTIAL",J137&amp;" "&amp;N137)),ISNUMBER(SEARCH("PENDING",J137&amp;" "&amp;N137)),ISNUMBER(SEARCH("IN PROGRESS",J137&amp;" "&amp;N137)),ISNUMBER(SEARCH("OPEN",J137&amp;" "&amp;N137)),ISNUMBER(SEARCH("RETEST REQUIRED",J137&amp;" "&amp;N137)),ISNUMBER(SEARCH("IMPLEMENTATION UPDATED",J137&amp;" "&amp;N137)),ISNUMBER(SEARCH("REQUIRED EVERY SESSION",J137&amp;" "&amp;N137))),"Pending",IF(OR(N137="PASS",ISNUMBER(SEARCH("PASS",J137&amp;" "&amp;N137))),"Done","Pending"))))</f>
        <v>Not started</v>
      </c>
      <c r="R137" s="146" t="str">
        <f>IF(OR(LEFT(A137,9)="OPERATOR-",LEFT(A137,8)="PAYMENT-",LEFT(A137,7)="DEPLOY-"),"External","Core")</f>
        <v>External</v>
      </c>
    </row>
    <row r="138" customFormat="false" ht="15" hidden="false" customHeight="false" outlineLevel="0" collapsed="false">
      <c r="A138" s="243" t="s">
        <v>1251</v>
      </c>
      <c r="B138" s="243" t="s">
        <v>1202</v>
      </c>
      <c r="C138" s="243" t="s">
        <v>1252</v>
      </c>
      <c r="D138" s="243" t="s">
        <v>1253</v>
      </c>
      <c r="E138" s="243" t="s">
        <v>4</v>
      </c>
      <c r="F138" s="243" t="s">
        <v>1254</v>
      </c>
      <c r="G138" s="243" t="s">
        <v>4</v>
      </c>
      <c r="H138" s="243" t="s">
        <v>4</v>
      </c>
      <c r="I138" s="243" t="s">
        <v>1255</v>
      </c>
      <c r="J138" s="243" t="s">
        <v>1172</v>
      </c>
      <c r="K138" s="243" t="s">
        <v>1</v>
      </c>
      <c r="L138" s="243" t="s">
        <v>1256</v>
      </c>
      <c r="M138" s="243" t="s">
        <v>1257</v>
      </c>
      <c r="N138" s="243" t="s">
        <v>1</v>
      </c>
      <c r="O138" s="243" t="s">
        <v>1258</v>
      </c>
      <c r="P138" s="243" t="s">
        <v>170</v>
      </c>
      <c r="Q138" s="146" t="str">
        <f>IF(OR(ISNUMBER(SEARCH("FAIL",J138&amp;" "&amp;N138)),ISNUMBER(SEARCH("CLEAN RETEST REQUIRED",J138&amp;" "&amp;N138))),"Failed",IF(OR(ISNUMBER(SEARCH("NOT RUN",J138&amp;" "&amp;N138)),ISNUMBER(SEARCH("NOT IMPLEMENTED",J138&amp;" "&amp;N138))),"Not started",IF(OR(ISNUMBER(SEARCH("PARTIAL",J138&amp;" "&amp;N138)),ISNUMBER(SEARCH("PENDING",J138&amp;" "&amp;N138)),ISNUMBER(SEARCH("IN PROGRESS",J138&amp;" "&amp;N138)),ISNUMBER(SEARCH("OPEN",J138&amp;" "&amp;N138)),ISNUMBER(SEARCH("RETEST REQUIRED",J138&amp;" "&amp;N138)),ISNUMBER(SEARCH("IMPLEMENTATION UPDATED",J138&amp;" "&amp;N138)),ISNUMBER(SEARCH("REQUIRED EVERY SESSION",J138&amp;" "&amp;N138))),"Pending",IF(OR(N138="PASS",ISNUMBER(SEARCH("PASS",J138&amp;" "&amp;N138))),"Done","Pending"))))</f>
        <v>Not started</v>
      </c>
      <c r="R138" s="146" t="str">
        <f>IF(OR(LEFT(A138,9)="OPERATOR-",LEFT(A138,8)="PAYMENT-",LEFT(A138,7)="DEPLOY-"),"External","Core")</f>
        <v>External</v>
      </c>
    </row>
    <row r="139" customFormat="false" ht="15" hidden="false" customHeight="false" outlineLevel="0" collapsed="false">
      <c r="A139" s="243" t="s">
        <v>1259</v>
      </c>
      <c r="B139" s="243" t="s">
        <v>1202</v>
      </c>
      <c r="C139" s="243" t="s">
        <v>1260</v>
      </c>
      <c r="D139" s="243" t="s">
        <v>1261</v>
      </c>
      <c r="E139" s="243" t="s">
        <v>4</v>
      </c>
      <c r="F139" s="243" t="s">
        <v>1262</v>
      </c>
      <c r="G139" s="243" t="s">
        <v>4</v>
      </c>
      <c r="H139" s="243" t="s">
        <v>4</v>
      </c>
      <c r="I139" s="243" t="s">
        <v>1263</v>
      </c>
      <c r="J139" s="243" t="s">
        <v>1172</v>
      </c>
      <c r="K139" s="243" t="s">
        <v>1</v>
      </c>
      <c r="L139" s="243" t="s">
        <v>1264</v>
      </c>
      <c r="M139" s="243" t="s">
        <v>1265</v>
      </c>
      <c r="N139" s="243" t="s">
        <v>1</v>
      </c>
      <c r="O139" s="243" t="s">
        <v>1266</v>
      </c>
      <c r="P139" s="243" t="s">
        <v>392</v>
      </c>
      <c r="Q139" s="146" t="str">
        <f>IF(OR(ISNUMBER(SEARCH("FAIL",J139&amp;" "&amp;N139)),ISNUMBER(SEARCH("CLEAN RETEST REQUIRED",J139&amp;" "&amp;N139))),"Failed",IF(OR(ISNUMBER(SEARCH("NOT RUN",J139&amp;" "&amp;N139)),ISNUMBER(SEARCH("NOT IMPLEMENTED",J139&amp;" "&amp;N139))),"Not started",IF(OR(ISNUMBER(SEARCH("PARTIAL",J139&amp;" "&amp;N139)),ISNUMBER(SEARCH("PENDING",J139&amp;" "&amp;N139)),ISNUMBER(SEARCH("IN PROGRESS",J139&amp;" "&amp;N139)),ISNUMBER(SEARCH("OPEN",J139&amp;" "&amp;N139)),ISNUMBER(SEARCH("RETEST REQUIRED",J139&amp;" "&amp;N139)),ISNUMBER(SEARCH("IMPLEMENTATION UPDATED",J139&amp;" "&amp;N139)),ISNUMBER(SEARCH("REQUIRED EVERY SESSION",J139&amp;" "&amp;N139))),"Pending",IF(OR(N139="PASS",ISNUMBER(SEARCH("PASS",J139&amp;" "&amp;N139))),"Done","Pending"))))</f>
        <v>Not started</v>
      </c>
      <c r="R139" s="146" t="str">
        <f>IF(OR(LEFT(A139,9)="OPERATOR-",LEFT(A139,8)="PAYMENT-",LEFT(A139,7)="DEPLOY-"),"External","Core")</f>
        <v>External</v>
      </c>
    </row>
    <row r="140" customFormat="false" ht="15" hidden="false" customHeight="false" outlineLevel="0" collapsed="false">
      <c r="A140" s="243" t="s">
        <v>1267</v>
      </c>
      <c r="B140" s="243" t="s">
        <v>1202</v>
      </c>
      <c r="C140" s="243" t="s">
        <v>1260</v>
      </c>
      <c r="D140" s="243" t="s">
        <v>1268</v>
      </c>
      <c r="E140" s="243" t="s">
        <v>4</v>
      </c>
      <c r="F140" s="243" t="s">
        <v>1269</v>
      </c>
      <c r="G140" s="243" t="s">
        <v>4</v>
      </c>
      <c r="H140" s="243" t="s">
        <v>4</v>
      </c>
      <c r="I140" s="243" t="s">
        <v>1270</v>
      </c>
      <c r="J140" s="243" t="s">
        <v>1172</v>
      </c>
      <c r="K140" s="243" t="s">
        <v>1</v>
      </c>
      <c r="L140" s="243" t="s">
        <v>1271</v>
      </c>
      <c r="M140" s="243" t="s">
        <v>1272</v>
      </c>
      <c r="N140" s="243" t="s">
        <v>1</v>
      </c>
      <c r="O140" s="243" t="s">
        <v>1273</v>
      </c>
      <c r="P140" s="243" t="s">
        <v>227</v>
      </c>
      <c r="Q140" s="146" t="str">
        <f>IF(OR(ISNUMBER(SEARCH("FAIL",J140&amp;" "&amp;N140)),ISNUMBER(SEARCH("CLEAN RETEST REQUIRED",J140&amp;" "&amp;N140))),"Failed",IF(OR(ISNUMBER(SEARCH("NOT RUN",J140&amp;" "&amp;N140)),ISNUMBER(SEARCH("NOT IMPLEMENTED",J140&amp;" "&amp;N140))),"Not started",IF(OR(ISNUMBER(SEARCH("PARTIAL",J140&amp;" "&amp;N140)),ISNUMBER(SEARCH("PENDING",J140&amp;" "&amp;N140)),ISNUMBER(SEARCH("IN PROGRESS",J140&amp;" "&amp;N140)),ISNUMBER(SEARCH("OPEN",J140&amp;" "&amp;N140)),ISNUMBER(SEARCH("RETEST REQUIRED",J140&amp;" "&amp;N140)),ISNUMBER(SEARCH("IMPLEMENTATION UPDATED",J140&amp;" "&amp;N140)),ISNUMBER(SEARCH("REQUIRED EVERY SESSION",J140&amp;" "&amp;N140))),"Pending",IF(OR(N140="PASS",ISNUMBER(SEARCH("PASS",J140&amp;" "&amp;N140))),"Done","Pending"))))</f>
        <v>Not started</v>
      </c>
      <c r="R140" s="146" t="str">
        <f>IF(OR(LEFT(A140,9)="OPERATOR-",LEFT(A140,8)="PAYMENT-",LEFT(A140,7)="DEPLOY-"),"External","Core")</f>
        <v>External</v>
      </c>
    </row>
    <row r="141" customFormat="false" ht="15" hidden="false" customHeight="false" outlineLevel="0" collapsed="false">
      <c r="A141" s="243" t="s">
        <v>1274</v>
      </c>
      <c r="B141" s="243" t="s">
        <v>1275</v>
      </c>
      <c r="C141" s="243" t="s">
        <v>1276</v>
      </c>
      <c r="D141" s="243" t="s">
        <v>1277</v>
      </c>
      <c r="E141" s="243" t="s">
        <v>4</v>
      </c>
      <c r="F141" s="243" t="s">
        <v>1278</v>
      </c>
      <c r="G141" s="243" t="s">
        <v>4</v>
      </c>
      <c r="H141" s="243" t="s">
        <v>1279</v>
      </c>
      <c r="I141" s="243" t="s">
        <v>1280</v>
      </c>
      <c r="J141" s="243" t="s">
        <v>1172</v>
      </c>
      <c r="K141" s="243" t="s">
        <v>1</v>
      </c>
      <c r="L141" s="243" t="s">
        <v>1281</v>
      </c>
      <c r="M141" s="243" t="s">
        <v>1282</v>
      </c>
      <c r="N141" s="243" t="s">
        <v>1</v>
      </c>
      <c r="O141" s="243" t="s">
        <v>1283</v>
      </c>
      <c r="P141" s="243" t="s">
        <v>433</v>
      </c>
      <c r="Q141" s="146" t="str">
        <f>IF(OR(ISNUMBER(SEARCH("FAIL",J141&amp;" "&amp;N141)),ISNUMBER(SEARCH("CLEAN RETEST REQUIRED",J141&amp;" "&amp;N141))),"Failed",IF(OR(ISNUMBER(SEARCH("NOT RUN",J141&amp;" "&amp;N141)),ISNUMBER(SEARCH("NOT IMPLEMENTED",J141&amp;" "&amp;N141))),"Not started",IF(OR(ISNUMBER(SEARCH("PARTIAL",J141&amp;" "&amp;N141)),ISNUMBER(SEARCH("PENDING",J141&amp;" "&amp;N141)),ISNUMBER(SEARCH("IN PROGRESS",J141&amp;" "&amp;N141)),ISNUMBER(SEARCH("OPEN",J141&amp;" "&amp;N141)),ISNUMBER(SEARCH("RETEST REQUIRED",J141&amp;" "&amp;N141)),ISNUMBER(SEARCH("IMPLEMENTATION UPDATED",J141&amp;" "&amp;N141)),ISNUMBER(SEARCH("REQUIRED EVERY SESSION",J141&amp;" "&amp;N141))),"Pending",IF(OR(N141="PASS",ISNUMBER(SEARCH("PASS",J141&amp;" "&amp;N141))),"Done","Pending"))))</f>
        <v>Not started</v>
      </c>
      <c r="R141" s="146" t="str">
        <f>IF(OR(LEFT(A141,9)="OPERATOR-",LEFT(A141,8)="PAYMENT-",LEFT(A141,7)="DEPLOY-"),"External","Core")</f>
        <v>External</v>
      </c>
    </row>
    <row r="142" customFormat="false" ht="15" hidden="false" customHeight="false" outlineLevel="0" collapsed="false">
      <c r="A142" s="243" t="s">
        <v>1284</v>
      </c>
      <c r="B142" s="243" t="s">
        <v>1275</v>
      </c>
      <c r="C142" s="243" t="s">
        <v>1276</v>
      </c>
      <c r="D142" s="243" t="s">
        <v>1285</v>
      </c>
      <c r="E142" s="243" t="s">
        <v>4</v>
      </c>
      <c r="F142" s="243" t="s">
        <v>1286</v>
      </c>
      <c r="G142" s="243" t="s">
        <v>4</v>
      </c>
      <c r="H142" s="243" t="s">
        <v>1287</v>
      </c>
      <c r="I142" s="243" t="s">
        <v>1288</v>
      </c>
      <c r="J142" s="243" t="s">
        <v>1289</v>
      </c>
      <c r="K142" s="243" t="s">
        <v>1</v>
      </c>
      <c r="L142" s="243" t="s">
        <v>1290</v>
      </c>
      <c r="M142" s="243" t="s">
        <v>1291</v>
      </c>
      <c r="N142" s="243" t="s">
        <v>1</v>
      </c>
      <c r="O142" s="243" t="s">
        <v>1292</v>
      </c>
      <c r="P142" s="243" t="s">
        <v>433</v>
      </c>
      <c r="Q142" s="146" t="str">
        <f>IF(OR(ISNUMBER(SEARCH("FAIL",J142&amp;" "&amp;N142)),ISNUMBER(SEARCH("CLEAN RETEST REQUIRED",J142&amp;" "&amp;N142))),"Failed",IF(OR(ISNUMBER(SEARCH("NOT RUN",J142&amp;" "&amp;N142)),ISNUMBER(SEARCH("NOT IMPLEMENTED",J142&amp;" "&amp;N142))),"Not started",IF(OR(ISNUMBER(SEARCH("PARTIAL",J142&amp;" "&amp;N142)),ISNUMBER(SEARCH("PENDING",J142&amp;" "&amp;N142)),ISNUMBER(SEARCH("IN PROGRESS",J142&amp;" "&amp;N142)),ISNUMBER(SEARCH("OPEN",J142&amp;" "&amp;N142)),ISNUMBER(SEARCH("RETEST REQUIRED",J142&amp;" "&amp;N142)),ISNUMBER(SEARCH("IMPLEMENTATION UPDATED",J142&amp;" "&amp;N142)),ISNUMBER(SEARCH("REQUIRED EVERY SESSION",J142&amp;" "&amp;N142))),"Pending",IF(OR(N142="PASS",ISNUMBER(SEARCH("PASS",J142&amp;" "&amp;N142))),"Done","Pending"))))</f>
        <v>Not started</v>
      </c>
      <c r="R142" s="146" t="str">
        <f>IF(OR(LEFT(A142,9)="OPERATOR-",LEFT(A142,8)="PAYMENT-",LEFT(A142,7)="DEPLOY-"),"External","Core")</f>
        <v>External</v>
      </c>
    </row>
    <row r="143" customFormat="false" ht="15" hidden="false" customHeight="false" outlineLevel="0" collapsed="false">
      <c r="A143" s="138" t="s">
        <v>1293</v>
      </c>
      <c r="B143" s="138" t="s">
        <v>1275</v>
      </c>
      <c r="C143" s="138" t="s">
        <v>1294</v>
      </c>
      <c r="D143" s="138" t="s">
        <v>1295</v>
      </c>
      <c r="E143" s="138" t="s">
        <v>1296</v>
      </c>
      <c r="F143" s="138" t="s">
        <v>1297</v>
      </c>
      <c r="G143" s="138" t="s">
        <v>4</v>
      </c>
      <c r="H143" s="138" t="s">
        <v>1298</v>
      </c>
      <c r="I143" s="138" t="s">
        <v>1299</v>
      </c>
      <c r="J143" s="138" t="s">
        <v>1289</v>
      </c>
      <c r="K143" s="138" t="s">
        <v>1</v>
      </c>
      <c r="L143" s="138" t="s">
        <v>1300</v>
      </c>
      <c r="M143" s="138" t="s">
        <v>1301</v>
      </c>
      <c r="N143" s="138" t="s">
        <v>1</v>
      </c>
      <c r="O143" s="138" t="s">
        <v>1302</v>
      </c>
      <c r="P143" s="138" t="s">
        <v>433</v>
      </c>
      <c r="Q143" s="146" t="str">
        <f>IF(OR(ISNUMBER(SEARCH("FAIL",J143&amp;" "&amp;N143)),ISNUMBER(SEARCH("CLEAN RETEST REQUIRED",J143&amp;" "&amp;N143))),"Failed",IF(OR(ISNUMBER(SEARCH("NOT RUN",J143&amp;" "&amp;N143)),ISNUMBER(SEARCH("NOT IMPLEMENTED",J143&amp;" "&amp;N143))),"Not started",IF(OR(ISNUMBER(SEARCH("PARTIAL",J143&amp;" "&amp;N143)),ISNUMBER(SEARCH("PENDING",J143&amp;" "&amp;N143)),ISNUMBER(SEARCH("IN PROGRESS",J143&amp;" "&amp;N143)),ISNUMBER(SEARCH("OPEN",J143&amp;" "&amp;N143)),ISNUMBER(SEARCH("RETEST REQUIRED",J143&amp;" "&amp;N143)),ISNUMBER(SEARCH("IMPLEMENTATION UPDATED",J143&amp;" "&amp;N143)),ISNUMBER(SEARCH("REQUIRED EVERY SESSION",J143&amp;" "&amp;N143))),"Pending",IF(OR(N143="PASS",ISNUMBER(SEARCH("PASS",J143&amp;" "&amp;N143))),"Done","Pending"))))</f>
        <v>Not started</v>
      </c>
      <c r="R143" s="146" t="str">
        <f>IF(OR(LEFT(A143,9)="OPERATOR-",LEFT(A143,8)="PAYMENT-",LEFT(A143,7)="DEPLOY-"),"External","Core")</f>
        <v>Core</v>
      </c>
    </row>
    <row r="144" customFormat="false" ht="15" hidden="false" customHeight="false" outlineLevel="0" collapsed="false">
      <c r="A144" s="138" t="s">
        <v>1303</v>
      </c>
      <c r="B144" s="138" t="s">
        <v>1275</v>
      </c>
      <c r="C144" s="138" t="s">
        <v>1294</v>
      </c>
      <c r="D144" s="138" t="s">
        <v>1304</v>
      </c>
      <c r="E144" s="138" t="s">
        <v>1296</v>
      </c>
      <c r="F144" s="138" t="s">
        <v>1305</v>
      </c>
      <c r="G144" s="138" t="s">
        <v>4</v>
      </c>
      <c r="H144" s="138" t="s">
        <v>1298</v>
      </c>
      <c r="I144" s="138" t="s">
        <v>1306</v>
      </c>
      <c r="J144" s="138" t="s">
        <v>1289</v>
      </c>
      <c r="K144" s="138" t="s">
        <v>1</v>
      </c>
      <c r="L144" s="138" t="s">
        <v>1307</v>
      </c>
      <c r="M144" s="138" t="s">
        <v>1308</v>
      </c>
      <c r="N144" s="138" t="s">
        <v>1</v>
      </c>
      <c r="O144" s="138" t="s">
        <v>1309</v>
      </c>
      <c r="P144" s="138" t="s">
        <v>433</v>
      </c>
      <c r="Q144" s="146" t="str">
        <f>IF(OR(ISNUMBER(SEARCH("FAIL",J144&amp;" "&amp;N144)),ISNUMBER(SEARCH("CLEAN RETEST REQUIRED",J144&amp;" "&amp;N144))),"Failed",IF(OR(ISNUMBER(SEARCH("NOT RUN",J144&amp;" "&amp;N144)),ISNUMBER(SEARCH("NOT IMPLEMENTED",J144&amp;" "&amp;N144))),"Not started",IF(OR(ISNUMBER(SEARCH("PARTIAL",J144&amp;" "&amp;N144)),ISNUMBER(SEARCH("PENDING",J144&amp;" "&amp;N144)),ISNUMBER(SEARCH("IN PROGRESS",J144&amp;" "&amp;N144)),ISNUMBER(SEARCH("OPEN",J144&amp;" "&amp;N144)),ISNUMBER(SEARCH("RETEST REQUIRED",J144&amp;" "&amp;N144)),ISNUMBER(SEARCH("IMPLEMENTATION UPDATED",J144&amp;" "&amp;N144)),ISNUMBER(SEARCH("REQUIRED EVERY SESSION",J144&amp;" "&amp;N144))),"Pending",IF(OR(N144="PASS",ISNUMBER(SEARCH("PASS",J144&amp;" "&amp;N144))),"Done","Pending"))))</f>
        <v>Not started</v>
      </c>
      <c r="R144" s="146" t="str">
        <f>IF(OR(LEFT(A144,9)="OPERATOR-",LEFT(A144,8)="PAYMENT-",LEFT(A144,7)="DEPLOY-"),"External","Core")</f>
        <v>Core</v>
      </c>
    </row>
    <row r="145" customFormat="false" ht="15" hidden="false" customHeight="false" outlineLevel="0" collapsed="false">
      <c r="A145" s="138" t="s">
        <v>1310</v>
      </c>
      <c r="B145" s="138" t="s">
        <v>1275</v>
      </c>
      <c r="C145" s="138" t="s">
        <v>1311</v>
      </c>
      <c r="D145" s="138" t="s">
        <v>1312</v>
      </c>
      <c r="E145" s="138" t="s">
        <v>1313</v>
      </c>
      <c r="F145" s="138" t="s">
        <v>1314</v>
      </c>
      <c r="G145" s="138" t="s">
        <v>4</v>
      </c>
      <c r="H145" s="138" t="s">
        <v>4</v>
      </c>
      <c r="I145" s="138" t="s">
        <v>1315</v>
      </c>
      <c r="J145" s="138" t="s">
        <v>1289</v>
      </c>
      <c r="K145" s="138" t="s">
        <v>1</v>
      </c>
      <c r="L145" s="138" t="s">
        <v>1316</v>
      </c>
      <c r="M145" s="138" t="s">
        <v>1317</v>
      </c>
      <c r="N145" s="138" t="s">
        <v>1</v>
      </c>
      <c r="O145" s="138" t="s">
        <v>1318</v>
      </c>
      <c r="P145" s="138" t="s">
        <v>433</v>
      </c>
      <c r="Q145" s="146" t="str">
        <f>IF(OR(ISNUMBER(SEARCH("FAIL",J145&amp;" "&amp;N145)),ISNUMBER(SEARCH("CLEAN RETEST REQUIRED",J145&amp;" "&amp;N145))),"Failed",IF(OR(ISNUMBER(SEARCH("NOT RUN",J145&amp;" "&amp;N145)),ISNUMBER(SEARCH("NOT IMPLEMENTED",J145&amp;" "&amp;N145))),"Not started",IF(OR(ISNUMBER(SEARCH("PARTIAL",J145&amp;" "&amp;N145)),ISNUMBER(SEARCH("PENDING",J145&amp;" "&amp;N145)),ISNUMBER(SEARCH("IN PROGRESS",J145&amp;" "&amp;N145)),ISNUMBER(SEARCH("OPEN",J145&amp;" "&amp;N145)),ISNUMBER(SEARCH("RETEST REQUIRED",J145&amp;" "&amp;N145)),ISNUMBER(SEARCH("IMPLEMENTATION UPDATED",J145&amp;" "&amp;N145)),ISNUMBER(SEARCH("REQUIRED EVERY SESSION",J145&amp;" "&amp;N145))),"Pending",IF(OR(N145="PASS",ISNUMBER(SEARCH("PASS",J145&amp;" "&amp;N145))),"Done","Pending"))))</f>
        <v>Not started</v>
      </c>
      <c r="R145" s="146" t="str">
        <f>IF(OR(LEFT(A145,9)="OPERATOR-",LEFT(A145,8)="PAYMENT-",LEFT(A145,7)="DEPLOY-"),"External","Core")</f>
        <v>Core</v>
      </c>
    </row>
    <row r="146" customFormat="false" ht="15" hidden="false" customHeight="false" outlineLevel="0" collapsed="false">
      <c r="A146" s="138" t="s">
        <v>1319</v>
      </c>
      <c r="B146" s="138" t="s">
        <v>1275</v>
      </c>
      <c r="C146" s="138" t="s">
        <v>1320</v>
      </c>
      <c r="D146" s="138" t="s">
        <v>1321</v>
      </c>
      <c r="E146" s="138" t="s">
        <v>4</v>
      </c>
      <c r="F146" s="138" t="s">
        <v>1322</v>
      </c>
      <c r="G146" s="138" t="s">
        <v>4</v>
      </c>
      <c r="H146" s="138" t="s">
        <v>1323</v>
      </c>
      <c r="I146" s="138" t="s">
        <v>1324</v>
      </c>
      <c r="J146" s="138" t="s">
        <v>1289</v>
      </c>
      <c r="K146" s="138" t="s">
        <v>1</v>
      </c>
      <c r="L146" s="138" t="s">
        <v>1325</v>
      </c>
      <c r="M146" s="138" t="s">
        <v>1326</v>
      </c>
      <c r="N146" s="138" t="s">
        <v>1</v>
      </c>
      <c r="O146" s="138" t="s">
        <v>1327</v>
      </c>
      <c r="P146" s="138" t="s">
        <v>392</v>
      </c>
      <c r="Q146" s="146" t="str">
        <f>IF(OR(ISNUMBER(SEARCH("FAIL",J146&amp;" "&amp;N146)),ISNUMBER(SEARCH("CLEAN RETEST REQUIRED",J146&amp;" "&amp;N146))),"Failed",IF(OR(ISNUMBER(SEARCH("NOT RUN",J146&amp;" "&amp;N146)),ISNUMBER(SEARCH("NOT IMPLEMENTED",J146&amp;" "&amp;N146))),"Not started",IF(OR(ISNUMBER(SEARCH("PARTIAL",J146&amp;" "&amp;N146)),ISNUMBER(SEARCH("PENDING",J146&amp;" "&amp;N146)),ISNUMBER(SEARCH("IN PROGRESS",J146&amp;" "&amp;N146)),ISNUMBER(SEARCH("OPEN",J146&amp;" "&amp;N146)),ISNUMBER(SEARCH("RETEST REQUIRED",J146&amp;" "&amp;N146)),ISNUMBER(SEARCH("IMPLEMENTATION UPDATED",J146&amp;" "&amp;N146)),ISNUMBER(SEARCH("REQUIRED EVERY SESSION",J146&amp;" "&amp;N146))),"Pending",IF(OR(N146="PASS",ISNUMBER(SEARCH("PASS",J146&amp;" "&amp;N146))),"Done","Pending"))))</f>
        <v>Not started</v>
      </c>
      <c r="R146" s="146" t="str">
        <f>IF(OR(LEFT(A146,9)="OPERATOR-",LEFT(A146,8)="PAYMENT-",LEFT(A146,7)="DEPLOY-"),"External","Core")</f>
        <v>Core</v>
      </c>
    </row>
    <row r="147" customFormat="false" ht="15" hidden="false" customHeight="false" outlineLevel="0" collapsed="false">
      <c r="A147" s="243" t="s">
        <v>1328</v>
      </c>
      <c r="B147" s="243" t="s">
        <v>1329</v>
      </c>
      <c r="C147" s="243" t="s">
        <v>1330</v>
      </c>
      <c r="D147" s="243" t="s">
        <v>1331</v>
      </c>
      <c r="E147" s="243" t="s">
        <v>4</v>
      </c>
      <c r="F147" s="243" t="s">
        <v>1332</v>
      </c>
      <c r="G147" s="243" t="s">
        <v>4</v>
      </c>
      <c r="H147" s="243" t="s">
        <v>4</v>
      </c>
      <c r="I147" s="243" t="s">
        <v>1333</v>
      </c>
      <c r="J147" s="243" t="s">
        <v>1172</v>
      </c>
      <c r="K147" s="243" t="s">
        <v>1</v>
      </c>
      <c r="L147" s="243" t="s">
        <v>1334</v>
      </c>
      <c r="M147" s="243" t="s">
        <v>1335</v>
      </c>
      <c r="N147" s="243" t="s">
        <v>1</v>
      </c>
      <c r="O147" s="243" t="s">
        <v>1336</v>
      </c>
      <c r="P147" s="243" t="s">
        <v>433</v>
      </c>
      <c r="Q147" s="146" t="str">
        <f>IF(OR(ISNUMBER(SEARCH("FAIL",J147&amp;" "&amp;N147)),ISNUMBER(SEARCH("CLEAN RETEST REQUIRED",J147&amp;" "&amp;N147))),"Failed",IF(OR(ISNUMBER(SEARCH("NOT RUN",J147&amp;" "&amp;N147)),ISNUMBER(SEARCH("NOT IMPLEMENTED",J147&amp;" "&amp;N147))),"Not started",IF(OR(ISNUMBER(SEARCH("PARTIAL",J147&amp;" "&amp;N147)),ISNUMBER(SEARCH("PENDING",J147&amp;" "&amp;N147)),ISNUMBER(SEARCH("IN PROGRESS",J147&amp;" "&amp;N147)),ISNUMBER(SEARCH("OPEN",J147&amp;" "&amp;N147)),ISNUMBER(SEARCH("RETEST REQUIRED",J147&amp;" "&amp;N147)),ISNUMBER(SEARCH("IMPLEMENTATION UPDATED",J147&amp;" "&amp;N147)),ISNUMBER(SEARCH("REQUIRED EVERY SESSION",J147&amp;" "&amp;N147))),"Pending",IF(OR(N147="PASS",ISNUMBER(SEARCH("PASS",J147&amp;" "&amp;N147))),"Done","Pending"))))</f>
        <v>Not started</v>
      </c>
      <c r="R147" s="146" t="str">
        <f>IF(OR(LEFT(A147,9)="OPERATOR-",LEFT(A147,8)="PAYMENT-",LEFT(A147,7)="DEPLOY-"),"External","Core")</f>
        <v>External</v>
      </c>
    </row>
    <row r="148" customFormat="false" ht="15" hidden="false" customHeight="false" outlineLevel="0" collapsed="false">
      <c r="A148" s="243" t="s">
        <v>1337</v>
      </c>
      <c r="B148" s="243" t="s">
        <v>1329</v>
      </c>
      <c r="C148" s="243" t="s">
        <v>1330</v>
      </c>
      <c r="D148" s="243" t="s">
        <v>1338</v>
      </c>
      <c r="E148" s="243" t="s">
        <v>4</v>
      </c>
      <c r="F148" s="243" t="s">
        <v>1339</v>
      </c>
      <c r="G148" s="243" t="s">
        <v>4</v>
      </c>
      <c r="H148" s="243" t="s">
        <v>1340</v>
      </c>
      <c r="I148" s="243" t="s">
        <v>1341</v>
      </c>
      <c r="J148" s="243" t="s">
        <v>1172</v>
      </c>
      <c r="K148" s="243" t="s">
        <v>1</v>
      </c>
      <c r="L148" s="243" t="s">
        <v>1342</v>
      </c>
      <c r="M148" s="243" t="s">
        <v>1343</v>
      </c>
      <c r="N148" s="243" t="s">
        <v>1</v>
      </c>
      <c r="O148" s="243" t="s">
        <v>1344</v>
      </c>
      <c r="P148" s="243" t="s">
        <v>433</v>
      </c>
      <c r="Q148" s="146" t="str">
        <f>IF(OR(ISNUMBER(SEARCH("FAIL",J148&amp;" "&amp;N148)),ISNUMBER(SEARCH("CLEAN RETEST REQUIRED",J148&amp;" "&amp;N148))),"Failed",IF(OR(ISNUMBER(SEARCH("NOT RUN",J148&amp;" "&amp;N148)),ISNUMBER(SEARCH("NOT IMPLEMENTED",J148&amp;" "&amp;N148))),"Not started",IF(OR(ISNUMBER(SEARCH("PARTIAL",J148&amp;" "&amp;N148)),ISNUMBER(SEARCH("PENDING",J148&amp;" "&amp;N148)),ISNUMBER(SEARCH("IN PROGRESS",J148&amp;" "&amp;N148)),ISNUMBER(SEARCH("OPEN",J148&amp;" "&amp;N148)),ISNUMBER(SEARCH("RETEST REQUIRED",J148&amp;" "&amp;N148)),ISNUMBER(SEARCH("IMPLEMENTATION UPDATED",J148&amp;" "&amp;N148)),ISNUMBER(SEARCH("REQUIRED EVERY SESSION",J148&amp;" "&amp;N148))),"Pending",IF(OR(N148="PASS",ISNUMBER(SEARCH("PASS",J148&amp;" "&amp;N148))),"Done","Pending"))))</f>
        <v>Not started</v>
      </c>
      <c r="R148" s="146" t="str">
        <f>IF(OR(LEFT(A148,9)="OPERATOR-",LEFT(A148,8)="PAYMENT-",LEFT(A148,7)="DEPLOY-"),"External","Core")</f>
        <v>External</v>
      </c>
    </row>
    <row r="149" customFormat="false" ht="15" hidden="false" customHeight="false" outlineLevel="0" collapsed="false">
      <c r="A149" s="243" t="s">
        <v>1345</v>
      </c>
      <c r="B149" s="243" t="s">
        <v>1329</v>
      </c>
      <c r="C149" s="243" t="s">
        <v>1346</v>
      </c>
      <c r="D149" s="243" t="s">
        <v>1347</v>
      </c>
      <c r="E149" s="243" t="s">
        <v>4</v>
      </c>
      <c r="F149" s="243" t="s">
        <v>1348</v>
      </c>
      <c r="G149" s="243" t="s">
        <v>4</v>
      </c>
      <c r="H149" s="243" t="s">
        <v>1349</v>
      </c>
      <c r="I149" s="243" t="s">
        <v>1350</v>
      </c>
      <c r="J149" s="243" t="s">
        <v>1172</v>
      </c>
      <c r="K149" s="243" t="s">
        <v>1</v>
      </c>
      <c r="L149" s="243" t="s">
        <v>1351</v>
      </c>
      <c r="M149" s="243" t="s">
        <v>1352</v>
      </c>
      <c r="N149" s="243" t="s">
        <v>1</v>
      </c>
      <c r="O149" s="243" t="s">
        <v>1353</v>
      </c>
      <c r="P149" s="243" t="s">
        <v>433</v>
      </c>
      <c r="Q149" s="146" t="str">
        <f>IF(OR(ISNUMBER(SEARCH("FAIL",J149&amp;" "&amp;N149)),ISNUMBER(SEARCH("CLEAN RETEST REQUIRED",J149&amp;" "&amp;N149))),"Failed",IF(OR(ISNUMBER(SEARCH("NOT RUN",J149&amp;" "&amp;N149)),ISNUMBER(SEARCH("NOT IMPLEMENTED",J149&amp;" "&amp;N149))),"Not started",IF(OR(ISNUMBER(SEARCH("PARTIAL",J149&amp;" "&amp;N149)),ISNUMBER(SEARCH("PENDING",J149&amp;" "&amp;N149)),ISNUMBER(SEARCH("IN PROGRESS",J149&amp;" "&amp;N149)),ISNUMBER(SEARCH("OPEN",J149&amp;" "&amp;N149)),ISNUMBER(SEARCH("RETEST REQUIRED",J149&amp;" "&amp;N149)),ISNUMBER(SEARCH("IMPLEMENTATION UPDATED",J149&amp;" "&amp;N149)),ISNUMBER(SEARCH("REQUIRED EVERY SESSION",J149&amp;" "&amp;N149))),"Pending",IF(OR(N149="PASS",ISNUMBER(SEARCH("PASS",J149&amp;" "&amp;N149))),"Done","Pending"))))</f>
        <v>Not started</v>
      </c>
      <c r="R149" s="146" t="str">
        <f>IF(OR(LEFT(A149,9)="OPERATOR-",LEFT(A149,8)="PAYMENT-",LEFT(A149,7)="DEPLOY-"),"External","Core")</f>
        <v>External</v>
      </c>
    </row>
    <row r="150" customFormat="false" ht="15" hidden="false" customHeight="false" outlineLevel="0" collapsed="false">
      <c r="A150" s="243" t="s">
        <v>1354</v>
      </c>
      <c r="B150" s="243" t="s">
        <v>1329</v>
      </c>
      <c r="C150" s="243" t="s">
        <v>1355</v>
      </c>
      <c r="D150" s="243" t="s">
        <v>1356</v>
      </c>
      <c r="E150" s="243" t="s">
        <v>4</v>
      </c>
      <c r="F150" s="243" t="s">
        <v>1357</v>
      </c>
      <c r="G150" s="243" t="s">
        <v>4</v>
      </c>
      <c r="H150" s="243" t="s">
        <v>1358</v>
      </c>
      <c r="I150" s="243" t="s">
        <v>1359</v>
      </c>
      <c r="J150" s="243" t="s">
        <v>1172</v>
      </c>
      <c r="K150" s="243" t="s">
        <v>1</v>
      </c>
      <c r="L150" s="243" t="s">
        <v>1360</v>
      </c>
      <c r="M150" s="243" t="s">
        <v>1361</v>
      </c>
      <c r="N150" s="243" t="s">
        <v>1</v>
      </c>
      <c r="O150" s="243" t="s">
        <v>1362</v>
      </c>
      <c r="P150" s="243" t="s">
        <v>433</v>
      </c>
      <c r="Q150" s="146" t="str">
        <f>IF(OR(ISNUMBER(SEARCH("FAIL",J150&amp;" "&amp;N150)),ISNUMBER(SEARCH("CLEAN RETEST REQUIRED",J150&amp;" "&amp;N150))),"Failed",IF(OR(ISNUMBER(SEARCH("NOT RUN",J150&amp;" "&amp;N150)),ISNUMBER(SEARCH("NOT IMPLEMENTED",J150&amp;" "&amp;N150))),"Not started",IF(OR(ISNUMBER(SEARCH("PARTIAL",J150&amp;" "&amp;N150)),ISNUMBER(SEARCH("PENDING",J150&amp;" "&amp;N150)),ISNUMBER(SEARCH("IN PROGRESS",J150&amp;" "&amp;N150)),ISNUMBER(SEARCH("OPEN",J150&amp;" "&amp;N150)),ISNUMBER(SEARCH("RETEST REQUIRED",J150&amp;" "&amp;N150)),ISNUMBER(SEARCH("IMPLEMENTATION UPDATED",J150&amp;" "&amp;N150)),ISNUMBER(SEARCH("REQUIRED EVERY SESSION",J150&amp;" "&amp;N150))),"Pending",IF(OR(N150="PASS",ISNUMBER(SEARCH("PASS",J150&amp;" "&amp;N150))),"Done","Pending"))))</f>
        <v>Not started</v>
      </c>
      <c r="R150" s="146" t="str">
        <f>IF(OR(LEFT(A150,9)="OPERATOR-",LEFT(A150,8)="PAYMENT-",LEFT(A150,7)="DEPLOY-"),"External","Core")</f>
        <v>External</v>
      </c>
    </row>
    <row r="151" customFormat="false" ht="15" hidden="false" customHeight="false" outlineLevel="0" collapsed="false">
      <c r="A151" s="243" t="s">
        <v>1363</v>
      </c>
      <c r="B151" s="243" t="s">
        <v>1329</v>
      </c>
      <c r="C151" s="243" t="s">
        <v>1364</v>
      </c>
      <c r="D151" s="243" t="s">
        <v>1365</v>
      </c>
      <c r="E151" s="243" t="s">
        <v>4</v>
      </c>
      <c r="F151" s="243" t="s">
        <v>1366</v>
      </c>
      <c r="G151" s="243" t="s">
        <v>4</v>
      </c>
      <c r="H151" s="243" t="s">
        <v>4</v>
      </c>
      <c r="I151" s="243" t="s">
        <v>1367</v>
      </c>
      <c r="J151" s="243" t="s">
        <v>1172</v>
      </c>
      <c r="K151" s="243" t="s">
        <v>1</v>
      </c>
      <c r="L151" s="243" t="s">
        <v>1368</v>
      </c>
      <c r="M151" s="243" t="s">
        <v>1369</v>
      </c>
      <c r="N151" s="243" t="s">
        <v>1</v>
      </c>
      <c r="O151" s="243" t="s">
        <v>1370</v>
      </c>
      <c r="P151" s="243" t="s">
        <v>227</v>
      </c>
      <c r="Q151" s="146" t="str">
        <f>IF(OR(ISNUMBER(SEARCH("FAIL",J151&amp;" "&amp;N151)),ISNUMBER(SEARCH("CLEAN RETEST REQUIRED",J151&amp;" "&amp;N151))),"Failed",IF(OR(ISNUMBER(SEARCH("NOT RUN",J151&amp;" "&amp;N151)),ISNUMBER(SEARCH("NOT IMPLEMENTED",J151&amp;" "&amp;N151))),"Not started",IF(OR(ISNUMBER(SEARCH("PARTIAL",J151&amp;" "&amp;N151)),ISNUMBER(SEARCH("PENDING",J151&amp;" "&amp;N151)),ISNUMBER(SEARCH("IN PROGRESS",J151&amp;" "&amp;N151)),ISNUMBER(SEARCH("OPEN",J151&amp;" "&amp;N151)),ISNUMBER(SEARCH("RETEST REQUIRED",J151&amp;" "&amp;N151)),ISNUMBER(SEARCH("IMPLEMENTATION UPDATED",J151&amp;" "&amp;N151)),ISNUMBER(SEARCH("REQUIRED EVERY SESSION",J151&amp;" "&amp;N151))),"Pending",IF(OR(N151="PASS",ISNUMBER(SEARCH("PASS",J151&amp;" "&amp;N151))),"Done","Pending"))))</f>
        <v>Not started</v>
      </c>
      <c r="R151" s="146" t="str">
        <f>IF(OR(LEFT(A151,9)="OPERATOR-",LEFT(A151,8)="PAYMENT-",LEFT(A151,7)="DEPLOY-"),"External","Core")</f>
        <v>External</v>
      </c>
    </row>
    <row r="152" customFormat="false" ht="15" hidden="false" customHeight="false" outlineLevel="0" collapsed="false">
      <c r="A152" s="243" t="s">
        <v>1371</v>
      </c>
      <c r="B152" s="243" t="s">
        <v>1329</v>
      </c>
      <c r="C152" s="243" t="s">
        <v>1372</v>
      </c>
      <c r="D152" s="243" t="s">
        <v>1373</v>
      </c>
      <c r="E152" s="243" t="s">
        <v>4</v>
      </c>
      <c r="F152" s="243" t="s">
        <v>1374</v>
      </c>
      <c r="G152" s="243" t="s">
        <v>4</v>
      </c>
      <c r="H152" s="243" t="s">
        <v>4</v>
      </c>
      <c r="I152" s="243" t="s">
        <v>1375</v>
      </c>
      <c r="J152" s="243" t="s">
        <v>1172</v>
      </c>
      <c r="K152" s="243" t="s">
        <v>1</v>
      </c>
      <c r="L152" s="243" t="s">
        <v>1376</v>
      </c>
      <c r="M152" s="243" t="s">
        <v>1377</v>
      </c>
      <c r="N152" s="243" t="s">
        <v>1</v>
      </c>
      <c r="O152" s="243" t="s">
        <v>1378</v>
      </c>
      <c r="P152" s="243" t="s">
        <v>433</v>
      </c>
      <c r="Q152" s="146" t="str">
        <f>IF(OR(ISNUMBER(SEARCH("FAIL",J152&amp;" "&amp;N152)),ISNUMBER(SEARCH("CLEAN RETEST REQUIRED",J152&amp;" "&amp;N152))),"Failed",IF(OR(ISNUMBER(SEARCH("NOT RUN",J152&amp;" "&amp;N152)),ISNUMBER(SEARCH("NOT IMPLEMENTED",J152&amp;" "&amp;N152))),"Not started",IF(OR(ISNUMBER(SEARCH("PARTIAL",J152&amp;" "&amp;N152)),ISNUMBER(SEARCH("PENDING",J152&amp;" "&amp;N152)),ISNUMBER(SEARCH("IN PROGRESS",J152&amp;" "&amp;N152)),ISNUMBER(SEARCH("OPEN",J152&amp;" "&amp;N152)),ISNUMBER(SEARCH("RETEST REQUIRED",J152&amp;" "&amp;N152)),ISNUMBER(SEARCH("IMPLEMENTATION UPDATED",J152&amp;" "&amp;N152)),ISNUMBER(SEARCH("REQUIRED EVERY SESSION",J152&amp;" "&amp;N152))),"Pending",IF(OR(N152="PASS",ISNUMBER(SEARCH("PASS",J152&amp;" "&amp;N152))),"Done","Pending"))))</f>
        <v>Not started</v>
      </c>
      <c r="R152" s="146" t="str">
        <f>IF(OR(LEFT(A152,9)="OPERATOR-",LEFT(A152,8)="PAYMENT-",LEFT(A152,7)="DEPLOY-"),"External","Core")</f>
        <v>External</v>
      </c>
    </row>
    <row r="153" customFormat="false" ht="15" hidden="false" customHeight="false" outlineLevel="0" collapsed="false">
      <c r="A153" s="243" t="s">
        <v>1379</v>
      </c>
      <c r="B153" s="243" t="s">
        <v>1329</v>
      </c>
      <c r="C153" s="243" t="s">
        <v>1380</v>
      </c>
      <c r="D153" s="243" t="s">
        <v>1381</v>
      </c>
      <c r="E153" s="243" t="s">
        <v>4</v>
      </c>
      <c r="F153" s="243" t="s">
        <v>1382</v>
      </c>
      <c r="G153" s="243" t="s">
        <v>4</v>
      </c>
      <c r="H153" s="243" t="s">
        <v>1383</v>
      </c>
      <c r="I153" s="243" t="s">
        <v>1384</v>
      </c>
      <c r="J153" s="243" t="s">
        <v>1172</v>
      </c>
      <c r="K153" s="243" t="s">
        <v>1</v>
      </c>
      <c r="L153" s="243" t="s">
        <v>1385</v>
      </c>
      <c r="M153" s="243" t="s">
        <v>1386</v>
      </c>
      <c r="N153" s="243" t="s">
        <v>1</v>
      </c>
      <c r="O153" s="243" t="s">
        <v>1387</v>
      </c>
      <c r="P153" s="243" t="s">
        <v>392</v>
      </c>
      <c r="Q153" s="146" t="str">
        <f>IF(OR(ISNUMBER(SEARCH("FAIL",J153&amp;" "&amp;N153)),ISNUMBER(SEARCH("CLEAN RETEST REQUIRED",J153&amp;" "&amp;N153))),"Failed",IF(OR(ISNUMBER(SEARCH("NOT RUN",J153&amp;" "&amp;N153)),ISNUMBER(SEARCH("NOT IMPLEMENTED",J153&amp;" "&amp;N153))),"Not started",IF(OR(ISNUMBER(SEARCH("PARTIAL",J153&amp;" "&amp;N153)),ISNUMBER(SEARCH("PENDING",J153&amp;" "&amp;N153)),ISNUMBER(SEARCH("IN PROGRESS",J153&amp;" "&amp;N153)),ISNUMBER(SEARCH("OPEN",J153&amp;" "&amp;N153)),ISNUMBER(SEARCH("RETEST REQUIRED",J153&amp;" "&amp;N153)),ISNUMBER(SEARCH("IMPLEMENTATION UPDATED",J153&amp;" "&amp;N153)),ISNUMBER(SEARCH("REQUIRED EVERY SESSION",J153&amp;" "&amp;N153))),"Pending",IF(OR(N153="PASS",ISNUMBER(SEARCH("PASS",J153&amp;" "&amp;N153))),"Done","Pending"))))</f>
        <v>Not started</v>
      </c>
      <c r="R153" s="146" t="str">
        <f>IF(OR(LEFT(A153,9)="OPERATOR-",LEFT(A153,8)="PAYMENT-",LEFT(A153,7)="DEPLOY-"),"External","Core")</f>
        <v>External</v>
      </c>
    </row>
    <row r="154" customFormat="false" ht="15" hidden="false" customHeight="false" outlineLevel="0" collapsed="false">
      <c r="A154" s="243" t="s">
        <v>1388</v>
      </c>
      <c r="B154" s="243" t="s">
        <v>1329</v>
      </c>
      <c r="C154" s="243" t="s">
        <v>1389</v>
      </c>
      <c r="D154" s="243" t="s">
        <v>1390</v>
      </c>
      <c r="E154" s="243" t="s">
        <v>1391</v>
      </c>
      <c r="F154" s="243" t="s">
        <v>1392</v>
      </c>
      <c r="G154" s="243" t="s">
        <v>4</v>
      </c>
      <c r="H154" s="243" t="s">
        <v>1393</v>
      </c>
      <c r="I154" s="243" t="s">
        <v>1394</v>
      </c>
      <c r="J154" s="243" t="s">
        <v>1172</v>
      </c>
      <c r="K154" s="243" t="s">
        <v>1</v>
      </c>
      <c r="L154" s="243" t="s">
        <v>1395</v>
      </c>
      <c r="M154" s="243" t="s">
        <v>1396</v>
      </c>
      <c r="N154" s="243" t="s">
        <v>1</v>
      </c>
      <c r="O154" s="243" t="s">
        <v>1397</v>
      </c>
      <c r="P154" s="243" t="s">
        <v>433</v>
      </c>
      <c r="Q154" s="146" t="str">
        <f>IF(OR(ISNUMBER(SEARCH("FAIL",J154&amp;" "&amp;N154)),ISNUMBER(SEARCH("CLEAN RETEST REQUIRED",J154&amp;" "&amp;N154))),"Failed",IF(OR(ISNUMBER(SEARCH("NOT RUN",J154&amp;" "&amp;N154)),ISNUMBER(SEARCH("NOT IMPLEMENTED",J154&amp;" "&amp;N154))),"Not started",IF(OR(ISNUMBER(SEARCH("PARTIAL",J154&amp;" "&amp;N154)),ISNUMBER(SEARCH("PENDING",J154&amp;" "&amp;N154)),ISNUMBER(SEARCH("IN PROGRESS",J154&amp;" "&amp;N154)),ISNUMBER(SEARCH("OPEN",J154&amp;" "&amp;N154)),ISNUMBER(SEARCH("RETEST REQUIRED",J154&amp;" "&amp;N154)),ISNUMBER(SEARCH("IMPLEMENTATION UPDATED",J154&amp;" "&amp;N154)),ISNUMBER(SEARCH("REQUIRED EVERY SESSION",J154&amp;" "&amp;N154))),"Pending",IF(OR(N154="PASS",ISNUMBER(SEARCH("PASS",J154&amp;" "&amp;N154))),"Done","Pending"))))</f>
        <v>Not started</v>
      </c>
      <c r="R154" s="146" t="str">
        <f>IF(OR(LEFT(A154,9)="OPERATOR-",LEFT(A154,8)="PAYMENT-",LEFT(A154,7)="DEPLOY-"),"External","Core")</f>
        <v>External</v>
      </c>
    </row>
    <row r="155" customFormat="false" ht="15" hidden="false" customHeight="false" outlineLevel="0" collapsed="false">
      <c r="A155" s="243" t="s">
        <v>1398</v>
      </c>
      <c r="B155" s="243" t="s">
        <v>1329</v>
      </c>
      <c r="C155" s="243" t="s">
        <v>1399</v>
      </c>
      <c r="D155" s="243" t="s">
        <v>1400</v>
      </c>
      <c r="E155" s="243" t="s">
        <v>1401</v>
      </c>
      <c r="F155" s="243" t="s">
        <v>4</v>
      </c>
      <c r="G155" s="243" t="s">
        <v>1402</v>
      </c>
      <c r="H155" s="243" t="s">
        <v>4</v>
      </c>
      <c r="I155" s="243" t="s">
        <v>1403</v>
      </c>
      <c r="J155" s="243" t="s">
        <v>1172</v>
      </c>
      <c r="K155" s="243" t="s">
        <v>1</v>
      </c>
      <c r="L155" s="243" t="s">
        <v>1404</v>
      </c>
      <c r="M155" s="243" t="s">
        <v>1405</v>
      </c>
      <c r="N155" s="243" t="s">
        <v>1</v>
      </c>
      <c r="O155" s="243" t="s">
        <v>1406</v>
      </c>
      <c r="P155" s="243" t="s">
        <v>1407</v>
      </c>
      <c r="Q155" s="146" t="str">
        <f>IF(OR(ISNUMBER(SEARCH("FAIL",J155&amp;" "&amp;N155)),ISNUMBER(SEARCH("CLEAN RETEST REQUIRED",J155&amp;" "&amp;N155))),"Failed",IF(OR(ISNUMBER(SEARCH("NOT RUN",J155&amp;" "&amp;N155)),ISNUMBER(SEARCH("NOT IMPLEMENTED",J155&amp;" "&amp;N155))),"Not started",IF(OR(ISNUMBER(SEARCH("PARTIAL",J155&amp;" "&amp;N155)),ISNUMBER(SEARCH("PENDING",J155&amp;" "&amp;N155)),ISNUMBER(SEARCH("IN PROGRESS",J155&amp;" "&amp;N155)),ISNUMBER(SEARCH("OPEN",J155&amp;" "&amp;N155)),ISNUMBER(SEARCH("RETEST REQUIRED",J155&amp;" "&amp;N155)),ISNUMBER(SEARCH("IMPLEMENTATION UPDATED",J155&amp;" "&amp;N155)),ISNUMBER(SEARCH("REQUIRED EVERY SESSION",J155&amp;" "&amp;N155))),"Pending",IF(OR(N155="PASS",ISNUMBER(SEARCH("PASS",J155&amp;" "&amp;N155))),"Done","Pending"))))</f>
        <v>Not started</v>
      </c>
      <c r="R155" s="146" t="str">
        <f>IF(OR(LEFT(A155,9)="OPERATOR-",LEFT(A155,8)="PAYMENT-",LEFT(A155,7)="DEPLOY-"),"External","Core")</f>
        <v>External</v>
      </c>
    </row>
    <row r="156" customFormat="false" ht="15" hidden="false" customHeight="false" outlineLevel="0" collapsed="false">
      <c r="A156" s="243" t="s">
        <v>1408</v>
      </c>
      <c r="B156" s="243" t="s">
        <v>1329</v>
      </c>
      <c r="C156" s="243" t="s">
        <v>1409</v>
      </c>
      <c r="D156" s="243" t="s">
        <v>1410</v>
      </c>
      <c r="E156" s="243" t="s">
        <v>1411</v>
      </c>
      <c r="F156" s="243" t="s">
        <v>1412</v>
      </c>
      <c r="G156" s="243" t="s">
        <v>4</v>
      </c>
      <c r="H156" s="243" t="s">
        <v>1413</v>
      </c>
      <c r="I156" s="243" t="s">
        <v>1414</v>
      </c>
      <c r="J156" s="243" t="s">
        <v>1172</v>
      </c>
      <c r="K156" s="243" t="s">
        <v>1</v>
      </c>
      <c r="L156" s="243" t="s">
        <v>1415</v>
      </c>
      <c r="M156" s="243" t="s">
        <v>1416</v>
      </c>
      <c r="N156" s="243" t="s">
        <v>1</v>
      </c>
      <c r="O156" s="243" t="s">
        <v>1417</v>
      </c>
      <c r="P156" s="243" t="s">
        <v>1407</v>
      </c>
      <c r="Q156" s="146" t="str">
        <f>IF(OR(ISNUMBER(SEARCH("FAIL",J156&amp;" "&amp;N156)),ISNUMBER(SEARCH("CLEAN RETEST REQUIRED",J156&amp;" "&amp;N156))),"Failed",IF(OR(ISNUMBER(SEARCH("NOT RUN",J156&amp;" "&amp;N156)),ISNUMBER(SEARCH("NOT IMPLEMENTED",J156&amp;" "&amp;N156))),"Not started",IF(OR(ISNUMBER(SEARCH("PARTIAL",J156&amp;" "&amp;N156)),ISNUMBER(SEARCH("PENDING",J156&amp;" "&amp;N156)),ISNUMBER(SEARCH("IN PROGRESS",J156&amp;" "&amp;N156)),ISNUMBER(SEARCH("OPEN",J156&amp;" "&amp;N156)),ISNUMBER(SEARCH("RETEST REQUIRED",J156&amp;" "&amp;N156)),ISNUMBER(SEARCH("IMPLEMENTATION UPDATED",J156&amp;" "&amp;N156)),ISNUMBER(SEARCH("REQUIRED EVERY SESSION",J156&amp;" "&amp;N156))),"Pending",IF(OR(N156="PASS",ISNUMBER(SEARCH("PASS",J156&amp;" "&amp;N156))),"Done","Pending"))))</f>
        <v>Not started</v>
      </c>
      <c r="R156" s="146" t="str">
        <f>IF(OR(LEFT(A156,9)="OPERATOR-",LEFT(A156,8)="PAYMENT-",LEFT(A156,7)="DEPLOY-"),"External","Core")</f>
        <v>External</v>
      </c>
    </row>
    <row r="157" customFormat="false" ht="15" hidden="false" customHeight="false" outlineLevel="0" collapsed="false">
      <c r="A157" s="243" t="s">
        <v>1418</v>
      </c>
      <c r="B157" s="243" t="s">
        <v>1329</v>
      </c>
      <c r="C157" s="243" t="s">
        <v>1419</v>
      </c>
      <c r="D157" s="243" t="s">
        <v>1420</v>
      </c>
      <c r="E157" s="243" t="s">
        <v>4</v>
      </c>
      <c r="F157" s="243" t="s">
        <v>1421</v>
      </c>
      <c r="G157" s="243" t="s">
        <v>4</v>
      </c>
      <c r="H157" s="243" t="s">
        <v>4</v>
      </c>
      <c r="I157" s="243" t="s">
        <v>1422</v>
      </c>
      <c r="J157" s="243" t="s">
        <v>1172</v>
      </c>
      <c r="K157" s="243" t="s">
        <v>1</v>
      </c>
      <c r="L157" s="243" t="s">
        <v>1423</v>
      </c>
      <c r="M157" s="243" t="s">
        <v>1424</v>
      </c>
      <c r="N157" s="243" t="s">
        <v>1</v>
      </c>
      <c r="O157" s="243" t="s">
        <v>1425</v>
      </c>
      <c r="P157" s="243" t="s">
        <v>1426</v>
      </c>
      <c r="Q157" s="146" t="str">
        <f>IF(OR(ISNUMBER(SEARCH("FAIL",J157&amp;" "&amp;N157)),ISNUMBER(SEARCH("CLEAN RETEST REQUIRED",J157&amp;" "&amp;N157))),"Failed",IF(OR(ISNUMBER(SEARCH("NOT RUN",J157&amp;" "&amp;N157)),ISNUMBER(SEARCH("NOT IMPLEMENTED",J157&amp;" "&amp;N157))),"Not started",IF(OR(ISNUMBER(SEARCH("PARTIAL",J157&amp;" "&amp;N157)),ISNUMBER(SEARCH("PENDING",J157&amp;" "&amp;N157)),ISNUMBER(SEARCH("IN PROGRESS",J157&amp;" "&amp;N157)),ISNUMBER(SEARCH("OPEN",J157&amp;" "&amp;N157)),ISNUMBER(SEARCH("RETEST REQUIRED",J157&amp;" "&amp;N157)),ISNUMBER(SEARCH("IMPLEMENTATION UPDATED",J157&amp;" "&amp;N157)),ISNUMBER(SEARCH("REQUIRED EVERY SESSION",J157&amp;" "&amp;N157))),"Pending",IF(OR(N157="PASS",ISNUMBER(SEARCH("PASS",J157&amp;" "&amp;N157))),"Done","Pending"))))</f>
        <v>Not started</v>
      </c>
      <c r="R157" s="146" t="str">
        <f>IF(OR(LEFT(A157,9)="OPERATOR-",LEFT(A157,8)="PAYMENT-",LEFT(A157,7)="DEPLOY-"),"External","Core")</f>
        <v>External</v>
      </c>
    </row>
    <row r="158" customFormat="false" ht="15" hidden="false" customHeight="false" outlineLevel="0" collapsed="false">
      <c r="A158" s="243" t="s">
        <v>1427</v>
      </c>
      <c r="B158" s="243" t="s">
        <v>1428</v>
      </c>
      <c r="C158" s="243" t="s">
        <v>1429</v>
      </c>
      <c r="D158" s="243" t="s">
        <v>1430</v>
      </c>
      <c r="E158" s="243" t="s">
        <v>4</v>
      </c>
      <c r="F158" s="243" t="s">
        <v>1431</v>
      </c>
      <c r="G158" s="243" t="s">
        <v>4</v>
      </c>
      <c r="H158" s="243" t="s">
        <v>1432</v>
      </c>
      <c r="I158" s="243" t="s">
        <v>1433</v>
      </c>
      <c r="J158" s="243" t="s">
        <v>1172</v>
      </c>
      <c r="K158" s="243" t="s">
        <v>1</v>
      </c>
      <c r="L158" s="243" t="s">
        <v>1434</v>
      </c>
      <c r="M158" s="243" t="s">
        <v>1435</v>
      </c>
      <c r="N158" s="243" t="s">
        <v>1</v>
      </c>
      <c r="O158" s="243" t="s">
        <v>1436</v>
      </c>
      <c r="P158" s="243" t="s">
        <v>433</v>
      </c>
      <c r="Q158" s="146" t="str">
        <f>IF(OR(ISNUMBER(SEARCH("FAIL",J158&amp;" "&amp;N158)),ISNUMBER(SEARCH("CLEAN RETEST REQUIRED",J158&amp;" "&amp;N158))),"Failed",IF(OR(ISNUMBER(SEARCH("NOT RUN",J158&amp;" "&amp;N158)),ISNUMBER(SEARCH("NOT IMPLEMENTED",J158&amp;" "&amp;N158))),"Not started",IF(OR(ISNUMBER(SEARCH("PARTIAL",J158&amp;" "&amp;N158)),ISNUMBER(SEARCH("PENDING",J158&amp;" "&amp;N158)),ISNUMBER(SEARCH("IN PROGRESS",J158&amp;" "&amp;N158)),ISNUMBER(SEARCH("OPEN",J158&amp;" "&amp;N158)),ISNUMBER(SEARCH("RETEST REQUIRED",J158&amp;" "&amp;N158)),ISNUMBER(SEARCH("IMPLEMENTATION UPDATED",J158&amp;" "&amp;N158)),ISNUMBER(SEARCH("REQUIRED EVERY SESSION",J158&amp;" "&amp;N158))),"Pending",IF(OR(N158="PASS",ISNUMBER(SEARCH("PASS",J158&amp;" "&amp;N158))),"Done","Pending"))))</f>
        <v>Not started</v>
      </c>
      <c r="R158" s="146" t="str">
        <f>IF(OR(LEFT(A158,9)="OPERATOR-",LEFT(A158,8)="PAYMENT-",LEFT(A158,7)="DEPLOY-"),"External","Core")</f>
        <v>External</v>
      </c>
    </row>
    <row r="159" customFormat="false" ht="15" hidden="false" customHeight="false" outlineLevel="0" collapsed="false">
      <c r="A159" s="243" t="s">
        <v>1437</v>
      </c>
      <c r="B159" s="243" t="s">
        <v>1428</v>
      </c>
      <c r="C159" s="243" t="s">
        <v>1429</v>
      </c>
      <c r="D159" s="243" t="s">
        <v>1438</v>
      </c>
      <c r="E159" s="243" t="s">
        <v>4</v>
      </c>
      <c r="F159" s="243" t="s">
        <v>1439</v>
      </c>
      <c r="G159" s="243" t="s">
        <v>4</v>
      </c>
      <c r="H159" s="243" t="s">
        <v>1440</v>
      </c>
      <c r="I159" s="243" t="s">
        <v>1441</v>
      </c>
      <c r="J159" s="243" t="s">
        <v>1172</v>
      </c>
      <c r="K159" s="243" t="s">
        <v>1</v>
      </c>
      <c r="L159" s="243" t="s">
        <v>1442</v>
      </c>
      <c r="M159" s="243" t="s">
        <v>1443</v>
      </c>
      <c r="N159" s="243" t="s">
        <v>1</v>
      </c>
      <c r="O159" s="243" t="s">
        <v>1444</v>
      </c>
      <c r="P159" s="243" t="s">
        <v>433</v>
      </c>
      <c r="Q159" s="146" t="str">
        <f>IF(OR(ISNUMBER(SEARCH("FAIL",J159&amp;" "&amp;N159)),ISNUMBER(SEARCH("CLEAN RETEST REQUIRED",J159&amp;" "&amp;N159))),"Failed",IF(OR(ISNUMBER(SEARCH("NOT RUN",J159&amp;" "&amp;N159)),ISNUMBER(SEARCH("NOT IMPLEMENTED",J159&amp;" "&amp;N159))),"Not started",IF(OR(ISNUMBER(SEARCH("PARTIAL",J159&amp;" "&amp;N159)),ISNUMBER(SEARCH("PENDING",J159&amp;" "&amp;N159)),ISNUMBER(SEARCH("IN PROGRESS",J159&amp;" "&amp;N159)),ISNUMBER(SEARCH("OPEN",J159&amp;" "&amp;N159)),ISNUMBER(SEARCH("RETEST REQUIRED",J159&amp;" "&amp;N159)),ISNUMBER(SEARCH("IMPLEMENTATION UPDATED",J159&amp;" "&amp;N159)),ISNUMBER(SEARCH("REQUIRED EVERY SESSION",J159&amp;" "&amp;N159))),"Pending",IF(OR(N159="PASS",ISNUMBER(SEARCH("PASS",J159&amp;" "&amp;N159))),"Done","Pending"))))</f>
        <v>Not started</v>
      </c>
      <c r="R159" s="146" t="str">
        <f>IF(OR(LEFT(A159,9)="OPERATOR-",LEFT(A159,8)="PAYMENT-",LEFT(A159,7)="DEPLOY-"),"External","Core")</f>
        <v>External</v>
      </c>
    </row>
    <row r="160" customFormat="false" ht="15" hidden="false" customHeight="false" outlineLevel="0" collapsed="false">
      <c r="A160" s="243" t="s">
        <v>1445</v>
      </c>
      <c r="B160" s="243" t="s">
        <v>1428</v>
      </c>
      <c r="C160" s="243" t="s">
        <v>1446</v>
      </c>
      <c r="D160" s="243" t="s">
        <v>1447</v>
      </c>
      <c r="E160" s="243" t="s">
        <v>4</v>
      </c>
      <c r="F160" s="243" t="s">
        <v>1448</v>
      </c>
      <c r="G160" s="243" t="s">
        <v>4</v>
      </c>
      <c r="H160" s="243" t="s">
        <v>1449</v>
      </c>
      <c r="I160" s="243" t="s">
        <v>1450</v>
      </c>
      <c r="J160" s="243" t="s">
        <v>1172</v>
      </c>
      <c r="K160" s="243" t="s">
        <v>1</v>
      </c>
      <c r="L160" s="243" t="s">
        <v>1451</v>
      </c>
      <c r="M160" s="243" t="s">
        <v>1452</v>
      </c>
      <c r="N160" s="243" t="s">
        <v>1</v>
      </c>
      <c r="O160" s="243" t="s">
        <v>1453</v>
      </c>
      <c r="P160" s="243" t="s">
        <v>433</v>
      </c>
      <c r="Q160" s="146" t="str">
        <f>IF(OR(ISNUMBER(SEARCH("FAIL",J160&amp;" "&amp;N160)),ISNUMBER(SEARCH("CLEAN RETEST REQUIRED",J160&amp;" "&amp;N160))),"Failed",IF(OR(ISNUMBER(SEARCH("NOT RUN",J160&amp;" "&amp;N160)),ISNUMBER(SEARCH("NOT IMPLEMENTED",J160&amp;" "&amp;N160))),"Not started",IF(OR(ISNUMBER(SEARCH("PARTIAL",J160&amp;" "&amp;N160)),ISNUMBER(SEARCH("PENDING",J160&amp;" "&amp;N160)),ISNUMBER(SEARCH("IN PROGRESS",J160&amp;" "&amp;N160)),ISNUMBER(SEARCH("OPEN",J160&amp;" "&amp;N160)),ISNUMBER(SEARCH("RETEST REQUIRED",J160&amp;" "&amp;N160)),ISNUMBER(SEARCH("IMPLEMENTATION UPDATED",J160&amp;" "&amp;N160)),ISNUMBER(SEARCH("REQUIRED EVERY SESSION",J160&amp;" "&amp;N160))),"Pending",IF(OR(N160="PASS",ISNUMBER(SEARCH("PASS",J160&amp;" "&amp;N160))),"Done","Pending"))))</f>
        <v>Not started</v>
      </c>
      <c r="R160" s="146" t="str">
        <f>IF(OR(LEFT(A160,9)="OPERATOR-",LEFT(A160,8)="PAYMENT-",LEFT(A160,7)="DEPLOY-"),"External","Core")</f>
        <v>External</v>
      </c>
    </row>
    <row r="161" customFormat="false" ht="15" hidden="false" customHeight="false" outlineLevel="0" collapsed="false">
      <c r="A161" s="243" t="s">
        <v>1454</v>
      </c>
      <c r="B161" s="243" t="s">
        <v>1428</v>
      </c>
      <c r="C161" s="243" t="s">
        <v>1455</v>
      </c>
      <c r="D161" s="243" t="s">
        <v>1456</v>
      </c>
      <c r="E161" s="243" t="s">
        <v>4</v>
      </c>
      <c r="F161" s="243" t="s">
        <v>1457</v>
      </c>
      <c r="G161" s="243" t="s">
        <v>4</v>
      </c>
      <c r="H161" s="243" t="s">
        <v>1458</v>
      </c>
      <c r="I161" s="243" t="s">
        <v>1459</v>
      </c>
      <c r="J161" s="243" t="s">
        <v>1172</v>
      </c>
      <c r="K161" s="243" t="s">
        <v>1</v>
      </c>
      <c r="L161" s="243" t="s">
        <v>1460</v>
      </c>
      <c r="M161" s="243" t="s">
        <v>1461</v>
      </c>
      <c r="N161" s="243" t="s">
        <v>1</v>
      </c>
      <c r="O161" s="243" t="s">
        <v>1462</v>
      </c>
      <c r="P161" s="243" t="s">
        <v>433</v>
      </c>
      <c r="Q161" s="146" t="str">
        <f>IF(OR(ISNUMBER(SEARCH("FAIL",J161&amp;" "&amp;N161)),ISNUMBER(SEARCH("CLEAN RETEST REQUIRED",J161&amp;" "&amp;N161))),"Failed",IF(OR(ISNUMBER(SEARCH("NOT RUN",J161&amp;" "&amp;N161)),ISNUMBER(SEARCH("NOT IMPLEMENTED",J161&amp;" "&amp;N161))),"Not started",IF(OR(ISNUMBER(SEARCH("PARTIAL",J161&amp;" "&amp;N161)),ISNUMBER(SEARCH("PENDING",J161&amp;" "&amp;N161)),ISNUMBER(SEARCH("IN PROGRESS",J161&amp;" "&amp;N161)),ISNUMBER(SEARCH("OPEN",J161&amp;" "&amp;N161)),ISNUMBER(SEARCH("RETEST REQUIRED",J161&amp;" "&amp;N161)),ISNUMBER(SEARCH("IMPLEMENTATION UPDATED",J161&amp;" "&amp;N161)),ISNUMBER(SEARCH("REQUIRED EVERY SESSION",J161&amp;" "&amp;N161))),"Pending",IF(OR(N161="PASS",ISNUMBER(SEARCH("PASS",J161&amp;" "&amp;N161))),"Done","Pending"))))</f>
        <v>Not started</v>
      </c>
      <c r="R161" s="146" t="str">
        <f>IF(OR(LEFT(A161,9)="OPERATOR-",LEFT(A161,8)="PAYMENT-",LEFT(A161,7)="DEPLOY-"),"External","Core")</f>
        <v>External</v>
      </c>
    </row>
    <row r="162" customFormat="false" ht="15" hidden="false" customHeight="false" outlineLevel="0" collapsed="false">
      <c r="A162" s="243" t="s">
        <v>1463</v>
      </c>
      <c r="B162" s="243" t="s">
        <v>1428</v>
      </c>
      <c r="C162" s="243" t="s">
        <v>1464</v>
      </c>
      <c r="D162" s="243" t="s">
        <v>1465</v>
      </c>
      <c r="E162" s="243" t="s">
        <v>4</v>
      </c>
      <c r="F162" s="243" t="s">
        <v>1466</v>
      </c>
      <c r="G162" s="243" t="s">
        <v>4</v>
      </c>
      <c r="H162" s="243" t="s">
        <v>1467</v>
      </c>
      <c r="I162" s="243" t="s">
        <v>1468</v>
      </c>
      <c r="J162" s="243" t="s">
        <v>1172</v>
      </c>
      <c r="K162" s="243" t="s">
        <v>1</v>
      </c>
      <c r="L162" s="243" t="s">
        <v>1469</v>
      </c>
      <c r="M162" s="243" t="s">
        <v>1470</v>
      </c>
      <c r="N162" s="243" t="s">
        <v>1</v>
      </c>
      <c r="O162" s="243" t="s">
        <v>1471</v>
      </c>
      <c r="P162" s="243" t="s">
        <v>433</v>
      </c>
      <c r="Q162" s="146" t="str">
        <f>IF(OR(ISNUMBER(SEARCH("FAIL",J162&amp;" "&amp;N162)),ISNUMBER(SEARCH("CLEAN RETEST REQUIRED",J162&amp;" "&amp;N162))),"Failed",IF(OR(ISNUMBER(SEARCH("NOT RUN",J162&amp;" "&amp;N162)),ISNUMBER(SEARCH("NOT IMPLEMENTED",J162&amp;" "&amp;N162))),"Not started",IF(OR(ISNUMBER(SEARCH("PARTIAL",J162&amp;" "&amp;N162)),ISNUMBER(SEARCH("PENDING",J162&amp;" "&amp;N162)),ISNUMBER(SEARCH("IN PROGRESS",J162&amp;" "&amp;N162)),ISNUMBER(SEARCH("OPEN",J162&amp;" "&amp;N162)),ISNUMBER(SEARCH("RETEST REQUIRED",J162&amp;" "&amp;N162)),ISNUMBER(SEARCH("IMPLEMENTATION UPDATED",J162&amp;" "&amp;N162)),ISNUMBER(SEARCH("REQUIRED EVERY SESSION",J162&amp;" "&amp;N162))),"Pending",IF(OR(N162="PASS",ISNUMBER(SEARCH("PASS",J162&amp;" "&amp;N162))),"Done","Pending"))))</f>
        <v>Not started</v>
      </c>
      <c r="R162" s="146" t="str">
        <f>IF(OR(LEFT(A162,9)="OPERATOR-",LEFT(A162,8)="PAYMENT-",LEFT(A162,7)="DEPLOY-"),"External","Core")</f>
        <v>External</v>
      </c>
    </row>
    <row r="163" customFormat="false" ht="15" hidden="false" customHeight="false" outlineLevel="0" collapsed="false">
      <c r="A163" s="243" t="s">
        <v>1472</v>
      </c>
      <c r="B163" s="243" t="s">
        <v>1428</v>
      </c>
      <c r="C163" s="243" t="s">
        <v>1473</v>
      </c>
      <c r="D163" s="243" t="s">
        <v>1474</v>
      </c>
      <c r="E163" s="243" t="s">
        <v>4</v>
      </c>
      <c r="F163" s="243" t="s">
        <v>1475</v>
      </c>
      <c r="G163" s="243" t="s">
        <v>4</v>
      </c>
      <c r="H163" s="243" t="s">
        <v>1476</v>
      </c>
      <c r="I163" s="243" t="s">
        <v>1477</v>
      </c>
      <c r="J163" s="243" t="s">
        <v>1172</v>
      </c>
      <c r="K163" s="243" t="s">
        <v>1</v>
      </c>
      <c r="L163" s="243" t="s">
        <v>1478</v>
      </c>
      <c r="M163" s="243" t="s">
        <v>1479</v>
      </c>
      <c r="N163" s="243" t="s">
        <v>1</v>
      </c>
      <c r="O163" s="243" t="s">
        <v>1480</v>
      </c>
      <c r="P163" s="243" t="s">
        <v>392</v>
      </c>
      <c r="Q163" s="146" t="str">
        <f>IF(OR(ISNUMBER(SEARCH("FAIL",J163&amp;" "&amp;N163)),ISNUMBER(SEARCH("CLEAN RETEST REQUIRED",J163&amp;" "&amp;N163))),"Failed",IF(OR(ISNUMBER(SEARCH("NOT RUN",J163&amp;" "&amp;N163)),ISNUMBER(SEARCH("NOT IMPLEMENTED",J163&amp;" "&amp;N163))),"Not started",IF(OR(ISNUMBER(SEARCH("PARTIAL",J163&amp;" "&amp;N163)),ISNUMBER(SEARCH("PENDING",J163&amp;" "&amp;N163)),ISNUMBER(SEARCH("IN PROGRESS",J163&amp;" "&amp;N163)),ISNUMBER(SEARCH("OPEN",J163&amp;" "&amp;N163)),ISNUMBER(SEARCH("RETEST REQUIRED",J163&amp;" "&amp;N163)),ISNUMBER(SEARCH("IMPLEMENTATION UPDATED",J163&amp;" "&amp;N163)),ISNUMBER(SEARCH("REQUIRED EVERY SESSION",J163&amp;" "&amp;N163))),"Pending",IF(OR(N163="PASS",ISNUMBER(SEARCH("PASS",J163&amp;" "&amp;N163))),"Done","Pending"))))</f>
        <v>Not started</v>
      </c>
      <c r="R163" s="146" t="str">
        <f>IF(OR(LEFT(A163,9)="OPERATOR-",LEFT(A163,8)="PAYMENT-",LEFT(A163,7)="DEPLOY-"),"External","Core")</f>
        <v>External</v>
      </c>
    </row>
    <row r="164" customFormat="false" ht="15" hidden="false" customHeight="false" outlineLevel="0" collapsed="false">
      <c r="A164" s="243" t="s">
        <v>1481</v>
      </c>
      <c r="B164" s="243" t="s">
        <v>1428</v>
      </c>
      <c r="C164" s="243" t="s">
        <v>1482</v>
      </c>
      <c r="D164" s="243" t="s">
        <v>1483</v>
      </c>
      <c r="E164" s="243" t="s">
        <v>4</v>
      </c>
      <c r="F164" s="243" t="s">
        <v>4</v>
      </c>
      <c r="G164" s="243" t="s">
        <v>4</v>
      </c>
      <c r="H164" s="243" t="s">
        <v>4</v>
      </c>
      <c r="I164" s="243" t="s">
        <v>1484</v>
      </c>
      <c r="J164" s="243" t="s">
        <v>1172</v>
      </c>
      <c r="K164" s="243" t="s">
        <v>1</v>
      </c>
      <c r="L164" s="243" t="s">
        <v>1485</v>
      </c>
      <c r="M164" s="243" t="s">
        <v>1486</v>
      </c>
      <c r="N164" s="243" t="s">
        <v>1</v>
      </c>
      <c r="O164" s="243" t="s">
        <v>1487</v>
      </c>
      <c r="P164" s="243" t="s">
        <v>433</v>
      </c>
      <c r="Q164" s="146" t="str">
        <f>IF(OR(ISNUMBER(SEARCH("FAIL",J164&amp;" "&amp;N164)),ISNUMBER(SEARCH("CLEAN RETEST REQUIRED",J164&amp;" "&amp;N164))),"Failed",IF(OR(ISNUMBER(SEARCH("NOT RUN",J164&amp;" "&amp;N164)),ISNUMBER(SEARCH("NOT IMPLEMENTED",J164&amp;" "&amp;N164))),"Not started",IF(OR(ISNUMBER(SEARCH("PARTIAL",J164&amp;" "&amp;N164)),ISNUMBER(SEARCH("PENDING",J164&amp;" "&amp;N164)),ISNUMBER(SEARCH("IN PROGRESS",J164&amp;" "&amp;N164)),ISNUMBER(SEARCH("OPEN",J164&amp;" "&amp;N164)),ISNUMBER(SEARCH("RETEST REQUIRED",J164&amp;" "&amp;N164)),ISNUMBER(SEARCH("IMPLEMENTATION UPDATED",J164&amp;" "&amp;N164)),ISNUMBER(SEARCH("REQUIRED EVERY SESSION",J164&amp;" "&amp;N164))),"Pending",IF(OR(N164="PASS",ISNUMBER(SEARCH("PASS",J164&amp;" "&amp;N164))),"Done","Pending"))))</f>
        <v>Not started</v>
      </c>
      <c r="R164" s="146" t="str">
        <f>IF(OR(LEFT(A164,9)="OPERATOR-",LEFT(A164,8)="PAYMENT-",LEFT(A164,7)="DEPLOY-"),"External","Core")</f>
        <v>External</v>
      </c>
    </row>
    <row r="165" customFormat="false" ht="15" hidden="false" customHeight="false" outlineLevel="0" collapsed="false">
      <c r="A165" s="243" t="s">
        <v>1488</v>
      </c>
      <c r="B165" s="243" t="s">
        <v>1428</v>
      </c>
      <c r="C165" s="243" t="s">
        <v>1489</v>
      </c>
      <c r="D165" s="243" t="s">
        <v>1490</v>
      </c>
      <c r="E165" s="243" t="s">
        <v>4</v>
      </c>
      <c r="F165" s="243" t="s">
        <v>1491</v>
      </c>
      <c r="G165" s="243" t="s">
        <v>4</v>
      </c>
      <c r="H165" s="243" t="s">
        <v>1492</v>
      </c>
      <c r="I165" s="243" t="s">
        <v>1493</v>
      </c>
      <c r="J165" s="243" t="s">
        <v>1172</v>
      </c>
      <c r="K165" s="243" t="s">
        <v>1</v>
      </c>
      <c r="L165" s="243" t="s">
        <v>1494</v>
      </c>
      <c r="M165" s="243" t="s">
        <v>1495</v>
      </c>
      <c r="N165" s="243" t="s">
        <v>1</v>
      </c>
      <c r="O165" s="243" t="s">
        <v>1496</v>
      </c>
      <c r="P165" s="243" t="s">
        <v>433</v>
      </c>
      <c r="Q165" s="146" t="str">
        <f>IF(OR(ISNUMBER(SEARCH("FAIL",J165&amp;" "&amp;N165)),ISNUMBER(SEARCH("CLEAN RETEST REQUIRED",J165&amp;" "&amp;N165))),"Failed",IF(OR(ISNUMBER(SEARCH("NOT RUN",J165&amp;" "&amp;N165)),ISNUMBER(SEARCH("NOT IMPLEMENTED",J165&amp;" "&amp;N165))),"Not started",IF(OR(ISNUMBER(SEARCH("PARTIAL",J165&amp;" "&amp;N165)),ISNUMBER(SEARCH("PENDING",J165&amp;" "&amp;N165)),ISNUMBER(SEARCH("IN PROGRESS",J165&amp;" "&amp;N165)),ISNUMBER(SEARCH("OPEN",J165&amp;" "&amp;N165)),ISNUMBER(SEARCH("RETEST REQUIRED",J165&amp;" "&amp;N165)),ISNUMBER(SEARCH("IMPLEMENTATION UPDATED",J165&amp;" "&amp;N165)),ISNUMBER(SEARCH("REQUIRED EVERY SESSION",J165&amp;" "&amp;N165))),"Pending",IF(OR(N165="PASS",ISNUMBER(SEARCH("PASS",J165&amp;" "&amp;N165))),"Done","Pending"))))</f>
        <v>Not started</v>
      </c>
      <c r="R165" s="146" t="str">
        <f>IF(OR(LEFT(A165,9)="OPERATOR-",LEFT(A165,8)="PAYMENT-",LEFT(A165,7)="DEPLOY-"),"External","Core")</f>
        <v>External</v>
      </c>
    </row>
    <row r="166" customFormat="false" ht="15" hidden="false" customHeight="false" outlineLevel="0" collapsed="false">
      <c r="A166" s="243" t="s">
        <v>1497</v>
      </c>
      <c r="B166" s="243" t="s">
        <v>1428</v>
      </c>
      <c r="C166" s="243" t="s">
        <v>1498</v>
      </c>
      <c r="D166" s="243" t="s">
        <v>1499</v>
      </c>
      <c r="E166" s="243" t="s">
        <v>4</v>
      </c>
      <c r="F166" s="243" t="s">
        <v>1500</v>
      </c>
      <c r="G166" s="243" t="s">
        <v>4</v>
      </c>
      <c r="H166" s="243" t="s">
        <v>1501</v>
      </c>
      <c r="I166" s="243" t="s">
        <v>1502</v>
      </c>
      <c r="J166" s="243" t="s">
        <v>1172</v>
      </c>
      <c r="K166" s="243" t="s">
        <v>1</v>
      </c>
      <c r="L166" s="243" t="s">
        <v>1503</v>
      </c>
      <c r="M166" s="243" t="s">
        <v>1504</v>
      </c>
      <c r="N166" s="243" t="s">
        <v>1</v>
      </c>
      <c r="O166" s="243" t="s">
        <v>1505</v>
      </c>
      <c r="P166" s="243" t="s">
        <v>433</v>
      </c>
      <c r="Q166" s="146" t="str">
        <f>IF(OR(ISNUMBER(SEARCH("FAIL",J166&amp;" "&amp;N166)),ISNUMBER(SEARCH("CLEAN RETEST REQUIRED",J166&amp;" "&amp;N166))),"Failed",IF(OR(ISNUMBER(SEARCH("NOT RUN",J166&amp;" "&amp;N166)),ISNUMBER(SEARCH("NOT IMPLEMENTED",J166&amp;" "&amp;N166))),"Not started",IF(OR(ISNUMBER(SEARCH("PARTIAL",J166&amp;" "&amp;N166)),ISNUMBER(SEARCH("PENDING",J166&amp;" "&amp;N166)),ISNUMBER(SEARCH("IN PROGRESS",J166&amp;" "&amp;N166)),ISNUMBER(SEARCH("OPEN",J166&amp;" "&amp;N166)),ISNUMBER(SEARCH("RETEST REQUIRED",J166&amp;" "&amp;N166)),ISNUMBER(SEARCH("IMPLEMENTATION UPDATED",J166&amp;" "&amp;N166)),ISNUMBER(SEARCH("REQUIRED EVERY SESSION",J166&amp;" "&amp;N166))),"Pending",IF(OR(N166="PASS",ISNUMBER(SEARCH("PASS",J166&amp;" "&amp;N166))),"Done","Pending"))))</f>
        <v>Not started</v>
      </c>
      <c r="R166" s="146" t="str">
        <f>IF(OR(LEFT(A166,9)="OPERATOR-",LEFT(A166,8)="PAYMENT-",LEFT(A166,7)="DEPLOY-"),"External","Core")</f>
        <v>External</v>
      </c>
    </row>
    <row r="167" customFormat="false" ht="15" hidden="false" customHeight="false" outlineLevel="0" collapsed="false">
      <c r="A167" s="243" t="s">
        <v>1506</v>
      </c>
      <c r="B167" s="243" t="s">
        <v>1428</v>
      </c>
      <c r="C167" s="243" t="s">
        <v>1507</v>
      </c>
      <c r="D167" s="243" t="s">
        <v>1508</v>
      </c>
      <c r="E167" s="243" t="s">
        <v>1509</v>
      </c>
      <c r="F167" s="243" t="s">
        <v>1510</v>
      </c>
      <c r="G167" s="243" t="s">
        <v>4</v>
      </c>
      <c r="H167" s="243" t="s">
        <v>1511</v>
      </c>
      <c r="I167" s="243" t="s">
        <v>1512</v>
      </c>
      <c r="J167" s="243" t="s">
        <v>1172</v>
      </c>
      <c r="K167" s="243" t="s">
        <v>1</v>
      </c>
      <c r="L167" s="243" t="s">
        <v>1513</v>
      </c>
      <c r="M167" s="243" t="s">
        <v>1514</v>
      </c>
      <c r="N167" s="243" t="s">
        <v>1</v>
      </c>
      <c r="O167" s="243" t="s">
        <v>1515</v>
      </c>
      <c r="P167" s="243" t="s">
        <v>433</v>
      </c>
      <c r="Q167" s="146" t="str">
        <f>IF(OR(ISNUMBER(SEARCH("FAIL",J167&amp;" "&amp;N167)),ISNUMBER(SEARCH("CLEAN RETEST REQUIRED",J167&amp;" "&amp;N167))),"Failed",IF(OR(ISNUMBER(SEARCH("NOT RUN",J167&amp;" "&amp;N167)),ISNUMBER(SEARCH("NOT IMPLEMENTED",J167&amp;" "&amp;N167))),"Not started",IF(OR(ISNUMBER(SEARCH("PARTIAL",J167&amp;" "&amp;N167)),ISNUMBER(SEARCH("PENDING",J167&amp;" "&amp;N167)),ISNUMBER(SEARCH("IN PROGRESS",J167&amp;" "&amp;N167)),ISNUMBER(SEARCH("OPEN",J167&amp;" "&amp;N167)),ISNUMBER(SEARCH("RETEST REQUIRED",J167&amp;" "&amp;N167)),ISNUMBER(SEARCH("IMPLEMENTATION UPDATED",J167&amp;" "&amp;N167)),ISNUMBER(SEARCH("REQUIRED EVERY SESSION",J167&amp;" "&amp;N167))),"Pending",IF(OR(N167="PASS",ISNUMBER(SEARCH("PASS",J167&amp;" "&amp;N167))),"Done","Pending"))))</f>
        <v>Not started</v>
      </c>
      <c r="R167" s="146" t="str">
        <f>IF(OR(LEFT(A167,9)="OPERATOR-",LEFT(A167,8)="PAYMENT-",LEFT(A167,7)="DEPLOY-"),"External","Core")</f>
        <v>External</v>
      </c>
    </row>
    <row r="168" customFormat="false" ht="15" hidden="false" customHeight="false" outlineLevel="0" collapsed="false">
      <c r="A168" s="243" t="s">
        <v>1516</v>
      </c>
      <c r="B168" s="243" t="s">
        <v>1428</v>
      </c>
      <c r="C168" s="243" t="s">
        <v>1517</v>
      </c>
      <c r="D168" s="243" t="s">
        <v>1518</v>
      </c>
      <c r="E168" s="243" t="s">
        <v>4</v>
      </c>
      <c r="F168" s="243" t="s">
        <v>1519</v>
      </c>
      <c r="G168" s="243" t="s">
        <v>4</v>
      </c>
      <c r="H168" s="243" t="s">
        <v>4</v>
      </c>
      <c r="I168" s="243" t="s">
        <v>1520</v>
      </c>
      <c r="J168" s="243" t="s">
        <v>1172</v>
      </c>
      <c r="K168" s="243" t="s">
        <v>1</v>
      </c>
      <c r="L168" s="243" t="s">
        <v>1521</v>
      </c>
      <c r="M168" s="243" t="s">
        <v>1522</v>
      </c>
      <c r="N168" s="243" t="s">
        <v>1</v>
      </c>
      <c r="O168" s="243" t="s">
        <v>1523</v>
      </c>
      <c r="P168" s="243" t="s">
        <v>433</v>
      </c>
      <c r="Q168" s="146" t="str">
        <f>IF(OR(ISNUMBER(SEARCH("FAIL",J168&amp;" "&amp;N168)),ISNUMBER(SEARCH("CLEAN RETEST REQUIRED",J168&amp;" "&amp;N168))),"Failed",IF(OR(ISNUMBER(SEARCH("NOT RUN",J168&amp;" "&amp;N168)),ISNUMBER(SEARCH("NOT IMPLEMENTED",J168&amp;" "&amp;N168))),"Not started",IF(OR(ISNUMBER(SEARCH("PARTIAL",J168&amp;" "&amp;N168)),ISNUMBER(SEARCH("PENDING",J168&amp;" "&amp;N168)),ISNUMBER(SEARCH("IN PROGRESS",J168&amp;" "&amp;N168)),ISNUMBER(SEARCH("OPEN",J168&amp;" "&amp;N168)),ISNUMBER(SEARCH("RETEST REQUIRED",J168&amp;" "&amp;N168)),ISNUMBER(SEARCH("IMPLEMENTATION UPDATED",J168&amp;" "&amp;N168)),ISNUMBER(SEARCH("REQUIRED EVERY SESSION",J168&amp;" "&amp;N168))),"Pending",IF(OR(N168="PASS",ISNUMBER(SEARCH("PASS",J168&amp;" "&amp;N168))),"Done","Pending"))))</f>
        <v>Not started</v>
      </c>
      <c r="R168" s="146" t="str">
        <f>IF(OR(LEFT(A168,9)="OPERATOR-",LEFT(A168,8)="PAYMENT-",LEFT(A168,7)="DEPLOY-"),"External","Core")</f>
        <v>External</v>
      </c>
    </row>
    <row r="169" customFormat="false" ht="15" hidden="false" customHeight="false" outlineLevel="0" collapsed="false">
      <c r="A169" s="243" t="s">
        <v>1524</v>
      </c>
      <c r="B169" s="243" t="s">
        <v>1428</v>
      </c>
      <c r="C169" s="243" t="s">
        <v>1525</v>
      </c>
      <c r="D169" s="243" t="s">
        <v>1526</v>
      </c>
      <c r="E169" s="243" t="s">
        <v>4</v>
      </c>
      <c r="F169" s="243" t="s">
        <v>1527</v>
      </c>
      <c r="G169" s="243" t="s">
        <v>4</v>
      </c>
      <c r="H169" s="243" t="s">
        <v>1528</v>
      </c>
      <c r="I169" s="243" t="s">
        <v>1529</v>
      </c>
      <c r="J169" s="243" t="s">
        <v>1172</v>
      </c>
      <c r="K169" s="243" t="s">
        <v>1</v>
      </c>
      <c r="L169" s="243" t="s">
        <v>1530</v>
      </c>
      <c r="M169" s="243" t="s">
        <v>1531</v>
      </c>
      <c r="N169" s="243" t="s">
        <v>1</v>
      </c>
      <c r="O169" s="243" t="s">
        <v>1532</v>
      </c>
      <c r="P169" s="243" t="s">
        <v>433</v>
      </c>
      <c r="Q169" s="146" t="str">
        <f>IF(OR(ISNUMBER(SEARCH("FAIL",J169&amp;" "&amp;N169)),ISNUMBER(SEARCH("CLEAN RETEST REQUIRED",J169&amp;" "&amp;N169))),"Failed",IF(OR(ISNUMBER(SEARCH("NOT RUN",J169&amp;" "&amp;N169)),ISNUMBER(SEARCH("NOT IMPLEMENTED",J169&amp;" "&amp;N169))),"Not started",IF(OR(ISNUMBER(SEARCH("PARTIAL",J169&amp;" "&amp;N169)),ISNUMBER(SEARCH("PENDING",J169&amp;" "&amp;N169)),ISNUMBER(SEARCH("IN PROGRESS",J169&amp;" "&amp;N169)),ISNUMBER(SEARCH("OPEN",J169&amp;" "&amp;N169)),ISNUMBER(SEARCH("RETEST REQUIRED",J169&amp;" "&amp;N169)),ISNUMBER(SEARCH("IMPLEMENTATION UPDATED",J169&amp;" "&amp;N169)),ISNUMBER(SEARCH("REQUIRED EVERY SESSION",J169&amp;" "&amp;N169))),"Pending",IF(OR(N169="PASS",ISNUMBER(SEARCH("PASS",J169&amp;" "&amp;N169))),"Done","Pending"))))</f>
        <v>Not started</v>
      </c>
      <c r="R169" s="146" t="str">
        <f>IF(OR(LEFT(A169,9)="OPERATOR-",LEFT(A169,8)="PAYMENT-",LEFT(A169,7)="DEPLOY-"),"External","Core")</f>
        <v>External</v>
      </c>
    </row>
    <row r="170" customFormat="false" ht="15" hidden="false" customHeight="false" outlineLevel="0" collapsed="false">
      <c r="A170" s="243" t="s">
        <v>1533</v>
      </c>
      <c r="B170" s="243" t="s">
        <v>1428</v>
      </c>
      <c r="C170" s="243" t="s">
        <v>1534</v>
      </c>
      <c r="D170" s="243" t="s">
        <v>1535</v>
      </c>
      <c r="E170" s="243" t="s">
        <v>4</v>
      </c>
      <c r="F170" s="243" t="s">
        <v>1536</v>
      </c>
      <c r="G170" s="243" t="s">
        <v>4</v>
      </c>
      <c r="H170" s="243" t="s">
        <v>1537</v>
      </c>
      <c r="I170" s="243" t="s">
        <v>1538</v>
      </c>
      <c r="J170" s="243" t="s">
        <v>1172</v>
      </c>
      <c r="K170" s="243" t="s">
        <v>1</v>
      </c>
      <c r="L170" s="243" t="s">
        <v>1539</v>
      </c>
      <c r="M170" s="243" t="s">
        <v>1540</v>
      </c>
      <c r="N170" s="243" t="s">
        <v>1</v>
      </c>
      <c r="O170" s="243" t="s">
        <v>1541</v>
      </c>
      <c r="P170" s="243" t="s">
        <v>433</v>
      </c>
      <c r="Q170" s="146" t="str">
        <f>IF(OR(ISNUMBER(SEARCH("FAIL",J170&amp;" "&amp;N170)),ISNUMBER(SEARCH("CLEAN RETEST REQUIRED",J170&amp;" "&amp;N170))),"Failed",IF(OR(ISNUMBER(SEARCH("NOT RUN",J170&amp;" "&amp;N170)),ISNUMBER(SEARCH("NOT IMPLEMENTED",J170&amp;" "&amp;N170))),"Not started",IF(OR(ISNUMBER(SEARCH("PARTIAL",J170&amp;" "&amp;N170)),ISNUMBER(SEARCH("PENDING",J170&amp;" "&amp;N170)),ISNUMBER(SEARCH("IN PROGRESS",J170&amp;" "&amp;N170)),ISNUMBER(SEARCH("OPEN",J170&amp;" "&amp;N170)),ISNUMBER(SEARCH("RETEST REQUIRED",J170&amp;" "&amp;N170)),ISNUMBER(SEARCH("IMPLEMENTATION UPDATED",J170&amp;" "&amp;N170)),ISNUMBER(SEARCH("REQUIRED EVERY SESSION",J170&amp;" "&amp;N170))),"Pending",IF(OR(N170="PASS",ISNUMBER(SEARCH("PASS",J170&amp;" "&amp;N170))),"Done","Pending"))))</f>
        <v>Not started</v>
      </c>
      <c r="R170" s="146" t="str">
        <f>IF(OR(LEFT(A170,9)="OPERATOR-",LEFT(A170,8)="PAYMENT-",LEFT(A170,7)="DEPLOY-"),"External","Core")</f>
        <v>External</v>
      </c>
    </row>
    <row r="171" customFormat="false" ht="15" hidden="false" customHeight="false" outlineLevel="0" collapsed="false">
      <c r="A171" s="243" t="s">
        <v>1542</v>
      </c>
      <c r="B171" s="243" t="s">
        <v>1428</v>
      </c>
      <c r="C171" s="243" t="s">
        <v>1543</v>
      </c>
      <c r="D171" s="243" t="s">
        <v>1544</v>
      </c>
      <c r="E171" s="243" t="s">
        <v>4</v>
      </c>
      <c r="F171" s="243" t="s">
        <v>1545</v>
      </c>
      <c r="G171" s="243" t="s">
        <v>4</v>
      </c>
      <c r="H171" s="243" t="s">
        <v>4</v>
      </c>
      <c r="I171" s="243" t="s">
        <v>1546</v>
      </c>
      <c r="J171" s="243" t="s">
        <v>1172</v>
      </c>
      <c r="K171" s="243" t="s">
        <v>1</v>
      </c>
      <c r="L171" s="243" t="s">
        <v>1547</v>
      </c>
      <c r="M171" s="243" t="s">
        <v>1548</v>
      </c>
      <c r="N171" s="243" t="s">
        <v>1</v>
      </c>
      <c r="O171" s="243" t="s">
        <v>1549</v>
      </c>
      <c r="P171" s="243" t="s">
        <v>433</v>
      </c>
      <c r="Q171" s="146" t="str">
        <f>IF(OR(ISNUMBER(SEARCH("FAIL",J171&amp;" "&amp;N171)),ISNUMBER(SEARCH("CLEAN RETEST REQUIRED",J171&amp;" "&amp;N171))),"Failed",IF(OR(ISNUMBER(SEARCH("NOT RUN",J171&amp;" "&amp;N171)),ISNUMBER(SEARCH("NOT IMPLEMENTED",J171&amp;" "&amp;N171))),"Not started",IF(OR(ISNUMBER(SEARCH("PARTIAL",J171&amp;" "&amp;N171)),ISNUMBER(SEARCH("PENDING",J171&amp;" "&amp;N171)),ISNUMBER(SEARCH("IN PROGRESS",J171&amp;" "&amp;N171)),ISNUMBER(SEARCH("OPEN",J171&amp;" "&amp;N171)),ISNUMBER(SEARCH("RETEST REQUIRED",J171&amp;" "&amp;N171)),ISNUMBER(SEARCH("IMPLEMENTATION UPDATED",J171&amp;" "&amp;N171)),ISNUMBER(SEARCH("REQUIRED EVERY SESSION",J171&amp;" "&amp;N171))),"Pending",IF(OR(N171="PASS",ISNUMBER(SEARCH("PASS",J171&amp;" "&amp;N171))),"Done","Pending"))))</f>
        <v>Not started</v>
      </c>
      <c r="R171" s="146" t="str">
        <f>IF(OR(LEFT(A171,9)="OPERATOR-",LEFT(A171,8)="PAYMENT-",LEFT(A171,7)="DEPLOY-"),"External","Core")</f>
        <v>External</v>
      </c>
    </row>
    <row r="172" customFormat="false" ht="15" hidden="false" customHeight="false" outlineLevel="0" collapsed="false">
      <c r="A172" s="243" t="s">
        <v>1550</v>
      </c>
      <c r="B172" s="243" t="s">
        <v>1551</v>
      </c>
      <c r="C172" s="243" t="s">
        <v>1552</v>
      </c>
      <c r="D172" s="243" t="s">
        <v>1553</v>
      </c>
      <c r="E172" s="243" t="s">
        <v>1554</v>
      </c>
      <c r="F172" s="243" t="s">
        <v>1555</v>
      </c>
      <c r="G172" s="243" t="s">
        <v>4</v>
      </c>
      <c r="H172" s="243" t="s">
        <v>1556</v>
      </c>
      <c r="I172" s="243" t="s">
        <v>1557</v>
      </c>
      <c r="J172" s="243" t="s">
        <v>1172</v>
      </c>
      <c r="K172" s="243" t="s">
        <v>1</v>
      </c>
      <c r="L172" s="243" t="s">
        <v>1558</v>
      </c>
      <c r="M172" s="243" t="s">
        <v>1559</v>
      </c>
      <c r="N172" s="243" t="s">
        <v>1</v>
      </c>
      <c r="O172" s="243" t="s">
        <v>1560</v>
      </c>
      <c r="P172" s="243" t="s">
        <v>392</v>
      </c>
      <c r="Q172" s="146" t="str">
        <f>IF(OR(ISNUMBER(SEARCH("FAIL",J172&amp;" "&amp;N172)),ISNUMBER(SEARCH("CLEAN RETEST REQUIRED",J172&amp;" "&amp;N172))),"Failed",IF(OR(ISNUMBER(SEARCH("NOT RUN",J172&amp;" "&amp;N172)),ISNUMBER(SEARCH("NOT IMPLEMENTED",J172&amp;" "&amp;N172))),"Not started",IF(OR(ISNUMBER(SEARCH("PARTIAL",J172&amp;" "&amp;N172)),ISNUMBER(SEARCH("PENDING",J172&amp;" "&amp;N172)),ISNUMBER(SEARCH("IN PROGRESS",J172&amp;" "&amp;N172)),ISNUMBER(SEARCH("OPEN",J172&amp;" "&amp;N172)),ISNUMBER(SEARCH("RETEST REQUIRED",J172&amp;" "&amp;N172)),ISNUMBER(SEARCH("IMPLEMENTATION UPDATED",J172&amp;" "&amp;N172)),ISNUMBER(SEARCH("REQUIRED EVERY SESSION",J172&amp;" "&amp;N172))),"Pending",IF(OR(N172="PASS",ISNUMBER(SEARCH("PASS",J172&amp;" "&amp;N172))),"Done","Pending"))))</f>
        <v>Not started</v>
      </c>
      <c r="R172" s="146" t="str">
        <f>IF(OR(LEFT(A172,9)="OPERATOR-",LEFT(A172,8)="PAYMENT-",LEFT(A172,7)="DEPLOY-"),"External","Core")</f>
        <v>External</v>
      </c>
    </row>
    <row r="173" customFormat="false" ht="15" hidden="false" customHeight="false" outlineLevel="0" collapsed="false">
      <c r="A173" s="243" t="s">
        <v>1561</v>
      </c>
      <c r="B173" s="243" t="s">
        <v>1551</v>
      </c>
      <c r="C173" s="243" t="s">
        <v>1562</v>
      </c>
      <c r="D173" s="243" t="s">
        <v>1563</v>
      </c>
      <c r="E173" s="243" t="s">
        <v>4</v>
      </c>
      <c r="F173" s="243" t="s">
        <v>1564</v>
      </c>
      <c r="G173" s="243" t="s">
        <v>4</v>
      </c>
      <c r="H173" s="243" t="s">
        <v>1565</v>
      </c>
      <c r="I173" s="243" t="s">
        <v>1566</v>
      </c>
      <c r="J173" s="243" t="s">
        <v>1172</v>
      </c>
      <c r="K173" s="243" t="s">
        <v>1</v>
      </c>
      <c r="L173" s="243" t="s">
        <v>1567</v>
      </c>
      <c r="M173" s="243" t="s">
        <v>1568</v>
      </c>
      <c r="N173" s="243" t="s">
        <v>1</v>
      </c>
      <c r="O173" s="243" t="s">
        <v>1569</v>
      </c>
      <c r="P173" s="243" t="s">
        <v>1570</v>
      </c>
      <c r="Q173" s="146" t="str">
        <f>IF(OR(ISNUMBER(SEARCH("FAIL",J173&amp;" "&amp;N173)),ISNUMBER(SEARCH("CLEAN RETEST REQUIRED",J173&amp;" "&amp;N173))),"Failed",IF(OR(ISNUMBER(SEARCH("NOT RUN",J173&amp;" "&amp;N173)),ISNUMBER(SEARCH("NOT IMPLEMENTED",J173&amp;" "&amp;N173))),"Not started",IF(OR(ISNUMBER(SEARCH("PARTIAL",J173&amp;" "&amp;N173)),ISNUMBER(SEARCH("PENDING",J173&amp;" "&amp;N173)),ISNUMBER(SEARCH("IN PROGRESS",J173&amp;" "&amp;N173)),ISNUMBER(SEARCH("OPEN",J173&amp;" "&amp;N173)),ISNUMBER(SEARCH("RETEST REQUIRED",J173&amp;" "&amp;N173)),ISNUMBER(SEARCH("IMPLEMENTATION UPDATED",J173&amp;" "&amp;N173)),ISNUMBER(SEARCH("REQUIRED EVERY SESSION",J173&amp;" "&amp;N173))),"Pending",IF(OR(N173="PASS",ISNUMBER(SEARCH("PASS",J173&amp;" "&amp;N173))),"Done","Pending"))))</f>
        <v>Not started</v>
      </c>
      <c r="R173" s="146" t="str">
        <f>IF(OR(LEFT(A173,9)="OPERATOR-",LEFT(A173,8)="PAYMENT-",LEFT(A173,7)="DEPLOY-"),"External","Core")</f>
        <v>External</v>
      </c>
    </row>
    <row r="174" customFormat="false" ht="15" hidden="false" customHeight="false" outlineLevel="0" collapsed="false">
      <c r="A174" s="243" t="s">
        <v>1571</v>
      </c>
      <c r="B174" s="243" t="s">
        <v>1551</v>
      </c>
      <c r="C174" s="243" t="s">
        <v>1572</v>
      </c>
      <c r="D174" s="243" t="s">
        <v>1573</v>
      </c>
      <c r="E174" s="243" t="s">
        <v>1574</v>
      </c>
      <c r="F174" s="243" t="s">
        <v>1575</v>
      </c>
      <c r="G174" s="243" t="s">
        <v>4</v>
      </c>
      <c r="H174" s="243" t="s">
        <v>4</v>
      </c>
      <c r="I174" s="243" t="s">
        <v>1576</v>
      </c>
      <c r="J174" s="243" t="s">
        <v>1172</v>
      </c>
      <c r="K174" s="243" t="s">
        <v>1</v>
      </c>
      <c r="L174" s="243" t="s">
        <v>1577</v>
      </c>
      <c r="M174" s="243" t="s">
        <v>1578</v>
      </c>
      <c r="N174" s="243" t="s">
        <v>1</v>
      </c>
      <c r="O174" s="243" t="s">
        <v>1579</v>
      </c>
      <c r="P174" s="243" t="s">
        <v>392</v>
      </c>
      <c r="Q174" s="146" t="str">
        <f>IF(OR(ISNUMBER(SEARCH("FAIL",J174&amp;" "&amp;N174)),ISNUMBER(SEARCH("CLEAN RETEST REQUIRED",J174&amp;" "&amp;N174))),"Failed",IF(OR(ISNUMBER(SEARCH("NOT RUN",J174&amp;" "&amp;N174)),ISNUMBER(SEARCH("NOT IMPLEMENTED",J174&amp;" "&amp;N174))),"Not started",IF(OR(ISNUMBER(SEARCH("PARTIAL",J174&amp;" "&amp;N174)),ISNUMBER(SEARCH("PENDING",J174&amp;" "&amp;N174)),ISNUMBER(SEARCH("IN PROGRESS",J174&amp;" "&amp;N174)),ISNUMBER(SEARCH("OPEN",J174&amp;" "&amp;N174)),ISNUMBER(SEARCH("RETEST REQUIRED",J174&amp;" "&amp;N174)),ISNUMBER(SEARCH("IMPLEMENTATION UPDATED",J174&amp;" "&amp;N174)),ISNUMBER(SEARCH("REQUIRED EVERY SESSION",J174&amp;" "&amp;N174))),"Pending",IF(OR(N174="PASS",ISNUMBER(SEARCH("PASS",J174&amp;" "&amp;N174))),"Done","Pending"))))</f>
        <v>Not started</v>
      </c>
      <c r="R174" s="146" t="str">
        <f>IF(OR(LEFT(A174,9)="OPERATOR-",LEFT(A174,8)="PAYMENT-",LEFT(A174,7)="DEPLOY-"),"External","Core")</f>
        <v>External</v>
      </c>
    </row>
    <row r="175" customFormat="false" ht="15" hidden="false" customHeight="false" outlineLevel="0" collapsed="false">
      <c r="A175" s="243" t="s">
        <v>1580</v>
      </c>
      <c r="B175" s="243" t="s">
        <v>1551</v>
      </c>
      <c r="C175" s="243" t="s">
        <v>1581</v>
      </c>
      <c r="D175" s="243" t="s">
        <v>1582</v>
      </c>
      <c r="E175" s="243" t="s">
        <v>1583</v>
      </c>
      <c r="F175" s="243" t="s">
        <v>1584</v>
      </c>
      <c r="G175" s="243" t="s">
        <v>1585</v>
      </c>
      <c r="H175" s="243" t="s">
        <v>1586</v>
      </c>
      <c r="I175" s="243" t="s">
        <v>1587</v>
      </c>
      <c r="J175" s="243" t="s">
        <v>1172</v>
      </c>
      <c r="K175" s="243" t="s">
        <v>1</v>
      </c>
      <c r="L175" s="243" t="s">
        <v>1588</v>
      </c>
      <c r="M175" s="243" t="s">
        <v>1589</v>
      </c>
      <c r="N175" s="243" t="s">
        <v>1</v>
      </c>
      <c r="O175" s="243" t="s">
        <v>1590</v>
      </c>
      <c r="P175" s="243" t="s">
        <v>1407</v>
      </c>
      <c r="Q175" s="146" t="str">
        <f>IF(OR(ISNUMBER(SEARCH("FAIL",J175&amp;" "&amp;N175)),ISNUMBER(SEARCH("CLEAN RETEST REQUIRED",J175&amp;" "&amp;N175))),"Failed",IF(OR(ISNUMBER(SEARCH("NOT RUN",J175&amp;" "&amp;N175)),ISNUMBER(SEARCH("NOT IMPLEMENTED",J175&amp;" "&amp;N175))),"Not started",IF(OR(ISNUMBER(SEARCH("PARTIAL",J175&amp;" "&amp;N175)),ISNUMBER(SEARCH("PENDING",J175&amp;" "&amp;N175)),ISNUMBER(SEARCH("IN PROGRESS",J175&amp;" "&amp;N175)),ISNUMBER(SEARCH("OPEN",J175&amp;" "&amp;N175)),ISNUMBER(SEARCH("RETEST REQUIRED",J175&amp;" "&amp;N175)),ISNUMBER(SEARCH("IMPLEMENTATION UPDATED",J175&amp;" "&amp;N175)),ISNUMBER(SEARCH("REQUIRED EVERY SESSION",J175&amp;" "&amp;N175))),"Pending",IF(OR(N175="PASS",ISNUMBER(SEARCH("PASS",J175&amp;" "&amp;N175))),"Done","Pending"))))</f>
        <v>Not started</v>
      </c>
      <c r="R175" s="146" t="str">
        <f>IF(OR(LEFT(A175,9)="OPERATOR-",LEFT(A175,8)="PAYMENT-",LEFT(A175,7)="DEPLOY-"),"External","Core")</f>
        <v>External</v>
      </c>
    </row>
    <row r="176" customFormat="false" ht="15" hidden="false" customHeight="false" outlineLevel="0" collapsed="false">
      <c r="A176" s="243" t="s">
        <v>1591</v>
      </c>
      <c r="B176" s="243" t="s">
        <v>1551</v>
      </c>
      <c r="C176" s="243" t="s">
        <v>1592</v>
      </c>
      <c r="D176" s="243" t="s">
        <v>1593</v>
      </c>
      <c r="E176" s="243" t="s">
        <v>4</v>
      </c>
      <c r="F176" s="243" t="s">
        <v>1594</v>
      </c>
      <c r="G176" s="243" t="s">
        <v>4</v>
      </c>
      <c r="H176" s="243" t="s">
        <v>1565</v>
      </c>
      <c r="I176" s="243" t="s">
        <v>1595</v>
      </c>
      <c r="J176" s="243" t="s">
        <v>1172</v>
      </c>
      <c r="K176" s="243" t="s">
        <v>1</v>
      </c>
      <c r="L176" s="243" t="s">
        <v>1596</v>
      </c>
      <c r="M176" s="243" t="s">
        <v>1597</v>
      </c>
      <c r="N176" s="243" t="s">
        <v>1</v>
      </c>
      <c r="O176" s="243" t="s">
        <v>1598</v>
      </c>
      <c r="P176" s="243" t="s">
        <v>1407</v>
      </c>
      <c r="Q176" s="146" t="str">
        <f>IF(OR(ISNUMBER(SEARCH("FAIL",J176&amp;" "&amp;N176)),ISNUMBER(SEARCH("CLEAN RETEST REQUIRED",J176&amp;" "&amp;N176))),"Failed",IF(OR(ISNUMBER(SEARCH("NOT RUN",J176&amp;" "&amp;N176)),ISNUMBER(SEARCH("NOT IMPLEMENTED",J176&amp;" "&amp;N176))),"Not started",IF(OR(ISNUMBER(SEARCH("PARTIAL",J176&amp;" "&amp;N176)),ISNUMBER(SEARCH("PENDING",J176&amp;" "&amp;N176)),ISNUMBER(SEARCH("IN PROGRESS",J176&amp;" "&amp;N176)),ISNUMBER(SEARCH("OPEN",J176&amp;" "&amp;N176)),ISNUMBER(SEARCH("RETEST REQUIRED",J176&amp;" "&amp;N176)),ISNUMBER(SEARCH("IMPLEMENTATION UPDATED",J176&amp;" "&amp;N176)),ISNUMBER(SEARCH("REQUIRED EVERY SESSION",J176&amp;" "&amp;N176))),"Pending",IF(OR(N176="PASS",ISNUMBER(SEARCH("PASS",J176&amp;" "&amp;N176))),"Done","Pending"))))</f>
        <v>Not started</v>
      </c>
      <c r="R176" s="146" t="str">
        <f>IF(OR(LEFT(A176,9)="OPERATOR-",LEFT(A176,8)="PAYMENT-",LEFT(A176,7)="DEPLOY-"),"External","Core")</f>
        <v>External</v>
      </c>
    </row>
    <row r="177" customFormat="false" ht="15" hidden="false" customHeight="false" outlineLevel="0" collapsed="false">
      <c r="A177" s="138" t="s">
        <v>1599</v>
      </c>
      <c r="B177" s="138" t="s">
        <v>1600</v>
      </c>
      <c r="C177" s="138" t="s">
        <v>1601</v>
      </c>
      <c r="D177" s="138" t="s">
        <v>1602</v>
      </c>
      <c r="E177" s="138" t="s">
        <v>4</v>
      </c>
      <c r="F177" s="138" t="s">
        <v>1603</v>
      </c>
      <c r="G177" s="138" t="s">
        <v>4</v>
      </c>
      <c r="H177" s="138" t="s">
        <v>4</v>
      </c>
      <c r="I177" s="138" t="s">
        <v>1604</v>
      </c>
      <c r="J177" s="138" t="s">
        <v>1172</v>
      </c>
      <c r="K177" s="138" t="s">
        <v>1</v>
      </c>
      <c r="L177" s="138" t="s">
        <v>1605</v>
      </c>
      <c r="M177" s="138" t="s">
        <v>1606</v>
      </c>
      <c r="N177" s="138" t="s">
        <v>1</v>
      </c>
      <c r="O177" s="138" t="s">
        <v>1607</v>
      </c>
      <c r="P177" s="138" t="s">
        <v>433</v>
      </c>
      <c r="Q177" s="146" t="str">
        <f>IF(OR(ISNUMBER(SEARCH("FAIL",J177&amp;" "&amp;N177)),ISNUMBER(SEARCH("CLEAN RETEST REQUIRED",J177&amp;" "&amp;N177))),"Failed",IF(OR(ISNUMBER(SEARCH("NOT RUN",J177&amp;" "&amp;N177)),ISNUMBER(SEARCH("NOT IMPLEMENTED",J177&amp;" "&amp;N177))),"Not started",IF(OR(ISNUMBER(SEARCH("PARTIAL",J177&amp;" "&amp;N177)),ISNUMBER(SEARCH("PENDING",J177&amp;" "&amp;N177)),ISNUMBER(SEARCH("IN PROGRESS",J177&amp;" "&amp;N177)),ISNUMBER(SEARCH("OPEN",J177&amp;" "&amp;N177)),ISNUMBER(SEARCH("RETEST REQUIRED",J177&amp;" "&amp;N177)),ISNUMBER(SEARCH("IMPLEMENTATION UPDATED",J177&amp;" "&amp;N177)),ISNUMBER(SEARCH("REQUIRED EVERY SESSION",J177&amp;" "&amp;N177))),"Pending",IF(OR(N177="PASS",ISNUMBER(SEARCH("PASS",J177&amp;" "&amp;N177))),"Done","Pending"))))</f>
        <v>Not started</v>
      </c>
      <c r="R177" s="146" t="str">
        <f>IF(OR(LEFT(A177,9)="OPERATOR-",LEFT(A177,8)="PAYMENT-",LEFT(A177,7)="DEPLOY-"),"External","Core")</f>
        <v>Core</v>
      </c>
    </row>
    <row r="178" customFormat="false" ht="15" hidden="false" customHeight="false" outlineLevel="0" collapsed="false">
      <c r="A178" s="138" t="s">
        <v>1608</v>
      </c>
      <c r="B178" s="138" t="s">
        <v>1600</v>
      </c>
      <c r="C178" s="138" t="s">
        <v>1609</v>
      </c>
      <c r="D178" s="138" t="s">
        <v>1610</v>
      </c>
      <c r="E178" s="138" t="s">
        <v>1611</v>
      </c>
      <c r="F178" s="138" t="s">
        <v>1612</v>
      </c>
      <c r="G178" s="138" t="s">
        <v>4</v>
      </c>
      <c r="H178" s="138" t="s">
        <v>1613</v>
      </c>
      <c r="I178" s="138" t="s">
        <v>1614</v>
      </c>
      <c r="J178" s="138" t="s">
        <v>1172</v>
      </c>
      <c r="K178" s="138" t="s">
        <v>1</v>
      </c>
      <c r="L178" s="138" t="s">
        <v>1615</v>
      </c>
      <c r="M178" s="138" t="s">
        <v>1616</v>
      </c>
      <c r="N178" s="138" t="s">
        <v>1</v>
      </c>
      <c r="O178" s="138" t="s">
        <v>1617</v>
      </c>
      <c r="P178" s="138" t="s">
        <v>392</v>
      </c>
      <c r="Q178" s="146" t="str">
        <f>IF(OR(ISNUMBER(SEARCH("FAIL",J178&amp;" "&amp;N178)),ISNUMBER(SEARCH("CLEAN RETEST REQUIRED",J178&amp;" "&amp;N178))),"Failed",IF(OR(ISNUMBER(SEARCH("NOT RUN",J178&amp;" "&amp;N178)),ISNUMBER(SEARCH("NOT IMPLEMENTED",J178&amp;" "&amp;N178))),"Not started",IF(OR(ISNUMBER(SEARCH("PARTIAL",J178&amp;" "&amp;N178)),ISNUMBER(SEARCH("PENDING",J178&amp;" "&amp;N178)),ISNUMBER(SEARCH("IN PROGRESS",J178&amp;" "&amp;N178)),ISNUMBER(SEARCH("OPEN",J178&amp;" "&amp;N178)),ISNUMBER(SEARCH("RETEST REQUIRED",J178&amp;" "&amp;N178)),ISNUMBER(SEARCH("IMPLEMENTATION UPDATED",J178&amp;" "&amp;N178)),ISNUMBER(SEARCH("REQUIRED EVERY SESSION",J178&amp;" "&amp;N178))),"Pending",IF(OR(N178="PASS",ISNUMBER(SEARCH("PASS",J178&amp;" "&amp;N178))),"Done","Pending"))))</f>
        <v>Not started</v>
      </c>
      <c r="R178" s="146" t="str">
        <f>IF(OR(LEFT(A178,9)="OPERATOR-",LEFT(A178,8)="PAYMENT-",LEFT(A178,7)="DEPLOY-"),"External","Core")</f>
        <v>Core</v>
      </c>
    </row>
    <row r="179" customFormat="false" ht="15" hidden="false" customHeight="false" outlineLevel="0" collapsed="false">
      <c r="A179" s="138" t="s">
        <v>1618</v>
      </c>
      <c r="B179" s="138" t="s">
        <v>1600</v>
      </c>
      <c r="C179" s="138" t="s">
        <v>1609</v>
      </c>
      <c r="D179" s="138" t="s">
        <v>1619</v>
      </c>
      <c r="E179" s="138" t="s">
        <v>1620</v>
      </c>
      <c r="F179" s="138" t="s">
        <v>1621</v>
      </c>
      <c r="G179" s="138" t="s">
        <v>4</v>
      </c>
      <c r="H179" s="138" t="s">
        <v>1622</v>
      </c>
      <c r="I179" s="138" t="s">
        <v>1623</v>
      </c>
      <c r="J179" s="138" t="s">
        <v>1172</v>
      </c>
      <c r="K179" s="138" t="s">
        <v>1</v>
      </c>
      <c r="L179" s="138" t="s">
        <v>1624</v>
      </c>
      <c r="M179" s="138" t="s">
        <v>1625</v>
      </c>
      <c r="N179" s="138" t="s">
        <v>1</v>
      </c>
      <c r="O179" s="138" t="s">
        <v>1626</v>
      </c>
      <c r="P179" s="138" t="s">
        <v>227</v>
      </c>
      <c r="Q179" s="146" t="str">
        <f>IF(OR(ISNUMBER(SEARCH("FAIL",J179&amp;" "&amp;N179)),ISNUMBER(SEARCH("CLEAN RETEST REQUIRED",J179&amp;" "&amp;N179))),"Failed",IF(OR(ISNUMBER(SEARCH("NOT RUN",J179&amp;" "&amp;N179)),ISNUMBER(SEARCH("NOT IMPLEMENTED",J179&amp;" "&amp;N179))),"Not started",IF(OR(ISNUMBER(SEARCH("PARTIAL",J179&amp;" "&amp;N179)),ISNUMBER(SEARCH("PENDING",J179&amp;" "&amp;N179)),ISNUMBER(SEARCH("IN PROGRESS",J179&amp;" "&amp;N179)),ISNUMBER(SEARCH("OPEN",J179&amp;" "&amp;N179)),ISNUMBER(SEARCH("RETEST REQUIRED",J179&amp;" "&amp;N179)),ISNUMBER(SEARCH("IMPLEMENTATION UPDATED",J179&amp;" "&amp;N179)),ISNUMBER(SEARCH("REQUIRED EVERY SESSION",J179&amp;" "&amp;N179))),"Pending",IF(OR(N179="PASS",ISNUMBER(SEARCH("PASS",J179&amp;" "&amp;N179))),"Done","Pending"))))</f>
        <v>Not started</v>
      </c>
      <c r="R179" s="146" t="str">
        <f>IF(OR(LEFT(A179,9)="OPERATOR-",LEFT(A179,8)="PAYMENT-",LEFT(A179,7)="DEPLOY-"),"External","Core")</f>
        <v>Core</v>
      </c>
    </row>
    <row r="180" customFormat="false" ht="15" hidden="false" customHeight="false" outlineLevel="0" collapsed="false">
      <c r="A180" s="138" t="s">
        <v>1627</v>
      </c>
      <c r="B180" s="138" t="s">
        <v>1600</v>
      </c>
      <c r="C180" s="138" t="s">
        <v>1628</v>
      </c>
      <c r="D180" s="138" t="s">
        <v>1629</v>
      </c>
      <c r="E180" s="138" t="s">
        <v>1630</v>
      </c>
      <c r="F180" s="138" t="s">
        <v>1631</v>
      </c>
      <c r="G180" s="138" t="s">
        <v>4</v>
      </c>
      <c r="H180" s="138" t="s">
        <v>1632</v>
      </c>
      <c r="I180" s="138" t="s">
        <v>1633</v>
      </c>
      <c r="J180" s="138" t="s">
        <v>1172</v>
      </c>
      <c r="K180" s="138" t="s">
        <v>1</v>
      </c>
      <c r="L180" s="138" t="s">
        <v>1634</v>
      </c>
      <c r="M180" s="138" t="s">
        <v>1635</v>
      </c>
      <c r="N180" s="138" t="s">
        <v>1</v>
      </c>
      <c r="O180" s="138" t="s">
        <v>1636</v>
      </c>
      <c r="P180" s="138" t="s">
        <v>433</v>
      </c>
      <c r="Q180" s="146" t="str">
        <f>IF(OR(ISNUMBER(SEARCH("FAIL",J180&amp;" "&amp;N180)),ISNUMBER(SEARCH("CLEAN RETEST REQUIRED",J180&amp;" "&amp;N180))),"Failed",IF(OR(ISNUMBER(SEARCH("NOT RUN",J180&amp;" "&amp;N180)),ISNUMBER(SEARCH("NOT IMPLEMENTED",J180&amp;" "&amp;N180))),"Not started",IF(OR(ISNUMBER(SEARCH("PARTIAL",J180&amp;" "&amp;N180)),ISNUMBER(SEARCH("PENDING",J180&amp;" "&amp;N180)),ISNUMBER(SEARCH("IN PROGRESS",J180&amp;" "&amp;N180)),ISNUMBER(SEARCH("OPEN",J180&amp;" "&amp;N180)),ISNUMBER(SEARCH("RETEST REQUIRED",J180&amp;" "&amp;N180)),ISNUMBER(SEARCH("IMPLEMENTATION UPDATED",J180&amp;" "&amp;N180)),ISNUMBER(SEARCH("REQUIRED EVERY SESSION",J180&amp;" "&amp;N180))),"Pending",IF(OR(N180="PASS",ISNUMBER(SEARCH("PASS",J180&amp;" "&amp;N180))),"Done","Pending"))))</f>
        <v>Not started</v>
      </c>
      <c r="R180" s="146" t="str">
        <f>IF(OR(LEFT(A180,9)="OPERATOR-",LEFT(A180,8)="PAYMENT-",LEFT(A180,7)="DEPLOY-"),"External","Core")</f>
        <v>Core</v>
      </c>
    </row>
    <row r="181" customFormat="false" ht="15" hidden="false" customHeight="false" outlineLevel="0" collapsed="false">
      <c r="A181" s="138" t="s">
        <v>1637</v>
      </c>
      <c r="B181" s="138" t="s">
        <v>1600</v>
      </c>
      <c r="C181" s="138" t="s">
        <v>1628</v>
      </c>
      <c r="D181" s="138" t="s">
        <v>1638</v>
      </c>
      <c r="E181" s="138" t="s">
        <v>1639</v>
      </c>
      <c r="F181" s="138" t="s">
        <v>1640</v>
      </c>
      <c r="G181" s="138" t="s">
        <v>4</v>
      </c>
      <c r="H181" s="138" t="s">
        <v>4</v>
      </c>
      <c r="I181" s="138" t="s">
        <v>1641</v>
      </c>
      <c r="J181" s="138" t="s">
        <v>1172</v>
      </c>
      <c r="K181" s="138" t="s">
        <v>1</v>
      </c>
      <c r="L181" s="138" t="s">
        <v>1642</v>
      </c>
      <c r="M181" s="138" t="s">
        <v>1643</v>
      </c>
      <c r="N181" s="138" t="s">
        <v>1</v>
      </c>
      <c r="O181" s="138" t="s">
        <v>1644</v>
      </c>
      <c r="P181" s="138" t="s">
        <v>433</v>
      </c>
      <c r="Q181" s="146" t="str">
        <f>IF(OR(ISNUMBER(SEARCH("FAIL",J181&amp;" "&amp;N181)),ISNUMBER(SEARCH("CLEAN RETEST REQUIRED",J181&amp;" "&amp;N181))),"Failed",IF(OR(ISNUMBER(SEARCH("NOT RUN",J181&amp;" "&amp;N181)),ISNUMBER(SEARCH("NOT IMPLEMENTED",J181&amp;" "&amp;N181))),"Not started",IF(OR(ISNUMBER(SEARCH("PARTIAL",J181&amp;" "&amp;N181)),ISNUMBER(SEARCH("PENDING",J181&amp;" "&amp;N181)),ISNUMBER(SEARCH("IN PROGRESS",J181&amp;" "&amp;N181)),ISNUMBER(SEARCH("OPEN",J181&amp;" "&amp;N181)),ISNUMBER(SEARCH("RETEST REQUIRED",J181&amp;" "&amp;N181)),ISNUMBER(SEARCH("IMPLEMENTATION UPDATED",J181&amp;" "&amp;N181)),ISNUMBER(SEARCH("REQUIRED EVERY SESSION",J181&amp;" "&amp;N181))),"Pending",IF(OR(N181="PASS",ISNUMBER(SEARCH("PASS",J181&amp;" "&amp;N181))),"Done","Pending"))))</f>
        <v>Not started</v>
      </c>
      <c r="R181" s="146" t="str">
        <f>IF(OR(LEFT(A181,9)="OPERATOR-",LEFT(A181,8)="PAYMENT-",LEFT(A181,7)="DEPLOY-"),"External","Core")</f>
        <v>Core</v>
      </c>
    </row>
    <row r="182" customFormat="false" ht="15" hidden="false" customHeight="false" outlineLevel="0" collapsed="false">
      <c r="A182" s="138" t="s">
        <v>1645</v>
      </c>
      <c r="B182" s="138" t="s">
        <v>1646</v>
      </c>
      <c r="C182" s="138" t="s">
        <v>1647</v>
      </c>
      <c r="D182" s="138" t="s">
        <v>1648</v>
      </c>
      <c r="E182" s="138" t="s">
        <v>4</v>
      </c>
      <c r="F182" s="138" t="s">
        <v>1649</v>
      </c>
      <c r="G182" s="138" t="s">
        <v>4</v>
      </c>
      <c r="H182" s="138" t="s">
        <v>4</v>
      </c>
      <c r="I182" s="138" t="s">
        <v>1650</v>
      </c>
      <c r="J182" s="138" t="s">
        <v>1172</v>
      </c>
      <c r="K182" s="138" t="s">
        <v>1</v>
      </c>
      <c r="L182" s="138" t="s">
        <v>1651</v>
      </c>
      <c r="M182" s="138" t="s">
        <v>1652</v>
      </c>
      <c r="N182" s="138" t="s">
        <v>1</v>
      </c>
      <c r="O182" s="138" t="s">
        <v>1653</v>
      </c>
      <c r="P182" s="138" t="s">
        <v>227</v>
      </c>
      <c r="Q182" s="146" t="str">
        <f>IF(OR(ISNUMBER(SEARCH("FAIL",J182&amp;" "&amp;N182)),ISNUMBER(SEARCH("CLEAN RETEST REQUIRED",J182&amp;" "&amp;N182))),"Failed",IF(OR(ISNUMBER(SEARCH("NOT RUN",J182&amp;" "&amp;N182)),ISNUMBER(SEARCH("NOT IMPLEMENTED",J182&amp;" "&amp;N182))),"Not started",IF(OR(ISNUMBER(SEARCH("PARTIAL",J182&amp;" "&amp;N182)),ISNUMBER(SEARCH("PENDING",J182&amp;" "&amp;N182)),ISNUMBER(SEARCH("IN PROGRESS",J182&amp;" "&amp;N182)),ISNUMBER(SEARCH("OPEN",J182&amp;" "&amp;N182)),ISNUMBER(SEARCH("RETEST REQUIRED",J182&amp;" "&amp;N182)),ISNUMBER(SEARCH("IMPLEMENTATION UPDATED",J182&amp;" "&amp;N182)),ISNUMBER(SEARCH("REQUIRED EVERY SESSION",J182&amp;" "&amp;N182))),"Pending",IF(OR(N182="PASS",ISNUMBER(SEARCH("PASS",J182&amp;" "&amp;N182))),"Done","Pending"))))</f>
        <v>Not started</v>
      </c>
      <c r="R182" s="146" t="str">
        <f>IF(OR(LEFT(A182,9)="OPERATOR-",LEFT(A182,8)="PAYMENT-",LEFT(A182,7)="DEPLOY-"),"External","Core")</f>
        <v>Core</v>
      </c>
    </row>
    <row r="183" customFormat="false" ht="15" hidden="false" customHeight="false" outlineLevel="0" collapsed="false">
      <c r="A183" s="138" t="s">
        <v>1654</v>
      </c>
      <c r="B183" s="138" t="s">
        <v>1646</v>
      </c>
      <c r="C183" s="138" t="s">
        <v>1655</v>
      </c>
      <c r="D183" s="138" t="s">
        <v>1656</v>
      </c>
      <c r="E183" s="138" t="s">
        <v>1296</v>
      </c>
      <c r="F183" s="138" t="s">
        <v>1657</v>
      </c>
      <c r="G183" s="138" t="s">
        <v>4</v>
      </c>
      <c r="H183" s="138" t="s">
        <v>1658</v>
      </c>
      <c r="I183" s="138" t="s">
        <v>1659</v>
      </c>
      <c r="J183" s="138" t="s">
        <v>1172</v>
      </c>
      <c r="K183" s="138" t="s">
        <v>1</v>
      </c>
      <c r="L183" s="138" t="s">
        <v>1660</v>
      </c>
      <c r="M183" s="138" t="s">
        <v>1661</v>
      </c>
      <c r="N183" s="138" t="s">
        <v>1</v>
      </c>
      <c r="O183" s="138" t="s">
        <v>1662</v>
      </c>
      <c r="P183" s="138" t="s">
        <v>433</v>
      </c>
      <c r="Q183" s="146" t="str">
        <f>IF(OR(ISNUMBER(SEARCH("FAIL",J183&amp;" "&amp;N183)),ISNUMBER(SEARCH("CLEAN RETEST REQUIRED",J183&amp;" "&amp;N183))),"Failed",IF(OR(ISNUMBER(SEARCH("NOT RUN",J183&amp;" "&amp;N183)),ISNUMBER(SEARCH("NOT IMPLEMENTED",J183&amp;" "&amp;N183))),"Not started",IF(OR(ISNUMBER(SEARCH("PARTIAL",J183&amp;" "&amp;N183)),ISNUMBER(SEARCH("PENDING",J183&amp;" "&amp;N183)),ISNUMBER(SEARCH("IN PROGRESS",J183&amp;" "&amp;N183)),ISNUMBER(SEARCH("OPEN",J183&amp;" "&amp;N183)),ISNUMBER(SEARCH("RETEST REQUIRED",J183&amp;" "&amp;N183)),ISNUMBER(SEARCH("IMPLEMENTATION UPDATED",J183&amp;" "&amp;N183)),ISNUMBER(SEARCH("REQUIRED EVERY SESSION",J183&amp;" "&amp;N183))),"Pending",IF(OR(N183="PASS",ISNUMBER(SEARCH("PASS",J183&amp;" "&amp;N183))),"Done","Pending"))))</f>
        <v>Not started</v>
      </c>
      <c r="R183" s="146" t="str">
        <f>IF(OR(LEFT(A183,9)="OPERATOR-",LEFT(A183,8)="PAYMENT-",LEFT(A183,7)="DEPLOY-"),"External","Core")</f>
        <v>Core</v>
      </c>
    </row>
    <row r="184" customFormat="false" ht="15" hidden="false" customHeight="false" outlineLevel="0" collapsed="false">
      <c r="A184" s="138" t="s">
        <v>1663</v>
      </c>
      <c r="B184" s="138" t="s">
        <v>1646</v>
      </c>
      <c r="C184" s="138" t="s">
        <v>1664</v>
      </c>
      <c r="D184" s="138" t="s">
        <v>1665</v>
      </c>
      <c r="E184" s="138" t="s">
        <v>4</v>
      </c>
      <c r="F184" s="138" t="s">
        <v>1666</v>
      </c>
      <c r="G184" s="138" t="s">
        <v>4</v>
      </c>
      <c r="H184" s="138" t="s">
        <v>4</v>
      </c>
      <c r="I184" s="138" t="s">
        <v>1667</v>
      </c>
      <c r="J184" s="138" t="s">
        <v>1172</v>
      </c>
      <c r="K184" s="138" t="s">
        <v>1</v>
      </c>
      <c r="L184" s="138" t="s">
        <v>1668</v>
      </c>
      <c r="M184" s="138" t="s">
        <v>1669</v>
      </c>
      <c r="N184" s="138" t="s">
        <v>1</v>
      </c>
      <c r="O184" s="138" t="s">
        <v>1670</v>
      </c>
      <c r="P184" s="138" t="s">
        <v>1570</v>
      </c>
      <c r="Q184" s="146" t="str">
        <f>IF(OR(ISNUMBER(SEARCH("FAIL",J184&amp;" "&amp;N184)),ISNUMBER(SEARCH("CLEAN RETEST REQUIRED",J184&amp;" "&amp;N184))),"Failed",IF(OR(ISNUMBER(SEARCH("NOT RUN",J184&amp;" "&amp;N184)),ISNUMBER(SEARCH("NOT IMPLEMENTED",J184&amp;" "&amp;N184))),"Not started",IF(OR(ISNUMBER(SEARCH("PARTIAL",J184&amp;" "&amp;N184)),ISNUMBER(SEARCH("PENDING",J184&amp;" "&amp;N184)),ISNUMBER(SEARCH("IN PROGRESS",J184&amp;" "&amp;N184)),ISNUMBER(SEARCH("OPEN",J184&amp;" "&amp;N184)),ISNUMBER(SEARCH("RETEST REQUIRED",J184&amp;" "&amp;N184)),ISNUMBER(SEARCH("IMPLEMENTATION UPDATED",J184&amp;" "&amp;N184)),ISNUMBER(SEARCH("REQUIRED EVERY SESSION",J184&amp;" "&amp;N184))),"Pending",IF(OR(N184="PASS",ISNUMBER(SEARCH("PASS",J184&amp;" "&amp;N184))),"Done","Pending"))))</f>
        <v>Not started</v>
      </c>
      <c r="R184" s="146" t="str">
        <f>IF(OR(LEFT(A184,9)="OPERATOR-",LEFT(A184,8)="PAYMENT-",LEFT(A184,7)="DEPLOY-"),"External","Core")</f>
        <v>Core</v>
      </c>
    </row>
    <row r="185" customFormat="false" ht="15" hidden="false" customHeight="false" outlineLevel="0" collapsed="false">
      <c r="A185" s="138" t="s">
        <v>1671</v>
      </c>
      <c r="B185" s="138" t="s">
        <v>1646</v>
      </c>
      <c r="C185" s="138" t="s">
        <v>1672</v>
      </c>
      <c r="D185" s="138" t="s">
        <v>1673</v>
      </c>
      <c r="E185" s="138" t="s">
        <v>4</v>
      </c>
      <c r="F185" s="138" t="s">
        <v>1674</v>
      </c>
      <c r="G185" s="138" t="s">
        <v>4</v>
      </c>
      <c r="H185" s="138" t="s">
        <v>4</v>
      </c>
      <c r="I185" s="138" t="s">
        <v>1675</v>
      </c>
      <c r="J185" s="138" t="s">
        <v>1172</v>
      </c>
      <c r="K185" s="138" t="s">
        <v>1</v>
      </c>
      <c r="L185" s="138" t="s">
        <v>1676</v>
      </c>
      <c r="M185" s="138" t="s">
        <v>1677</v>
      </c>
      <c r="N185" s="138" t="s">
        <v>1</v>
      </c>
      <c r="O185" s="138" t="s">
        <v>1678</v>
      </c>
      <c r="P185" s="138" t="s">
        <v>392</v>
      </c>
      <c r="Q185" s="146" t="str">
        <f>IF(OR(ISNUMBER(SEARCH("FAIL",J185&amp;" "&amp;N185)),ISNUMBER(SEARCH("CLEAN RETEST REQUIRED",J185&amp;" "&amp;N185))),"Failed",IF(OR(ISNUMBER(SEARCH("NOT RUN",J185&amp;" "&amp;N185)),ISNUMBER(SEARCH("NOT IMPLEMENTED",J185&amp;" "&amp;N185))),"Not started",IF(OR(ISNUMBER(SEARCH("PARTIAL",J185&amp;" "&amp;N185)),ISNUMBER(SEARCH("PENDING",J185&amp;" "&amp;N185)),ISNUMBER(SEARCH("IN PROGRESS",J185&amp;" "&amp;N185)),ISNUMBER(SEARCH("OPEN",J185&amp;" "&amp;N185)),ISNUMBER(SEARCH("RETEST REQUIRED",J185&amp;" "&amp;N185)),ISNUMBER(SEARCH("IMPLEMENTATION UPDATED",J185&amp;" "&amp;N185)),ISNUMBER(SEARCH("REQUIRED EVERY SESSION",J185&amp;" "&amp;N185))),"Pending",IF(OR(N185="PASS",ISNUMBER(SEARCH("PASS",J185&amp;" "&amp;N185))),"Done","Pending"))))</f>
        <v>Not started</v>
      </c>
      <c r="R185" s="146" t="str">
        <f>IF(OR(LEFT(A185,9)="OPERATOR-",LEFT(A185,8)="PAYMENT-",LEFT(A185,7)="DEPLOY-"),"External","Core")</f>
        <v>Core</v>
      </c>
    </row>
    <row r="186" customFormat="false" ht="15" hidden="false" customHeight="false" outlineLevel="0" collapsed="false">
      <c r="A186" s="138" t="s">
        <v>1679</v>
      </c>
      <c r="B186" s="138" t="s">
        <v>1646</v>
      </c>
      <c r="C186" s="138" t="s">
        <v>1680</v>
      </c>
      <c r="D186" s="138" t="s">
        <v>1681</v>
      </c>
      <c r="E186" s="138" t="s">
        <v>4</v>
      </c>
      <c r="F186" s="138" t="s">
        <v>1682</v>
      </c>
      <c r="G186" s="138" t="s">
        <v>4</v>
      </c>
      <c r="H186" s="138" t="s">
        <v>4</v>
      </c>
      <c r="I186" s="138" t="s">
        <v>1683</v>
      </c>
      <c r="J186" s="138" t="s">
        <v>1172</v>
      </c>
      <c r="K186" s="138" t="s">
        <v>1</v>
      </c>
      <c r="L186" s="138" t="s">
        <v>1684</v>
      </c>
      <c r="M186" s="138" t="s">
        <v>1685</v>
      </c>
      <c r="N186" s="138" t="s">
        <v>1</v>
      </c>
      <c r="O186" s="138" t="s">
        <v>1686</v>
      </c>
      <c r="P186" s="138" t="s">
        <v>227</v>
      </c>
      <c r="Q186" s="146" t="str">
        <f>IF(OR(ISNUMBER(SEARCH("FAIL",J186&amp;" "&amp;N186)),ISNUMBER(SEARCH("CLEAN RETEST REQUIRED",J186&amp;" "&amp;N186))),"Failed",IF(OR(ISNUMBER(SEARCH("NOT RUN",J186&amp;" "&amp;N186)),ISNUMBER(SEARCH("NOT IMPLEMENTED",J186&amp;" "&amp;N186))),"Not started",IF(OR(ISNUMBER(SEARCH("PARTIAL",J186&amp;" "&amp;N186)),ISNUMBER(SEARCH("PENDING",J186&amp;" "&amp;N186)),ISNUMBER(SEARCH("IN PROGRESS",J186&amp;" "&amp;N186)),ISNUMBER(SEARCH("OPEN",J186&amp;" "&amp;N186)),ISNUMBER(SEARCH("RETEST REQUIRED",J186&amp;" "&amp;N186)),ISNUMBER(SEARCH("IMPLEMENTATION UPDATED",J186&amp;" "&amp;N186)),ISNUMBER(SEARCH("REQUIRED EVERY SESSION",J186&amp;" "&amp;N186))),"Pending",IF(OR(N186="PASS",ISNUMBER(SEARCH("PASS",J186&amp;" "&amp;N186))),"Done","Pending"))))</f>
        <v>Not started</v>
      </c>
      <c r="R186" s="146" t="str">
        <f>IF(OR(LEFT(A186,9)="OPERATOR-",LEFT(A186,8)="PAYMENT-",LEFT(A186,7)="DEPLOY-"),"External","Core")</f>
        <v>Core</v>
      </c>
    </row>
    <row r="187" customFormat="false" ht="15" hidden="false" customHeight="false" outlineLevel="0" collapsed="false">
      <c r="A187" s="138" t="s">
        <v>1687</v>
      </c>
      <c r="B187" s="138" t="s">
        <v>1646</v>
      </c>
      <c r="C187" s="138" t="s">
        <v>1688</v>
      </c>
      <c r="D187" s="138" t="s">
        <v>1689</v>
      </c>
      <c r="E187" s="138" t="s">
        <v>1690</v>
      </c>
      <c r="F187" s="138" t="s">
        <v>1691</v>
      </c>
      <c r="G187" s="138" t="s">
        <v>4</v>
      </c>
      <c r="H187" s="138" t="s">
        <v>4</v>
      </c>
      <c r="I187" s="138" t="s">
        <v>1692</v>
      </c>
      <c r="J187" s="138" t="s">
        <v>1172</v>
      </c>
      <c r="K187" s="138" t="s">
        <v>1</v>
      </c>
      <c r="L187" s="138" t="s">
        <v>1693</v>
      </c>
      <c r="M187" s="138" t="s">
        <v>1694</v>
      </c>
      <c r="N187" s="138" t="s">
        <v>1</v>
      </c>
      <c r="O187" s="138" t="s">
        <v>1695</v>
      </c>
      <c r="P187" s="138" t="s">
        <v>1407</v>
      </c>
      <c r="Q187" s="146" t="str">
        <f>IF(OR(ISNUMBER(SEARCH("FAIL",J187&amp;" "&amp;N187)),ISNUMBER(SEARCH("CLEAN RETEST REQUIRED",J187&amp;" "&amp;N187))),"Failed",IF(OR(ISNUMBER(SEARCH("NOT RUN",J187&amp;" "&amp;N187)),ISNUMBER(SEARCH("NOT IMPLEMENTED",J187&amp;" "&amp;N187))),"Not started",IF(OR(ISNUMBER(SEARCH("PARTIAL",J187&amp;" "&amp;N187)),ISNUMBER(SEARCH("PENDING",J187&amp;" "&amp;N187)),ISNUMBER(SEARCH("IN PROGRESS",J187&amp;" "&amp;N187)),ISNUMBER(SEARCH("OPEN",J187&amp;" "&amp;N187)),ISNUMBER(SEARCH("RETEST REQUIRED",J187&amp;" "&amp;N187)),ISNUMBER(SEARCH("IMPLEMENTATION UPDATED",J187&amp;" "&amp;N187)),ISNUMBER(SEARCH("REQUIRED EVERY SESSION",J187&amp;" "&amp;N187))),"Pending",IF(OR(N187="PASS",ISNUMBER(SEARCH("PASS",J187&amp;" "&amp;N187))),"Done","Pending"))))</f>
        <v>Not started</v>
      </c>
      <c r="R187" s="146" t="str">
        <f>IF(OR(LEFT(A187,9)="OPERATOR-",LEFT(A187,8)="PAYMENT-",LEFT(A187,7)="DEPLOY-"),"External","Core")</f>
        <v>Core</v>
      </c>
    </row>
    <row r="188" customFormat="false" ht="15" hidden="false" customHeight="false" outlineLevel="0" collapsed="false">
      <c r="A188" s="138" t="s">
        <v>1696</v>
      </c>
      <c r="B188" s="138" t="s">
        <v>1646</v>
      </c>
      <c r="C188" s="138" t="s">
        <v>1697</v>
      </c>
      <c r="D188" s="138" t="s">
        <v>1698</v>
      </c>
      <c r="E188" s="138" t="s">
        <v>4</v>
      </c>
      <c r="F188" s="138" t="s">
        <v>1699</v>
      </c>
      <c r="G188" s="138" t="s">
        <v>4</v>
      </c>
      <c r="H188" s="138" t="s">
        <v>4</v>
      </c>
      <c r="I188" s="138" t="s">
        <v>1700</v>
      </c>
      <c r="J188" s="138" t="s">
        <v>1172</v>
      </c>
      <c r="K188" s="138" t="s">
        <v>1</v>
      </c>
      <c r="L188" s="138" t="s">
        <v>1701</v>
      </c>
      <c r="M188" s="138" t="s">
        <v>1702</v>
      </c>
      <c r="N188" s="138" t="s">
        <v>1</v>
      </c>
      <c r="O188" s="138" t="s">
        <v>1703</v>
      </c>
      <c r="P188" s="138" t="s">
        <v>433</v>
      </c>
      <c r="Q188" s="146" t="str">
        <f>IF(OR(ISNUMBER(SEARCH("FAIL",J188&amp;" "&amp;N188)),ISNUMBER(SEARCH("CLEAN RETEST REQUIRED",J188&amp;" "&amp;N188))),"Failed",IF(OR(ISNUMBER(SEARCH("NOT RUN",J188&amp;" "&amp;N188)),ISNUMBER(SEARCH("NOT IMPLEMENTED",J188&amp;" "&amp;N188))),"Not started",IF(OR(ISNUMBER(SEARCH("PARTIAL",J188&amp;" "&amp;N188)),ISNUMBER(SEARCH("PENDING",J188&amp;" "&amp;N188)),ISNUMBER(SEARCH("IN PROGRESS",J188&amp;" "&amp;N188)),ISNUMBER(SEARCH("OPEN",J188&amp;" "&amp;N188)),ISNUMBER(SEARCH("RETEST REQUIRED",J188&amp;" "&amp;N188)),ISNUMBER(SEARCH("IMPLEMENTATION UPDATED",J188&amp;" "&amp;N188)),ISNUMBER(SEARCH("REQUIRED EVERY SESSION",J188&amp;" "&amp;N188))),"Pending",IF(OR(N188="PASS",ISNUMBER(SEARCH("PASS",J188&amp;" "&amp;N188))),"Done","Pending"))))</f>
        <v>Not started</v>
      </c>
      <c r="R188" s="146" t="str">
        <f>IF(OR(LEFT(A188,9)="OPERATOR-",LEFT(A188,8)="PAYMENT-",LEFT(A188,7)="DEPLOY-"),"External","Core")</f>
        <v>Core</v>
      </c>
    </row>
    <row r="189" customFormat="false" ht="15" hidden="false" customHeight="false" outlineLevel="0" collapsed="false">
      <c r="A189" s="138" t="s">
        <v>1704</v>
      </c>
      <c r="B189" s="138" t="s">
        <v>1705</v>
      </c>
      <c r="C189" s="138" t="s">
        <v>1706</v>
      </c>
      <c r="D189" s="138" t="s">
        <v>1707</v>
      </c>
      <c r="E189" s="138" t="s">
        <v>4</v>
      </c>
      <c r="F189" s="138" t="s">
        <v>1708</v>
      </c>
      <c r="G189" s="138" t="s">
        <v>4</v>
      </c>
      <c r="H189" s="138" t="s">
        <v>4</v>
      </c>
      <c r="I189" s="138" t="s">
        <v>1709</v>
      </c>
      <c r="J189" s="138" t="s">
        <v>1289</v>
      </c>
      <c r="K189" s="138" t="s">
        <v>1</v>
      </c>
      <c r="L189" s="138" t="s">
        <v>1710</v>
      </c>
      <c r="M189" s="138" t="s">
        <v>1711</v>
      </c>
      <c r="N189" s="138" t="s">
        <v>1</v>
      </c>
      <c r="O189" s="138" t="s">
        <v>1712</v>
      </c>
      <c r="P189" s="138" t="s">
        <v>433</v>
      </c>
      <c r="Q189" s="146" t="str">
        <f>IF(OR(ISNUMBER(SEARCH("FAIL",J189&amp;" "&amp;N189)),ISNUMBER(SEARCH("CLEAN RETEST REQUIRED",J189&amp;" "&amp;N189))),"Failed",IF(OR(ISNUMBER(SEARCH("NOT RUN",J189&amp;" "&amp;N189)),ISNUMBER(SEARCH("NOT IMPLEMENTED",J189&amp;" "&amp;N189))),"Not started",IF(OR(ISNUMBER(SEARCH("PARTIAL",J189&amp;" "&amp;N189)),ISNUMBER(SEARCH("PENDING",J189&amp;" "&amp;N189)),ISNUMBER(SEARCH("IN PROGRESS",J189&amp;" "&amp;N189)),ISNUMBER(SEARCH("OPEN",J189&amp;" "&amp;N189)),ISNUMBER(SEARCH("RETEST REQUIRED",J189&amp;" "&amp;N189)),ISNUMBER(SEARCH("IMPLEMENTATION UPDATED",J189&amp;" "&amp;N189)),ISNUMBER(SEARCH("REQUIRED EVERY SESSION",J189&amp;" "&amp;N189))),"Pending",IF(OR(N189="PASS",ISNUMBER(SEARCH("PASS",J189&amp;" "&amp;N189))),"Done","Pending"))))</f>
        <v>Not started</v>
      </c>
      <c r="R189" s="146" t="str">
        <f>IF(OR(LEFT(A189,9)="OPERATOR-",LEFT(A189,8)="PAYMENT-",LEFT(A189,7)="DEPLOY-"),"External","Core")</f>
        <v>Core</v>
      </c>
    </row>
    <row r="190" customFormat="false" ht="15" hidden="false" customHeight="false" outlineLevel="0" collapsed="false">
      <c r="A190" s="138" t="s">
        <v>1713</v>
      </c>
      <c r="B190" s="138" t="s">
        <v>1705</v>
      </c>
      <c r="C190" s="138" t="s">
        <v>1714</v>
      </c>
      <c r="D190" s="138" t="s">
        <v>1715</v>
      </c>
      <c r="E190" s="138" t="s">
        <v>1716</v>
      </c>
      <c r="F190" s="138" t="s">
        <v>1717</v>
      </c>
      <c r="G190" s="138" t="s">
        <v>4</v>
      </c>
      <c r="H190" s="138" t="s">
        <v>1718</v>
      </c>
      <c r="I190" s="138" t="s">
        <v>1719</v>
      </c>
      <c r="J190" s="138" t="s">
        <v>1289</v>
      </c>
      <c r="K190" s="138" t="s">
        <v>1</v>
      </c>
      <c r="L190" s="138" t="s">
        <v>1720</v>
      </c>
      <c r="M190" s="138" t="s">
        <v>1721</v>
      </c>
      <c r="N190" s="138" t="s">
        <v>1</v>
      </c>
      <c r="O190" s="138" t="s">
        <v>1722</v>
      </c>
      <c r="P190" s="138" t="s">
        <v>433</v>
      </c>
      <c r="Q190" s="146" t="str">
        <f>IF(OR(ISNUMBER(SEARCH("FAIL",J190&amp;" "&amp;N190)),ISNUMBER(SEARCH("CLEAN RETEST REQUIRED",J190&amp;" "&amp;N190))),"Failed",IF(OR(ISNUMBER(SEARCH("NOT RUN",J190&amp;" "&amp;N190)),ISNUMBER(SEARCH("NOT IMPLEMENTED",J190&amp;" "&amp;N190))),"Not started",IF(OR(ISNUMBER(SEARCH("PARTIAL",J190&amp;" "&amp;N190)),ISNUMBER(SEARCH("PENDING",J190&amp;" "&amp;N190)),ISNUMBER(SEARCH("IN PROGRESS",J190&amp;" "&amp;N190)),ISNUMBER(SEARCH("OPEN",J190&amp;" "&amp;N190)),ISNUMBER(SEARCH("RETEST REQUIRED",J190&amp;" "&amp;N190)),ISNUMBER(SEARCH("IMPLEMENTATION UPDATED",J190&amp;" "&amp;N190)),ISNUMBER(SEARCH("REQUIRED EVERY SESSION",J190&amp;" "&amp;N190))),"Pending",IF(OR(N190="PASS",ISNUMBER(SEARCH("PASS",J190&amp;" "&amp;N190))),"Done","Pending"))))</f>
        <v>Not started</v>
      </c>
      <c r="R190" s="146" t="str">
        <f>IF(OR(LEFT(A190,9)="OPERATOR-",LEFT(A190,8)="PAYMENT-",LEFT(A190,7)="DEPLOY-"),"External","Core")</f>
        <v>Core</v>
      </c>
    </row>
    <row r="191" customFormat="false" ht="15" hidden="false" customHeight="false" outlineLevel="0" collapsed="false">
      <c r="A191" s="138" t="s">
        <v>1723</v>
      </c>
      <c r="B191" s="138" t="s">
        <v>1705</v>
      </c>
      <c r="C191" s="138" t="s">
        <v>1724</v>
      </c>
      <c r="D191" s="138" t="s">
        <v>1725</v>
      </c>
      <c r="E191" s="138" t="s">
        <v>4</v>
      </c>
      <c r="F191" s="138" t="s">
        <v>1726</v>
      </c>
      <c r="G191" s="138" t="s">
        <v>4</v>
      </c>
      <c r="H191" s="138" t="s">
        <v>4</v>
      </c>
      <c r="I191" s="138" t="s">
        <v>1727</v>
      </c>
      <c r="J191" s="138" t="s">
        <v>1289</v>
      </c>
      <c r="K191" s="138" t="s">
        <v>1</v>
      </c>
      <c r="L191" s="138" t="s">
        <v>1728</v>
      </c>
      <c r="M191" s="138" t="s">
        <v>1729</v>
      </c>
      <c r="N191" s="138" t="s">
        <v>1</v>
      </c>
      <c r="O191" s="138" t="s">
        <v>1730</v>
      </c>
      <c r="P191" s="138" t="s">
        <v>433</v>
      </c>
      <c r="Q191" s="146" t="str">
        <f>IF(OR(ISNUMBER(SEARCH("FAIL",J191&amp;" "&amp;N191)),ISNUMBER(SEARCH("CLEAN RETEST REQUIRED",J191&amp;" "&amp;N191))),"Failed",IF(OR(ISNUMBER(SEARCH("NOT RUN",J191&amp;" "&amp;N191)),ISNUMBER(SEARCH("NOT IMPLEMENTED",J191&amp;" "&amp;N191))),"Not started",IF(OR(ISNUMBER(SEARCH("PARTIAL",J191&amp;" "&amp;N191)),ISNUMBER(SEARCH("PENDING",J191&amp;" "&amp;N191)),ISNUMBER(SEARCH("IN PROGRESS",J191&amp;" "&amp;N191)),ISNUMBER(SEARCH("OPEN",J191&amp;" "&amp;N191)),ISNUMBER(SEARCH("RETEST REQUIRED",J191&amp;" "&amp;N191)),ISNUMBER(SEARCH("IMPLEMENTATION UPDATED",J191&amp;" "&amp;N191)),ISNUMBER(SEARCH("REQUIRED EVERY SESSION",J191&amp;" "&amp;N191))),"Pending",IF(OR(N191="PASS",ISNUMBER(SEARCH("PASS",J191&amp;" "&amp;N191))),"Done","Pending"))))</f>
        <v>Not started</v>
      </c>
      <c r="R191" s="146" t="str">
        <f>IF(OR(LEFT(A191,9)="OPERATOR-",LEFT(A191,8)="PAYMENT-",LEFT(A191,7)="DEPLOY-"),"External","Core")</f>
        <v>Core</v>
      </c>
    </row>
    <row r="192" customFormat="false" ht="15" hidden="false" customHeight="false" outlineLevel="0" collapsed="false">
      <c r="A192" s="138" t="s">
        <v>1731</v>
      </c>
      <c r="B192" s="138" t="s">
        <v>1705</v>
      </c>
      <c r="C192" s="138" t="s">
        <v>1732</v>
      </c>
      <c r="D192" s="138" t="s">
        <v>1733</v>
      </c>
      <c r="E192" s="138" t="s">
        <v>4</v>
      </c>
      <c r="F192" s="138" t="s">
        <v>1734</v>
      </c>
      <c r="G192" s="138" t="s">
        <v>4</v>
      </c>
      <c r="H192" s="138" t="s">
        <v>4</v>
      </c>
      <c r="I192" s="138" t="s">
        <v>1735</v>
      </c>
      <c r="J192" s="138" t="s">
        <v>1289</v>
      </c>
      <c r="K192" s="138" t="s">
        <v>1</v>
      </c>
      <c r="L192" s="138" t="s">
        <v>1736</v>
      </c>
      <c r="M192" s="138" t="s">
        <v>1737</v>
      </c>
      <c r="N192" s="138" t="s">
        <v>1</v>
      </c>
      <c r="O192" s="138" t="s">
        <v>1738</v>
      </c>
      <c r="P192" s="138" t="s">
        <v>433</v>
      </c>
      <c r="Q192" s="146" t="str">
        <f>IF(OR(ISNUMBER(SEARCH("FAIL",J192&amp;" "&amp;N192)),ISNUMBER(SEARCH("CLEAN RETEST REQUIRED",J192&amp;" "&amp;N192))),"Failed",IF(OR(ISNUMBER(SEARCH("NOT RUN",J192&amp;" "&amp;N192)),ISNUMBER(SEARCH("NOT IMPLEMENTED",J192&amp;" "&amp;N192))),"Not started",IF(OR(ISNUMBER(SEARCH("PARTIAL",J192&amp;" "&amp;N192)),ISNUMBER(SEARCH("PENDING",J192&amp;" "&amp;N192)),ISNUMBER(SEARCH("IN PROGRESS",J192&amp;" "&amp;N192)),ISNUMBER(SEARCH("OPEN",J192&amp;" "&amp;N192)),ISNUMBER(SEARCH("RETEST REQUIRED",J192&amp;" "&amp;N192)),ISNUMBER(SEARCH("IMPLEMENTATION UPDATED",J192&amp;" "&amp;N192)),ISNUMBER(SEARCH("REQUIRED EVERY SESSION",J192&amp;" "&amp;N192))),"Pending",IF(OR(N192="PASS",ISNUMBER(SEARCH("PASS",J192&amp;" "&amp;N192))),"Done","Pending"))))</f>
        <v>Not started</v>
      </c>
      <c r="R192" s="146" t="str">
        <f>IF(OR(LEFT(A192,9)="OPERATOR-",LEFT(A192,8)="PAYMENT-",LEFT(A192,7)="DEPLOY-"),"External","Core")</f>
        <v>Core</v>
      </c>
    </row>
    <row r="193" customFormat="false" ht="15" hidden="false" customHeight="false" outlineLevel="0" collapsed="false">
      <c r="A193" s="138" t="s">
        <v>1739</v>
      </c>
      <c r="B193" s="138" t="s">
        <v>1740</v>
      </c>
      <c r="C193" s="138" t="s">
        <v>1741</v>
      </c>
      <c r="D193" s="138" t="s">
        <v>1742</v>
      </c>
      <c r="E193" s="138" t="s">
        <v>1743</v>
      </c>
      <c r="F193" s="138" t="s">
        <v>1744</v>
      </c>
      <c r="G193" s="138" t="s">
        <v>4</v>
      </c>
      <c r="H193" s="138" t="s">
        <v>4</v>
      </c>
      <c r="I193" s="138" t="s">
        <v>1745</v>
      </c>
      <c r="J193" s="138" t="s">
        <v>1172</v>
      </c>
      <c r="K193" s="138" t="s">
        <v>1</v>
      </c>
      <c r="L193" s="138" t="s">
        <v>1746</v>
      </c>
      <c r="M193" s="138" t="s">
        <v>1747</v>
      </c>
      <c r="N193" s="138" t="s">
        <v>1</v>
      </c>
      <c r="O193" s="138" t="s">
        <v>1748</v>
      </c>
      <c r="P193" s="138" t="s">
        <v>433</v>
      </c>
      <c r="Q193" s="146" t="str">
        <f>IF(OR(ISNUMBER(SEARCH("FAIL",J193&amp;" "&amp;N193)),ISNUMBER(SEARCH("CLEAN RETEST REQUIRED",J193&amp;" "&amp;N193))),"Failed",IF(OR(ISNUMBER(SEARCH("NOT RUN",J193&amp;" "&amp;N193)),ISNUMBER(SEARCH("NOT IMPLEMENTED",J193&amp;" "&amp;N193))),"Not started",IF(OR(ISNUMBER(SEARCH("PARTIAL",J193&amp;" "&amp;N193)),ISNUMBER(SEARCH("PENDING",J193&amp;" "&amp;N193)),ISNUMBER(SEARCH("IN PROGRESS",J193&amp;" "&amp;N193)),ISNUMBER(SEARCH("OPEN",J193&amp;" "&amp;N193)),ISNUMBER(SEARCH("RETEST REQUIRED",J193&amp;" "&amp;N193)),ISNUMBER(SEARCH("IMPLEMENTATION UPDATED",J193&amp;" "&amp;N193)),ISNUMBER(SEARCH("REQUIRED EVERY SESSION",J193&amp;" "&amp;N193))),"Pending",IF(OR(N193="PASS",ISNUMBER(SEARCH("PASS",J193&amp;" "&amp;N193))),"Done","Pending"))))</f>
        <v>Not started</v>
      </c>
      <c r="R193" s="146" t="str">
        <f>IF(OR(LEFT(A193,9)="OPERATOR-",LEFT(A193,8)="PAYMENT-",LEFT(A193,7)="DEPLOY-"),"External","Core")</f>
        <v>Core</v>
      </c>
    </row>
    <row r="194" customFormat="false" ht="15" hidden="false" customHeight="false" outlineLevel="0" collapsed="false">
      <c r="A194" s="138" t="s">
        <v>1749</v>
      </c>
      <c r="B194" s="138" t="s">
        <v>1740</v>
      </c>
      <c r="C194" s="138" t="s">
        <v>1750</v>
      </c>
      <c r="D194" s="138" t="s">
        <v>1751</v>
      </c>
      <c r="E194" s="138" t="s">
        <v>4</v>
      </c>
      <c r="F194" s="138" t="s">
        <v>1752</v>
      </c>
      <c r="G194" s="138" t="s">
        <v>4</v>
      </c>
      <c r="H194" s="138" t="s">
        <v>4</v>
      </c>
      <c r="I194" s="138" t="s">
        <v>1753</v>
      </c>
      <c r="J194" s="138" t="s">
        <v>1172</v>
      </c>
      <c r="K194" s="138" t="s">
        <v>1</v>
      </c>
      <c r="L194" s="138" t="s">
        <v>1754</v>
      </c>
      <c r="M194" s="138" t="s">
        <v>1755</v>
      </c>
      <c r="N194" s="138" t="s">
        <v>1</v>
      </c>
      <c r="O194" s="138" t="s">
        <v>1756</v>
      </c>
      <c r="P194" s="138" t="s">
        <v>1757</v>
      </c>
      <c r="Q194" s="146" t="str">
        <f>IF(OR(ISNUMBER(SEARCH("FAIL",J194&amp;" "&amp;N194)),ISNUMBER(SEARCH("CLEAN RETEST REQUIRED",J194&amp;" "&amp;N194))),"Failed",IF(OR(ISNUMBER(SEARCH("NOT RUN",J194&amp;" "&amp;N194)),ISNUMBER(SEARCH("NOT IMPLEMENTED",J194&amp;" "&amp;N194))),"Not started",IF(OR(ISNUMBER(SEARCH("PARTIAL",J194&amp;" "&amp;N194)),ISNUMBER(SEARCH("PENDING",J194&amp;" "&amp;N194)),ISNUMBER(SEARCH("IN PROGRESS",J194&amp;" "&amp;N194)),ISNUMBER(SEARCH("OPEN",J194&amp;" "&amp;N194)),ISNUMBER(SEARCH("RETEST REQUIRED",J194&amp;" "&amp;N194)),ISNUMBER(SEARCH("IMPLEMENTATION UPDATED",J194&amp;" "&amp;N194)),ISNUMBER(SEARCH("REQUIRED EVERY SESSION",J194&amp;" "&amp;N194))),"Pending",IF(OR(N194="PASS",ISNUMBER(SEARCH("PASS",J194&amp;" "&amp;N194))),"Done","Pending"))))</f>
        <v>Not started</v>
      </c>
      <c r="R194" s="146" t="str">
        <f>IF(OR(LEFT(A194,9)="OPERATOR-",LEFT(A194,8)="PAYMENT-",LEFT(A194,7)="DEPLOY-"),"External","Core")</f>
        <v>Core</v>
      </c>
    </row>
    <row r="195" customFormat="false" ht="15" hidden="false" customHeight="false" outlineLevel="0" collapsed="false">
      <c r="A195" s="138" t="s">
        <v>1758</v>
      </c>
      <c r="B195" s="138" t="s">
        <v>1740</v>
      </c>
      <c r="C195" s="138" t="s">
        <v>1759</v>
      </c>
      <c r="D195" s="138" t="s">
        <v>1760</v>
      </c>
      <c r="E195" s="138" t="s">
        <v>4</v>
      </c>
      <c r="F195" s="138" t="s">
        <v>1761</v>
      </c>
      <c r="G195" s="138" t="s">
        <v>4</v>
      </c>
      <c r="H195" s="138" t="s">
        <v>1762</v>
      </c>
      <c r="I195" s="138" t="s">
        <v>1763</v>
      </c>
      <c r="J195" s="138" t="s">
        <v>1172</v>
      </c>
      <c r="K195" s="138" t="s">
        <v>1</v>
      </c>
      <c r="L195" s="138" t="s">
        <v>1764</v>
      </c>
      <c r="M195" s="138" t="s">
        <v>1765</v>
      </c>
      <c r="N195" s="138" t="s">
        <v>1</v>
      </c>
      <c r="O195" s="138" t="s">
        <v>1766</v>
      </c>
      <c r="P195" s="138" t="s">
        <v>433</v>
      </c>
      <c r="Q195" s="146" t="str">
        <f>IF(OR(ISNUMBER(SEARCH("FAIL",J195&amp;" "&amp;N195)),ISNUMBER(SEARCH("CLEAN RETEST REQUIRED",J195&amp;" "&amp;N195))),"Failed",IF(OR(ISNUMBER(SEARCH("NOT RUN",J195&amp;" "&amp;N195)),ISNUMBER(SEARCH("NOT IMPLEMENTED",J195&amp;" "&amp;N195))),"Not started",IF(OR(ISNUMBER(SEARCH("PARTIAL",J195&amp;" "&amp;N195)),ISNUMBER(SEARCH("PENDING",J195&amp;" "&amp;N195)),ISNUMBER(SEARCH("IN PROGRESS",J195&amp;" "&amp;N195)),ISNUMBER(SEARCH("OPEN",J195&amp;" "&amp;N195)),ISNUMBER(SEARCH("RETEST REQUIRED",J195&amp;" "&amp;N195)),ISNUMBER(SEARCH("IMPLEMENTATION UPDATED",J195&amp;" "&amp;N195)),ISNUMBER(SEARCH("REQUIRED EVERY SESSION",J195&amp;" "&amp;N195))),"Pending",IF(OR(N195="PASS",ISNUMBER(SEARCH("PASS",J195&amp;" "&amp;N195))),"Done","Pending"))))</f>
        <v>Not started</v>
      </c>
      <c r="R195" s="146" t="str">
        <f>IF(OR(LEFT(A195,9)="OPERATOR-",LEFT(A195,8)="PAYMENT-",LEFT(A195,7)="DEPLOY-"),"External","Core")</f>
        <v>Core</v>
      </c>
    </row>
    <row r="196" customFormat="false" ht="15" hidden="false" customHeight="false" outlineLevel="0" collapsed="false">
      <c r="A196" s="138" t="s">
        <v>1767</v>
      </c>
      <c r="B196" s="138" t="s">
        <v>1740</v>
      </c>
      <c r="C196" s="138" t="s">
        <v>1768</v>
      </c>
      <c r="D196" s="138" t="s">
        <v>1769</v>
      </c>
      <c r="E196" s="138" t="s">
        <v>1770</v>
      </c>
      <c r="F196" s="138" t="s">
        <v>1771</v>
      </c>
      <c r="G196" s="138" t="s">
        <v>4</v>
      </c>
      <c r="H196" s="138" t="s">
        <v>4</v>
      </c>
      <c r="I196" s="138" t="s">
        <v>1772</v>
      </c>
      <c r="J196" s="138" t="s">
        <v>1172</v>
      </c>
      <c r="K196" s="138" t="s">
        <v>1</v>
      </c>
      <c r="L196" s="138" t="s">
        <v>1773</v>
      </c>
      <c r="M196" s="138" t="s">
        <v>1774</v>
      </c>
      <c r="N196" s="138" t="s">
        <v>1</v>
      </c>
      <c r="O196" s="138" t="s">
        <v>1775</v>
      </c>
      <c r="P196" s="138" t="s">
        <v>433</v>
      </c>
      <c r="Q196" s="146" t="str">
        <f>IF(OR(ISNUMBER(SEARCH("FAIL",J196&amp;" "&amp;N196)),ISNUMBER(SEARCH("CLEAN RETEST REQUIRED",J196&amp;" "&amp;N196))),"Failed",IF(OR(ISNUMBER(SEARCH("NOT RUN",J196&amp;" "&amp;N196)),ISNUMBER(SEARCH("NOT IMPLEMENTED",J196&amp;" "&amp;N196))),"Not started",IF(OR(ISNUMBER(SEARCH("PARTIAL",J196&amp;" "&amp;N196)),ISNUMBER(SEARCH("PENDING",J196&amp;" "&amp;N196)),ISNUMBER(SEARCH("IN PROGRESS",J196&amp;" "&amp;N196)),ISNUMBER(SEARCH("OPEN",J196&amp;" "&amp;N196)),ISNUMBER(SEARCH("RETEST REQUIRED",J196&amp;" "&amp;N196)),ISNUMBER(SEARCH("IMPLEMENTATION UPDATED",J196&amp;" "&amp;N196)),ISNUMBER(SEARCH("REQUIRED EVERY SESSION",J196&amp;" "&amp;N196))),"Pending",IF(OR(N196="PASS",ISNUMBER(SEARCH("PASS",J196&amp;" "&amp;N196))),"Done","Pending"))))</f>
        <v>Not started</v>
      </c>
      <c r="R196" s="146" t="str">
        <f>IF(OR(LEFT(A196,9)="OPERATOR-",LEFT(A196,8)="PAYMENT-",LEFT(A196,7)="DEPLOY-"),"External","Core")</f>
        <v>Core</v>
      </c>
    </row>
    <row r="197" customFormat="false" ht="15" hidden="false" customHeight="false" outlineLevel="0" collapsed="false">
      <c r="A197" s="138" t="s">
        <v>1776</v>
      </c>
      <c r="B197" s="138" t="s">
        <v>1740</v>
      </c>
      <c r="C197" s="138" t="s">
        <v>1777</v>
      </c>
      <c r="D197" s="138" t="s">
        <v>1778</v>
      </c>
      <c r="E197" s="138" t="s">
        <v>1391</v>
      </c>
      <c r="F197" s="138" t="s">
        <v>1779</v>
      </c>
      <c r="G197" s="138" t="s">
        <v>4</v>
      </c>
      <c r="H197" s="138" t="s">
        <v>1780</v>
      </c>
      <c r="I197" s="138" t="s">
        <v>1781</v>
      </c>
      <c r="J197" s="138" t="s">
        <v>1172</v>
      </c>
      <c r="K197" s="138" t="s">
        <v>1</v>
      </c>
      <c r="L197" s="138" t="s">
        <v>1782</v>
      </c>
      <c r="M197" s="138" t="s">
        <v>1783</v>
      </c>
      <c r="N197" s="138" t="s">
        <v>1</v>
      </c>
      <c r="O197" s="138" t="s">
        <v>1784</v>
      </c>
      <c r="P197" s="138" t="s">
        <v>433</v>
      </c>
      <c r="Q197" s="146" t="str">
        <f>IF(OR(ISNUMBER(SEARCH("FAIL",J197&amp;" "&amp;N197)),ISNUMBER(SEARCH("CLEAN RETEST REQUIRED",J197&amp;" "&amp;N197))),"Failed",IF(OR(ISNUMBER(SEARCH("NOT RUN",J197&amp;" "&amp;N197)),ISNUMBER(SEARCH("NOT IMPLEMENTED",J197&amp;" "&amp;N197))),"Not started",IF(OR(ISNUMBER(SEARCH("PARTIAL",J197&amp;" "&amp;N197)),ISNUMBER(SEARCH("PENDING",J197&amp;" "&amp;N197)),ISNUMBER(SEARCH("IN PROGRESS",J197&amp;" "&amp;N197)),ISNUMBER(SEARCH("OPEN",J197&amp;" "&amp;N197)),ISNUMBER(SEARCH("RETEST REQUIRED",J197&amp;" "&amp;N197)),ISNUMBER(SEARCH("IMPLEMENTATION UPDATED",J197&amp;" "&amp;N197)),ISNUMBER(SEARCH("REQUIRED EVERY SESSION",J197&amp;" "&amp;N197))),"Pending",IF(OR(N197="PASS",ISNUMBER(SEARCH("PASS",J197&amp;" "&amp;N197))),"Done","Pending"))))</f>
        <v>Not started</v>
      </c>
      <c r="R197" s="146" t="str">
        <f>IF(OR(LEFT(A197,9)="OPERATOR-",LEFT(A197,8)="PAYMENT-",LEFT(A197,7)="DEPLOY-"),"External","Core")</f>
        <v>Core</v>
      </c>
    </row>
    <row r="198" customFormat="false" ht="90" hidden="false" customHeight="true" outlineLevel="0" collapsed="false">
      <c r="A198" s="135" t="s">
        <v>1785</v>
      </c>
      <c r="B198" s="135" t="s">
        <v>1202</v>
      </c>
      <c r="C198" s="135" t="s">
        <v>1221</v>
      </c>
      <c r="D198" s="135" t="s">
        <v>1786</v>
      </c>
      <c r="E198" s="135" t="s">
        <v>4</v>
      </c>
      <c r="F198" s="135" t="s">
        <v>1787</v>
      </c>
      <c r="G198" s="135" t="s">
        <v>4</v>
      </c>
      <c r="H198" s="135" t="s">
        <v>4</v>
      </c>
      <c r="I198" s="135" t="s">
        <v>1788</v>
      </c>
      <c r="J198" s="135" t="s">
        <v>486</v>
      </c>
      <c r="K198" s="135" t="s">
        <v>487</v>
      </c>
      <c r="L198" s="135" t="s">
        <v>1789</v>
      </c>
      <c r="M198" s="135" t="s">
        <v>1790</v>
      </c>
      <c r="N198" s="135" t="s">
        <v>51</v>
      </c>
      <c r="O198" s="135" t="s">
        <v>1791</v>
      </c>
      <c r="P198" s="135" t="s">
        <v>433</v>
      </c>
      <c r="Q198" s="146" t="str">
        <f>IF(OR(ISNUMBER(SEARCH("FAIL",J198&amp;" "&amp;N198)),ISNUMBER(SEARCH("CLEAN RETEST REQUIRED",J198&amp;" "&amp;N198))),"Failed",IF(OR(ISNUMBER(SEARCH("NOT RUN",J198&amp;" "&amp;N198)),ISNUMBER(SEARCH("NOT IMPLEMENTED",J198&amp;" "&amp;N198))),"Not started",IF(OR(ISNUMBER(SEARCH("PARTIAL",J198&amp;" "&amp;N198)),ISNUMBER(SEARCH("PENDING",J198&amp;" "&amp;N198)),ISNUMBER(SEARCH("IN PROGRESS",J198&amp;" "&amp;N198)),ISNUMBER(SEARCH("OPEN",J198&amp;" "&amp;N198)),ISNUMBER(SEARCH("RETEST REQUIRED",J198&amp;" "&amp;N198)),ISNUMBER(SEARCH("IMPLEMENTATION UPDATED",J198&amp;" "&amp;N198)),ISNUMBER(SEARCH("REQUIRED EVERY SESSION",J198&amp;" "&amp;N198))),"Pending",IF(OR(N198="PASS",ISNUMBER(SEARCH("PASS",J198&amp;" "&amp;N198))),"Done","Pending"))))</f>
        <v>Done</v>
      </c>
      <c r="R198" s="146" t="str">
        <f>IF(OR(LEFT(A198,9)="OPERATOR-",LEFT(A198,8)="PAYMENT-",LEFT(A198,7)="DEPLOY-"),"External","Core")</f>
        <v>Core</v>
      </c>
    </row>
    <row r="199" customFormat="false" ht="15" hidden="false" customHeight="false" outlineLevel="0" collapsed="false">
      <c r="A199" s="138" t="s">
        <v>1792</v>
      </c>
      <c r="B199" s="138" t="s">
        <v>1793</v>
      </c>
      <c r="C199" s="138" t="s">
        <v>1794</v>
      </c>
      <c r="D199" s="138" t="s">
        <v>1795</v>
      </c>
      <c r="E199" s="138" t="s">
        <v>1796</v>
      </c>
      <c r="F199" s="138" t="s">
        <v>1797</v>
      </c>
      <c r="G199" s="138" t="s">
        <v>1798</v>
      </c>
      <c r="H199" s="138" t="s">
        <v>4</v>
      </c>
      <c r="I199" s="138" t="s">
        <v>1799</v>
      </c>
      <c r="J199" s="138" t="s">
        <v>58</v>
      </c>
      <c r="K199" s="138" t="s">
        <v>1</v>
      </c>
      <c r="L199" s="138" t="s">
        <v>1800</v>
      </c>
      <c r="M199" s="138" t="s">
        <v>1801</v>
      </c>
      <c r="N199" s="138" t="s">
        <v>1</v>
      </c>
      <c r="O199" s="138" t="s">
        <v>1802</v>
      </c>
      <c r="P199" s="138" t="s">
        <v>392</v>
      </c>
      <c r="Q199" s="146" t="str">
        <f>IF(OR(ISNUMBER(SEARCH("FAIL",J199&amp;" "&amp;N199)),ISNUMBER(SEARCH("CLEAN RETEST REQUIRED",J199&amp;" "&amp;N199))),"Failed",IF(OR(ISNUMBER(SEARCH("NOT RUN",J199&amp;" "&amp;N199)),ISNUMBER(SEARCH("NOT IMPLEMENTED",J199&amp;" "&amp;N199))),"Not started",IF(OR(ISNUMBER(SEARCH("PARTIAL",J199&amp;" "&amp;N199)),ISNUMBER(SEARCH("PENDING",J199&amp;" "&amp;N199)),ISNUMBER(SEARCH("IN PROGRESS",J199&amp;" "&amp;N199)),ISNUMBER(SEARCH("OPEN",J199&amp;" "&amp;N199)),ISNUMBER(SEARCH("RETEST REQUIRED",J199&amp;" "&amp;N199)),ISNUMBER(SEARCH("IMPLEMENTATION UPDATED",J199&amp;" "&amp;N199)),ISNUMBER(SEARCH("REQUIRED EVERY SESSION",J199&amp;" "&amp;N199))),"Pending",IF(OR(N199="PASS",ISNUMBER(SEARCH("PASS",J199&amp;" "&amp;N199))),"Done","Pending"))))</f>
        <v>Not started</v>
      </c>
      <c r="R199" s="146" t="str">
        <f>IF(OR(LEFT(A199,9)="OPERATOR-",LEFT(A199,8)="PAYMENT-",LEFT(A199,7)="DEPLOY-"),"External","Core")</f>
        <v>Core</v>
      </c>
    </row>
    <row r="200" customFormat="false" ht="60" hidden="false" customHeight="true" outlineLevel="0" collapsed="false">
      <c r="A200" s="138" t="s">
        <v>1803</v>
      </c>
      <c r="B200" s="138" t="s">
        <v>1793</v>
      </c>
      <c r="C200" s="138" t="s">
        <v>1804</v>
      </c>
      <c r="D200" s="138" t="s">
        <v>1805</v>
      </c>
      <c r="E200" s="138" t="s">
        <v>1806</v>
      </c>
      <c r="F200" s="138" t="s">
        <v>1807</v>
      </c>
      <c r="G200" s="138" t="s">
        <v>4</v>
      </c>
      <c r="H200" s="138" t="s">
        <v>1808</v>
      </c>
      <c r="I200" s="138" t="s">
        <v>1809</v>
      </c>
      <c r="J200" s="138" t="s">
        <v>58</v>
      </c>
      <c r="K200" s="138" t="s">
        <v>1</v>
      </c>
      <c r="L200" s="138" t="s">
        <v>1810</v>
      </c>
      <c r="M200" s="138" t="s">
        <v>1811</v>
      </c>
      <c r="N200" s="138" t="s">
        <v>1</v>
      </c>
      <c r="O200" s="138" t="s">
        <v>1812</v>
      </c>
      <c r="P200" s="138" t="s">
        <v>537</v>
      </c>
      <c r="Q200" s="146" t="str">
        <f>IF(OR(ISNUMBER(SEARCH("FAIL",J200&amp;" "&amp;N200)),ISNUMBER(SEARCH("CLEAN RETEST REQUIRED",J200&amp;" "&amp;N200))),"Failed",IF(OR(ISNUMBER(SEARCH("NOT RUN",J200&amp;" "&amp;N200)),ISNUMBER(SEARCH("NOT IMPLEMENTED",J200&amp;" "&amp;N200))),"Not started",IF(OR(ISNUMBER(SEARCH("PARTIAL",J200&amp;" "&amp;N200)),ISNUMBER(SEARCH("PENDING",J200&amp;" "&amp;N200)),ISNUMBER(SEARCH("IN PROGRESS",J200&amp;" "&amp;N200)),ISNUMBER(SEARCH("OPEN",J200&amp;" "&amp;N200)),ISNUMBER(SEARCH("RETEST REQUIRED",J200&amp;" "&amp;N200)),ISNUMBER(SEARCH("IMPLEMENTATION UPDATED",J200&amp;" "&amp;N200)),ISNUMBER(SEARCH("REQUIRED EVERY SESSION",J200&amp;" "&amp;N200))),"Pending",IF(OR(N200="PASS",ISNUMBER(SEARCH("PASS",J200&amp;" "&amp;N200))),"Done","Pending"))))</f>
        <v>Not started</v>
      </c>
      <c r="R200" s="146" t="str">
        <f>IF(OR(LEFT(A200,9)="OPERATOR-",LEFT(A200,8)="PAYMENT-",LEFT(A200,7)="DEPLOY-"),"External","Core")</f>
        <v>Core</v>
      </c>
    </row>
  </sheetData>
  <mergeCells count="2">
    <mergeCell ref="A1:B1"/>
    <mergeCell ref="A8:P8"/>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