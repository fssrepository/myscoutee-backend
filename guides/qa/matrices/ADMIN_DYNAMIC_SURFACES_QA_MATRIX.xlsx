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<sst xmlns="http://schemas.openxmlformats.org/spreadsheetml/2006/main" count="3168" uniqueCount="1793">
  <si>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</si>
  <si>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</si>
  <si>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</si>
  <si>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53 (40%)</t>
  </si>
  <si>
    <t>X</t>
  </si>
  <si>
    <t>No expected effect — An unchanged X cell is PASS</t>
  </si>
  <si>
    <t>Pending</t>
  </si>
  <si>
    <t>19</t>
  </si>
  <si>
    <t>DELTA</t>
  </si>
  <si>
    <t>Required direct effect — Record before/after count and direction</t>
  </si>
  <si>
    <t>Not started</t>
  </si>
  <si>
    <t>61</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</si>
  <si>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</si>
  <si>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</si>
  <si>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</si>
  <si>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</si>
  <si>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</si>
  <si>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</si>
  <si>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</si>
  <si>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</si>
  <si>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</si>
  <si>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</si>
  <si>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</si>
  <si>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</si>
  <si>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</si>
  <si>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</si>
  <si>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</si>
  <si>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</si>
  <si>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</si>
  <si>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</si>
  <si>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</si>
  <si>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</si>
  <si>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</si>
  <si>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</si>
  <si>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</si>
  <si>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</si>
  <si>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</si>
  <si>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</si>
  <si>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</si>
  <si>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</si>
  <si>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</si>
  <si>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</si>
  <si>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</si>
  <si>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</si>
  <si>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</si>
  <si>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</si>
  <si>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</si>
  <si>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</si>
  <si>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</si>
  <si>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</si>
  <si>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</si>
  <si>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</si>
  <si>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</si>
  <si>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</si>
  <si>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</si>
  <si>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</si>
  <si>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</si>
  <si>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</si>
  <si>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</si>
  <si>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</si>
  <si>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</si>
  <si>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</si>
  <si>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</si>
  <si>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</si>
  <si>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</si>
  <si>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</si>
  <si>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</si>
  <si>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</si>
  <si>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</si>
  <si>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</si>
  <si>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</si>
  <si>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</si>
  <si>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</si>
  <si>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</si>
  <si>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</si>
  <si>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</si>
  <si>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</si>
  <si>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</si>
  <si>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</si>
  <si>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</si>
  <si>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</si>
  <si>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</si>
  <si>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</si>
  <si>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</si>
  <si>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</si>
  <si>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</si>
  <si>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</si>
  <si>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</si>
  <si>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</si>
  <si>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</si>
  <si>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</si>
  <si>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</si>
  <si>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</si>
  <si>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</si>
  <si>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</si>
  <si>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</si>
  <si>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</si>
  <si>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</si>
  <si>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</si>
  <si>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</si>
  <si>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</si>
  <si>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</si>
  <si>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</si>
  <si>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</si>
  <si>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</si>
  <si>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</si>
  <si>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</si>
  <si>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</si>
  <si>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</si>
  <si>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</si>
  <si>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</si>
  <si>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</si>
  <si>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</si>
  <si>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</si>
  <si>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</si>
  <si>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</si>
  <si>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</si>
  <si>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</si>
  <si>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</si>
  <si>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</si>
  <si>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</si>
  <si>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</si>
  <si>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</si>
  <si>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</si>
  <si>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</si>
  <si>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</si>
  <si>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</si>
  <si>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</si>
  <si>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</si>
  <si>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</si>
  <si>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</si>
  <si>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</si>
  <si>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</si>
  <si>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</si>
  <si>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</si>
  <si>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</si>
  <si>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</si>
  <si>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</si>
  <si>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</si>
  <si>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</si>
  <si>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</si>
  <si>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</si>
  <si>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</si>
  <si>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</si>
  <si>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</si>
  <si>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</si>
  <si>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</si>
  <si>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</si>
  <si>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</si>
  <si>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</si>
  <si>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</si>
  <si>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</si>
  <si>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</si>
  <si>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</si>
  <si>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</si>
  <si>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</si>
  <si>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</si>
  <si>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</si>
  <si>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</si>
  <si>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</si>
  <si>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</si>
  <si>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</si>
  <si>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</si>
  <si>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</si>
  <si>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</si>
  <si>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</si>
  <si>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</si>
  <si>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</si>
  <si>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</si>
  <si>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</si>
  <si>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</si>
  <si>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</si>
  <si>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</si>
  <si>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</si>
  <si>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</si>
  <si>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</si>
  <si>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</si>
  <si>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</si>
  <si>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</si>
  <si>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</si>
  <si>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</si>
  <si>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</si>
  <si>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</si>
  <si>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</si>
  <si>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</si>
  <si>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</si>
  <si>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</si>
  <si>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</si>
  <si>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</si>
  <si>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</si>
  <si>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</si>
  <si>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</si>
  <si>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</si>
  <si>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</si>
  <si>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</si>
  <si>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</si>
  <si>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</si>
  <si>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</si>
  <si>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</si>
  <si>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</si>
  <si>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</si>
  <si>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</si>
  <si>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</si>
  <si>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</si>
  <si>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</si>
  <si>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</si>
  <si>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</si>
  <si>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</si>
  <si>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</si>
  <si>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</si>
  <si>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</si>
  <si>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</si>
  <si>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</si>
  <si>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</si>
  <si>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</si>
  <si>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</si>
  <si>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</si>
  <si>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</si>
  <si>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</si>
  <si>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</si>
  <si>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</si>
  <si>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</si>
  <si>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</si>
  <si>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</si>
  <si>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</si>
  <si>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</si>
  <si>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</si>
  <si>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</si>
  <si>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</si>
  <si>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</si>
  <si>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</si>
  <si>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</si>
  <si>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</si>
  <si>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</si>
  <si>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</si>
  <si>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</si>
  <si>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</si>
  <si>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</si>
  <si>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</si>
  <si>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</si>
  <si>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</si>
  <si>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</si>
  <si>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</si>
  <si>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</si>
  <si>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</si>
  <si>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</si>
  <si>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</si>
  <si>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</si>
  <si>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</si>
  <si>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</si>
  <si>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</si>
  <si>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</si>
  <si>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</si>
  <si>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</si>
  <si>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</si>
  <si>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</si>
  <si>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</si>
  <si>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</si>
  <si>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</si>
  <si>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</si>
  <si>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</si>
  <si>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</si>
  <si>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</si>
  <si>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</si>
  <si>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</si>
  <si>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</si>
  <si>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</si>
  <si>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</si>
  <si>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</si>
  <si>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</si>
  <si>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</si>
  <si>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</si>
  <si>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</si>
  <si>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</si>
  <si>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</si>
  <si>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</si>
  <si>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</si>
  <si>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</si>
  <si>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</si>
  <si>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</si>
  <si>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</si>
  <si>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</si>
  <si>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</si>
  <si>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</si>
  <si>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</si>
  <si>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</si>
  <si>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</si>
  <si>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</si>
  <si>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</si>
  <si>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</si>
  <si>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</si>
  <si>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</si>
  <si>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</si>
  <si>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</si>
  <si>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</si>
  <si>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</si>
  <si>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</si>
  <si>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</si>
  <si>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</si>
  <si>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</si>
  <si>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</si>
  <si>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</si>
  <si>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</si>
  <si>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</si>
  <si>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</si>
  <si>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</si>
  <si>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</si>
  <si>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</si>
  <si>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</si>
  <si>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</si>
  <si>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</si>
  <si>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</si>
  <si>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</si>
  <si>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</si>
  <si>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</si>
  <si>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</si>
  <si>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</si>
  <si>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</si>
  <si>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</si>
  <si>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</si>
  <si>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</si>
  <si>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</si>
  <si>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</si>
  <si>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</si>
  <si>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</si>
  <si>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</si>
  <si>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</si>
  <si>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</si>
  <si>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</si>
  <si>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</si>
  <si>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</si>
  <si>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</si>
  <si>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</si>
  <si>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</si>
  <si>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</si>
  <si>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</si>
  <si>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</si>
  <si>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</si>
  <si>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</si>
  <si>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</si>
  <si>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</si>
  <si>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</si>
  <si>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</si>
  <si>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</si>
  <si>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</si>
  <si>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</si>
  <si>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</si>
  <si>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</si>
  <si>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</si>
  <si>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</si>
  <si>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</si>
  <si>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</si>
  <si>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</si>
  <si>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</si>
  <si>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</si>
  <si>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</si>
  <si>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</si>
  <si>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</si>
  <si>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</si>
  <si>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</si>
  <si>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</si>
  <si>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</si>
  <si>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</si>
  <si>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</si>
  <si>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</si>
  <si>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</si>
  <si>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</si>
  <si>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</si>
  <si>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</si>
  <si>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</si>
  <si>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</si>
  <si>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</si>
  <si>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</si>
  <si>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</si>
  <si>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</si>
  <si>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</si>
  <si>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</si>
  <si>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</si>
  <si>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</si>
  <si>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</si>
  <si>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</si>
  <si>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</si>
  <si>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</si>
  <si>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</si>
  <si>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</si>
  <si>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</si>
  <si>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</si>
  <si>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</si>
  <si>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</si>
  <si>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</si>
  <si>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</si>
  <si>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</si>
  <si>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</si>
  <si>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</si>
  <si>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</si>
  <si>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</si>
  <si>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</si>
  <si>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</si>
  <si>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</si>
  <si>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</si>
  <si>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</si>
  <si>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</si>
  <si>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</si>
  <si>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</si>
  <si>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</si>
  <si>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</si>
  <si>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</si>
  <si>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</si>
  <si>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</si>
  <si>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</si>
  <si>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</si>
  <si>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</si>
  <si>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</si>
  <si>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</si>
  <si>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</si>
  <si>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</si>
  <si>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</si>
  <si>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</si>
  <si>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</si>
  <si>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</si>
  <si>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</si>
  <si>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</si>
  <si>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</si>
  <si>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</si>
  <si>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</si>
  <si>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</si>
  <si>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</si>
  <si>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</si>
  <si>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</si>
  <si>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</si>
  <si>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</si>
  <si>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</si>
  <si>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</si>
  <si>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</si>
  <si>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</si>
  <si>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</si>
  <si>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</si>
  <si>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</si>
  <si>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</si>
  <si>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</si>
  <si>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</si>
  <si>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</si>
  <si>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</si>
  <si>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</si>
  <si>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</si>
  <si>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</si>
  <si>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</si>
  <si>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</si>
  <si>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</si>
  <si>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</si>
  <si>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</si>
  <si>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</si>
  <si>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</si>
  <si>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</si>
  <si>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</si>
  <si>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</si>
  <si>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</si>
  <si>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</si>
  <si>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</si>
  <si>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</si>
  <si>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</si>
  <si>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</si>
  <si>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</si>
  <si>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</si>
  <si>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</si>
  <si>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</si>
  <si>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</si>
  <si>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</si>
  <si>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</si>
  <si>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</si>
  <si>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</si>
  <si>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</si>
  <si>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</si>
  <si>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</si>
  <si>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</si>
  <si>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</si>
  <si>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</si>
  <si>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</si>
  <si>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</si>
  <si>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</si>
  <si>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</si>
  <si>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</si>
  <si>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</si>
  <si>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</si>
  <si>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</si>
  <si>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</si>
  <si>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</si>
  <si>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</si>
  <si>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</si>
  <si>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</si>
  <si>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</si>
  <si>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</si>
  <si>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</si>
  <si>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</si>
  <si>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</si>
  <si>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</si>
  <si>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</si>
  <si>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</si>
  <si>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</si>
  <si>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</si>
  <si>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</si>
  <si>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</si>
  <si>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</si>
  <si>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</si>
  <si>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</si>
  <si>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</si>
  <si>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</si>
  <si>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</si>
  <si>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</si>
  <si>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</si>
  <si>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</si>
  <si>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</si>
  <si>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</si>
  <si>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</si>
  <si>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</si>
  <si>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</si>
  <si>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</si>
  <si>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</si>
  <si>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</si>
  <si>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</si>
  <si>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</si>
  <si>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</si>
  <si>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</si>
  <si>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</si>
  <si>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</si>
  <si>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</si>
  <si>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</si>
  <si>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</si>
  <si>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</si>
  <si>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</si>
  <si>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</si>
  <si>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</si>
  <si>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</si>
  <si>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</si>
  <si>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</si>
  <si>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</si>
  <si>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</si>
  <si>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</si>
  <si>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</si>
  <si>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</si>
  <si>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</si>
  <si>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</si>
  <si>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</si>
  <si>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</si>
  <si>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</si>
  <si>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</si>
  <si>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</si>
  <si>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</si>
  <si>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</si>
  <si>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</si>
  <si>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</si>
  <si>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</si>
  <si>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</si>
  <si>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</si>
  <si>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</si>
  <si>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</si>
  <si>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</si>
  <si>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</si>
  <si>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</si>
  <si>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</si>
  <si>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</si>
  <si>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</si>
  <si>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</si>
  <si>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</si>
  <si>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</si>
  <si>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</si>
  <si>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</si>
  <si>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</si>
  <si>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</si>
  <si>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</si>
  <si>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</si>
  <si>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</si>
  <si>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</si>
  <si>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</si>
  <si>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</si>
  <si>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</si>
  <si>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</si>
  <si>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</si>
  <si>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</si>
  <si>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</si>
  <si>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</si>
  <si>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</si>
  <si>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</si>
  <si>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</si>
  <si>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</si>
  <si>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</si>
  <si>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</si>
  <si>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</si>
  <si>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</si>
  <si>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</si>
  <si>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</si>
  <si>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</si>
  <si>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</si>
  <si>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</si>
  <si>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</si>
  <si>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</si>
  <si>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</si>
  <si>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</si>
  <si>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</si>
  <si>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</si>
  <si>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</si>
  <si>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</si>
  <si>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</si>
  <si>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</si>
  <si>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</si>
  <si>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</si>
  <si>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</si>
  <si>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</si>
  <si>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</si>
  <si>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</si>
  <si>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</si>
  <si>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</si>
  <si>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</si>
  <si>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</si>
  <si>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</si>
  <si>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</si>
  <si>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</si>
  <si>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</si>
  <si>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</si>
  <si>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</si>
  <si>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</si>
  <si>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</si>
  <si>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</si>
  <si>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</si>
  <si>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</si>
  <si>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</si>
  <si>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</si>
  <si>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</si>
  <si>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</si>
  <si>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</si>
  <si>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</si>
  <si>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</si>
  <si>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</si>
  <si>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</si>
  <si>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</si>
  <si>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</si>
  <si>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</si>
  <si>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</si>
  <si>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</si>
  <si>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</si>
  <si>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</si>
  <si>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</si>
  <si>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</si>
  <si>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</si>
  <si>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</si>
  <si>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</si>
  <si>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</si>
  <si>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</si>
  <si>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</si>
  <si>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</si>
  <si>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</si>
  <si>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</si>
  <si>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</si>
  <si>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</si>
  <si>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</si>
  <si>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</si>
  <si>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</si>
  <si>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</si>
  <si>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</si>
  <si>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</si>
  <si>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</si>
  <si>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</si>
  <si>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</si>
  <si>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</si>
  <si>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</si>
  <si>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</si>
  <si>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</si>
  <si>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</si>
  <si>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</si>
  <si>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</si>
  <si>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</si>
  <si>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</si>
  <si>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</si>
  <si>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</si>
  <si>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</si>
  <si>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</si>
  <si>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</si>
  <si>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</si>
  <si>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</si>
  <si>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</si>
  <si>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</si>
  <si>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</si>
  <si>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</si>
  <si>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</si>
  <si>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</si>
  <si>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</si>
  <si>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</si>
  <si>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</si>
  <si>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</si>
  <si>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</si>
  <si>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</si>
  <si>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</si>
  <si>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</si>
  <si>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</si>
  <si>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</si>
  <si>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</si>
  <si>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</si>
  <si>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</si>
  <si>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</si>
  <si>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</si>
  <si>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</si>
  <si>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</si>
  <si>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</si>
  <si>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</si>
  <si>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</si>
  <si>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</si>
  <si>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</si>
  <si>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</si>
  <si>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</si>
  <si>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</si>
  <si>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</si>
  <si>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</si>
  <si>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</si>
  <si>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</si>
  <si>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</si>
  <si>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</si>
  <si>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</si>
  <si>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</si>
  <si>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</si>
  <si>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</si>
  <si>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</si>
  <si>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</si>
  <si>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</si>
  <si>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</si>
  <si>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</si>
  <si>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</si>
  <si>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</si>
  <si>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</si>
  <si>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</si>
  <si>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</si>
  <si>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</si>
  <si>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</si>
  <si>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</si>
  <si>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</si>
  <si>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</si>
  <si>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</si>
  <si>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</si>
  <si>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</si>
  <si>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</si>
  <si>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</si>
  <si>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</si>
  <si>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</si>
  <si>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</si>
  <si>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</si>
  <si>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</si>
  <si>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</si>
  <si>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</si>
  <si>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</si>
  <si>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</si>
  <si>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</si>
  <si>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</si>
  <si>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</si>
  <si>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</si>
  <si>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</si>
  <si>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</si>
  <si>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</si>
  <si>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</si>
  <si>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</si>
  <si>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</si>
  <si>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</si>
  <si>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</si>
  <si>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</si>
  <si>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</si>
  <si>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</si>
  <si>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</si>
  <si>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</si>
  <si>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</si>
  <si>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</si>
  <si>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</si>
  <si>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</si>
  <si>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</si>
  <si>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</si>
  <si>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</si>
  <si>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</si>
  <si>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</si>
  <si>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</si>
  <si>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</si>
  <si>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</si>
  <si>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</si>
  <si>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</si>
  <si>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</si>
  <si>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</si>
  <si>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</si>
  <si>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</si>
  <si>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</si>
  <si>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</si>
  <si>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</si>
  <si>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</si>
  <si>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</si>
  <si>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</si>
  <si>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</si>
  <si>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</si>
  <si>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</si>
  <si>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</si>
  <si>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</si>
  <si>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</si>
  <si>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</si>
  <si>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</si>
  <si>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</si>
  <si>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</si>
  <si>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</si>
  <si>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</si>
  <si>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</si>
  <si>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</si>
  <si>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</si>
  <si>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</si>
  <si>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</si>
  <si>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</si>
  <si>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</si>
  <si>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</si>
  <si>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</si>
  <si>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</si>
  <si>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</si>
  <si>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</si>
  <si>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</si>
  <si>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</si>
  <si>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</si>
  <si>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</si>
  <si>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</si>
  <si>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</si>
  <si>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</si>
  <si>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</si>
  <si>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</si>
  <si>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</si>
  <si>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</si>
  <si>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</si>
  <si>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</si>
  <si>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</si>
  <si>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</si>
  <si>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</si>
  <si>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</si>
  <si>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</si>
  <si>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</si>
  <si>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</si>
  <si>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</si>
  <si>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</si>
  <si>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</si>
  <si>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</si>
  <si>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</si>
  <si>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</si>
  <si>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</si>
  <si>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</si>
  <si>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</si>
  <si>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</si>
  <si>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</si>
  <si>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</si>
  <si>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</si>
  <si>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</si>
  <si>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</si>
  <si>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</si>
  <si>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</si>
  <si>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</si>
  <si>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</si>
  <si>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</si>
  <si>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</si>
  <si>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</si>
  <si>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</si>
  <si>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</si>
  <si>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</si>
  <si>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</si>
  <si>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</si>
  <si>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</si>
  <si>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</si>
  <si>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</si>
  <si>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</si>
  <si>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</si>
  <si>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</si>
  <si>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</si>
  <si>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</si>
  <si>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</si>
  <si>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</si>
  <si>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</si>
  <si>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</si>
  <si>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</si>
  <si>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</si>
  <si>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</si>
  <si>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</si>
  <si>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</si>
  <si>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</si>
  <si>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</si>
  <si>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</si>
  <si>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</si>
  <si>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</si>
  <si>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</si>
  <si>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</si>
  <si>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</si>
  <si>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</si>
  <si>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</si>
  <si>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</si>
  <si>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</si>
  <si>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</si>
  <si>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</si>
  <si>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</si>
  <si>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</si>
  <si>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</si>
  <si>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</si>
  <si>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</si>
  <si>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</si>
  <si>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</si>
  <si>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</si>
  <si>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</si>
  <si>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</si>
  <si>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</si>
  <si>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</si>
  <si>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</si>
  <si>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</si>
  <si>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</si>
  <si>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</si>
  <si>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</si>
  <si>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</si>
  <si>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</si>
  <si>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IN PROGRESS</t>
  </si>
  <si>
    <t>Shared Java and frontend-local group-count policy coverage; tournament service coverage partial</t>
  </si>
  <si>
    <t>Inspect the explicit draft Event Editor definition without saving, then compare it with the persisted oracle</t>
  </si>
  <si>
    <t>PARTIAL PASS</t>
  </si>
  <si>
    <t>Runtime branch repaired and replayed: Qualifiers now shows Groups: 2 × 1–2 members with A–B; Final shows Groups: 1 × 1–2 members with only A. Post-view oracle retained the exact 3/8 identities and zero runtime group, leaderboard, task and outbox writes. The checkpoint incorrectly assumed Manage Event was reachable from the published card; because published details are locked, the final editor branch now uses a separate explicit draft fixture and never asks for an Unpublish mutation.</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</si>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</sst>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53 (40%)</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61</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6" t="s">
        <v>904</v>
      </c>
      <c r="B99" s="136" t="s">
        <v>447</v>
      </c>
      <c r="C99" s="136" t="s">
        <v>905</v>
      </c>
      <c r="D99" s="136" t="s">
        <v>906</v>
      </c>
      <c r="E99" s="136" t="s">
        <v>907</v>
      </c>
      <c r="F99" s="136" t="s">
        <v>908</v>
      </c>
      <c r="G99" s="136" t="s">
        <v>777</v>
      </c>
      <c r="H99" s="136" t="s">
        <v>909</v>
      </c>
      <c r="I99" s="136" t="s">
        <v>910</v>
      </c>
      <c r="J99" s="136" t="s">
        <v>911</v>
      </c>
      <c r="K99" s="136" t="s">
        <v>900</v>
      </c>
      <c r="L99" s="136" t="s">
        <v>912</v>
      </c>
      <c r="M99" s="136" t="s">
        <v>913</v>
      </c>
      <c r="N99" s="136" t="s">
        <v>914</v>
      </c>
      <c r="O99" s="136" t="s">
        <v>915</v>
      </c>
      <c r="P99" s="136"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Pending</v>
      </c>
      <c r="R99" s="146" t="str">
        <f>IF(OR(LEFT(A99,9)="OPERATOR-",LEFT(A99,8)="PAYMENT-",LEFT(A99,7)="DEPLOY-"),"External","Core")</f>
        <v>Core</v>
      </c>
    </row>
    <row r="100" customFormat="false" ht="15" hidden="false" customHeight="false" outlineLevel="0" collapsed="false">
      <c r="A100" s="138" t="s">
        <v>916</v>
      </c>
      <c r="B100" s="138" t="s">
        <v>447</v>
      </c>
      <c r="C100" s="138" t="s">
        <v>905</v>
      </c>
      <c r="D100" s="138" t="s">
        <v>917</v>
      </c>
      <c r="E100" s="138" t="s">
        <v>506</v>
      </c>
      <c r="F100" s="138" t="s">
        <v>918</v>
      </c>
      <c r="G100" s="138" t="s">
        <v>919</v>
      </c>
      <c r="H100" s="138" t="s">
        <v>920</v>
      </c>
      <c r="I100" s="138" t="s">
        <v>921</v>
      </c>
      <c r="J100" s="138" t="s">
        <v>58</v>
      </c>
      <c r="K100" s="138" t="s">
        <v>1</v>
      </c>
      <c r="L100" s="138" t="s">
        <v>922</v>
      </c>
      <c r="M100" s="138" t="s">
        <v>923</v>
      </c>
      <c r="N100" s="138" t="s">
        <v>1</v>
      </c>
      <c r="O100" s="138" t="s">
        <v>924</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