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<sst xmlns="http://schemas.openxmlformats.org/spreadsheetml/2006/main" count="2700" uniqueCount="1299">
  <si>
    <t>EFFECT / SCOPE MARKERS</t>
  </si>
  <si>
    <t/>
  </si>
  <si>
    <t>Done</t>
  </si>
  <si>
    <t>117 (98%)</t>
  </si>
  <si>
    <t>X</t>
  </si>
  <si>
    <t>No expected effect — An unchanged X cell is PASS</t>
  </si>
  <si>
    <t>Pending</t>
  </si>
  <si>
    <t>0</t>
  </si>
  <si>
    <t>DELTA</t>
  </si>
  <si>
    <t>Required direct effect — Record before/after count and direction</t>
  </si>
  <si>
    <t>Not started</t>
  </si>
  <si>
    <t>2</t>
  </si>
  <si>
    <t>INDIRECT</t>
  </si>
  <si>
    <t>Conditional effect — State the condition and prove it occurred</t>
  </si>
  <si>
    <t>Failed</t>
  </si>
  <si>
    <t>GAP</t>
  </si>
  <si>
    <t>Known observability gap — Record FAIL/GAP separately from domain PASS</t>
  </si>
  <si>
    <t>Total</t>
  </si>
  <si>
    <t>119</t>
  </si>
  <si>
    <t>DOMAIN PRIORITY</t>
  </si>
  <si>
    <t>QA domain</t>
  </si>
  <si>
    <t>Priority</t>
  </si>
  <si>
    <t>Progress / remaining min/max</t>
  </si>
  <si>
    <t>API test</t>
  </si>
  <si>
    <t>15</t>
  </si>
  <si>
    <t>4 passed / 5 total (80%) · 120/290</t>
  </si>
  <si>
    <t>Asset</t>
  </si>
  <si>
    <t>9</t>
  </si>
  <si>
    <t>7 passed / 7 total (100%) · 0/0</t>
  </si>
  <si>
    <t>QA infrastructure</t>
  </si>
  <si>
    <t>14</t>
  </si>
  <si>
    <t>2 passed / 2 total (100%) · 0/0</t>
  </si>
  <si>
    <t>Group</t>
  </si>
  <si>
    <t>8</t>
  </si>
  <si>
    <t>Identity &amp; access</t>
  </si>
  <si>
    <t>13</t>
  </si>
  <si>
    <t>8 passed / 9 total (89%) · 120/240</t>
  </si>
  <si>
    <t>Content</t>
  </si>
  <si>
    <t>7</t>
  </si>
  <si>
    <t>3 passed / 3 total (100%) · 0/0</t>
  </si>
  <si>
    <t>Event</t>
  </si>
  <si>
    <t>12</t>
  </si>
  <si>
    <t>55 passed / 55 total (100%) · 0/0</t>
  </si>
  <si>
    <t>Notifications</t>
  </si>
  <si>
    <t>6</t>
  </si>
  <si>
    <t>6 passed / 6 total (100%) · 0/0</t>
  </si>
  <si>
    <t>Tournament</t>
  </si>
  <si>
    <t>11</t>
  </si>
  <si>
    <t>15 passed / 15 total (100%) · 0/0</t>
  </si>
  <si>
    <t>Administration</t>
  </si>
  <si>
    <t>5</t>
  </si>
  <si>
    <t>4 passed / 4 total (100%) · 0/0</t>
  </si>
  <si>
    <t>Chat</t>
  </si>
  <si>
    <t>10</t>
  </si>
  <si>
    <t>Operator</t>
  </si>
  <si>
    <t>3</t>
  </si>
  <si>
    <t>5 passed / 5 total (100%) · 0/0</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</si>
  <si>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</si>
  <si>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</si>
  <si>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</si>
  <si>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</si>
  <si>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</si>
  <si>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</si>
  <si>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</si>
  <si>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</si>
  <si>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</si>
  <si>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</si>
  <si>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</si>
  <si>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</si>
  <si>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</si>
  <si>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</si>
  <si>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</si>
  <si>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</si>
  <si>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</si>
  <si>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</si>
  <si>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</si>
  <si>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</si>
  <si>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</si>
  <si>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INTEGRATION-API-001</t>
  </si>
  <si>
    <t>Release integration</t>
  </si>
  <si>
    <t>Integration API</t>
  </si>
  <si>
    <t>Generate a fresh Profile API key; connect the Java client through nginx; register watch; POST one image-bearing Asset and Event; verify owner/public UI; Join and approve from the second user; verify callback; unwatch and revoke</t>
  </si>
  <si>
    <t>DELTA durable webhook subscription/delivery and terminal callback</t>
  </si>
  <si>
    <t>Caller and MyScoutee UUIDs map exactly; Casey owns and sees both resources with images; Nova sees the public Event image; approved Join emits the minimal participant callback; revoked key returns 401</t>
  </si>
  <si>
    <t>BASE + EXTENSION PASS / CLOSED</t>
  </si>
  <si>
    <t>PASS</t>
  </si>
  <si>
    <t>2026-09-22</t>
  </si>
  <si>
    <t>Java client tests cover request validation, missing/invalid/revoked tokens and required/UUID format errors; webhook and media regression sources added; live assembled-stack flow through nginx passed; extension browser claim/runtime, event read/encounters, delivered callback parity, ownership rejection and cleanup PASS; six focused real-HTTP webhook service tests PASS (mocked repositories).</t>
  </si>
  <si>
    <t>Closed. Release work is separate; new Event activity-rating QA is queued only.</t>
  </si>
  <si>
    <t>Fresh key generated from UI without a token fixture. Asset id 1f2f24d2-d14c-43ce-a27f-67270ae93d4a -&gt; externalId 1dd7cf24-aca0-4f54-8ab3-6af7872e19a3; Event id a3b891c2-1a45-4fe8-b8c2-c217c22466b4 -&gt; externalId a06e0ab2-8703-4480-bbc0-5379fde23d1e. Casey owner views and Nova public image PASS. Nova Join plus Casey approval produced accepted participant callback with name/age/gender/profileImage only and final 2/0 counts. Watch disabled, QA key revoked, subsequent connect HTTP 401. Evidence: guides/qa/evidence/INTEGRATION-API-001-2026-09-20.json. New extension: guides/qa/checklists/api/INTEGRATION-API-001.md. Earlier PASS covers the original scope only. 2026-09-22 extension: external event read/sourceLink, claim replay, completed encounters and event.encounters webhook page/revision parity, incomplete-session 409 and foreign-owner 404 passed. Final cleanup complete: watch disabled, key revoked/401, disposable events trashed and receiver stopped. See guides/qa/evidence/INTEGRATION-API-001-2026-09-22.json. User-requested total attempts reduced to three; stalled response body reproduced and fixed with a cancellable 10-second full HTTP response deadline. API HTML/PDF regenerated. Follow-up: late claim ends invitation eligibility at event end/completed Speed meeting; 8 service tests PASS, HTML/PDF updated. Fresh-registration/late-claim browser flow not proven; see INTEGRATION-API-001-late-claim-2026-09-22.json.</t>
  </si>
  <si>
    <t>P0 100</t>
  </si>
  <si>
    <t>AFFILIATE-INVITATION-001</t>
  </si>
  <si>
    <t>Affiliate invitations</t>
  </si>
  <si>
    <t>New personal-link registration; API import of two participants; claim one; repeat/reload; revoke without counter deletion</t>
  </si>
  <si>
    <t>Personal badge 0→1; API badge 0/0→0/2→1/2; replay/reload/revoke preserve counts</t>
  </si>
  <si>
    <t>AUTOMATED CDP PASS / CLOSED</t>
  </si>
  <si>
    <t>NOT RUN</t>
  </si>
  <si>
    <t>Actual UI onboarding and key generation/revocation; real API imports; browser claim; persisted attribution/mapping and badges asserted.</t>
  </si>
  <si>
    <t>None in this dev-demo scope. External Firebase IdP redirect is not covered.</t>
  </si>
  <si>
    <t>Independent new case; historical PASS rows unchanged. guides/qa/checklists/api/AFFILIATE-INVITATION-001.md; guides/qa/evidence/AFFILIATE-INVITATION-001-2026-09-22.json. Cleanup completed.</t>
  </si>
  <si>
    <t>ADMIN-CLIENT-API-001</t>
  </si>
  <si>
    <t>Delegated full-flow journey</t>
  </si>
  <si>
    <t>Private admin API and Linux monitor</t>
  </si>
  <si>
    <t>Create scoped admin API key and connect v1.0.2 Linux client; verify aggregate metrics, configurable polling, notification-center delivery, background reopen, disconnect, revocation and package startup.</t>
  </si>
  <si>
    <t>DELTA aggregate profile/registration/attention snapshots, bounded polling and deduplicated desktop notifications</t>
  </si>
  <si>
    <t>DELTA admin-only API popup without affiliate controls; client URL/key/connect/disconnect and Ubuntu notification behavior</t>
  </si>
  <si>
    <t>2026-09-23</t>
  </si>
  <si>
    <t>Existing Java/Angular watcher builds PASS; 14 Python client tests PASS; versioned runtime API, owner guards, cadence, transport-fault and support-notification oracles PASS.</t>
  </si>
  <si>
    <t>Closed in dev scope and reset. OS notification-center visual icon, desktop login/reboot and separate REAL/DEMO databases NOT RUN.</t>
  </si>
  <si>
    <t>guides/qa/checklists/api/ADMIN-CLIENT-API-001.md; guides/implementation/20260922-admin-client-api.md. Private v1.0.2 release publication is separate. Startup is disconnected after process restart because the key is RAM-only. Planning only: priority I/L/A/N/O=5/4/3/4/4; effort actions/extra actors/oracles/boundaries/restore/external=25/1/3/5/1/1, per QA models. Estimates are manual wall-clock planning, not required scheduler waits. Runtime evidence: guides/qa/evidence/ADMIN-CLIENT-API-001-20260923-progress.md. Full API/UI key lifecycle, 5/20-second cadence, real feedback/support alerts, background reopen, timeout/recovery/disconnect, revocation and RAM-only key restart PASS. D-Bus Notify observed; existing DND preserved. Installer app-menu side correction accepted by user; fresh fixture reset. Explicit platform boundaries remain NOT RUN.</t>
  </si>
  <si>
    <t>P0 80</t>
  </si>
  <si>
    <t>AFFILIATE-REVENUE-001</t>
  </si>
  <si>
    <t>Affiliate turnover, FX summaries and refunds</t>
  </si>
  <si>
    <t>Refer a disposable user, capture EUR/HUF purchases and event checkouts, complete refunds, replay callbacks and recover interrupted counter writes; inspect normal-user Revenue popup and compact mobile controls.</t>
  </si>
  <si>
    <t>DELTA write-side partner totals and versioned contribution ledger; idempotent capture/refund recovery</t>
  </si>
  <si>
    <t>DELTA selected-currency summary from payment-day snapshots, persistent shared picker, purchase/event counts; original payment currencies retained</t>
  </si>
  <si>
    <t>2026-09-24</t>
  </si>
  <si>
    <t>Existing backend/frontend watcher builds PASS. Focused local lifecycle, seed, ledger, history and client-checkout regressions PASS as recorded. Compiled production authorization/capture accounting + real Mongo probe PASS. Actual UI/provider/Mongo and IndexedDB financial flows PASS; latest standalone Java/Go suites and installed production artifact NOT RUN.</t>
  </si>
  <si>
    <t>Closed in recorded dev HTTP/simulator and frontend-local scope. Calendar explicitly deferred by user; do not execute. Retain financial fixture evidence.</t>
  </si>
  <si>
    <t>guides/qa/checklists/api/AFFILIATE-REVENUE-001.md; guides/implementation/20260922-gallery-feed-moderation-email.md. No configured commission; daily persisted FX snapshots and shared summary currency added; key revocation preserves attribution/revenue. Earlier invitation PASS unchanged. Planning only: priority I/L/A/N/O=5/4/3/5/5; effort actions/extra actors/oracles/boundaries/restore/external=25/1/4/4/1/1, per QA models. Estimates are manual wall-clock planning, not required scheduler waits. 2026-09-23 extension: independent payment-grace ON/OFF and hours in Pricing, both approval modes, unpaid expiry/fresh Join and paid control; see guides/qa/evidence/AFFILIATE-REVENUE-001-20260923-progress.md. UI persistence, real scheduled unpaid expiry in both modes, fresh manual approval/auto Join, OFF offset control and correct pending/payment card labels verified; zero grace-case payments, paid EUR control unchanged. See 21:49 evidence. Full checkpoint remains IN PROGRESS. 22:18 continuation: partner purchases3/bookings3; EUR110/25/85 and HUF5000. Profile save/key revoke unchanged; mobile EN/HU payment header and revenue overflow verified. See dated evidence for callback defect and pending asset retest. 22:30: asset purchase-only count and supported EUR2 full refund PASS. Totals purchases5/bookings4; EUR132/27/105; HUF5000. Public DTO/cross-user summary privacy PASS. Four injected-fault tests NOT RUN/BLOCKED, validators unchanged. See latest evidence and handoff. 2026-09-24: local FX job and mixed-currency picker verified; corrected concurrent capture PASS, purchases10/bookings9, nativeEUR167/27/140 plusHUF5000, selectedCZK4487.50/675/3812.50 after reload. Fixture String/ObjectId attribution defect repaired without changing paid outcomes. See 00:24 evidence. 2026-09-24 01:02: concurrent full refunds PASS, totals10/9 EUR167/41/126 + HUF5000; FX dev/production Explore unified onto packaged payment-simulator. Source save/reload + failure/cache preservation/recovery PASS; migration preservation/idempotence PASS. Frontend-local fixed rates compiled, browser NOT RUN. Production artifact qualification NOT RUN. See dated evidence. 01:16: callback replay and compiled real-Mongo stale-version/four isolated recovery probes PASS. Valid configured admin credential located; full-flow collMod intent case PASS, paymentv3 retained/pending cleared, totals11/10 EUR169/41/128+HUF5000. Ledger/commit/ack in progress; no Calendar test performed. 01:22: ledger/commit/ack full-flow recovery PASS, no active fault; see dated evidence. User confirms25% policy retains75%, but organizer event cancellation must return full amount; separate branch not yet passed. 01:37: final CZK totals14/13 4837.50/1025/3812.50 visually verified; four callback replays200 with unchanged sums, revision86/paymentv6 pendingfalse. HU confirmation verified without payment; second buyer event...006 unpaid draft retained. Local mapper focused execution PASS; browser-local not run. See evidence for cancellation scope question and unsupported hold-only capability.; 2026-09-24 01:56 default FX: identical dev/e2e/prod seeds, production install/upgrade allow-list, immutable insert-only importer, parity and compiled Java+Mongo default/daily/outage/refund/CZK summary PASS. No production artifact installation claim.; 2026-09-24 02:04 partial-to-full foundation PASS with compiled PaymentService/Mongo and provider double: separate25/75 refund records, cumulative primary100, first audit immutable; normal/lost-response/concurrent-late-receipt/legacy/cash and replay. Organizer/participant cancellation full-flow still pending. | 2026-09-24 02:44: actual provider/UI Cancel100 with prior25 =&gt; new75 and unchanged old audit; admin Remove HUF5000 =&gt; full5000; programme edit =&gt; notified two payers, no automatic refund, modifier excluded; individual Cancel =&gt; own7 only. See evidence/AFFILIATE-REVENUE-001-20260923-progress.md. Whole checkpoint remains IN PROGRESS. 03:12 revised participant request/approval browser+provider3 PASS, pending1-&gt;0 and replay200; local partial25/pending75 approval unit PASS4/4. Organizer UI republication clears cancelled+old membership while preserving25/75 audit. Found old paid basket Continue issue; repair/retest active. Missing dated FX summary uses default, probe PASS; header explanation removed. See dated evidence. 03:23: header desktop/360px no scrollbar or movement with hover/press feedback PASS; republish old basket retirement/fresh Join/new unpaid reservation and repeated Publish preservation PASS. See dated evidence. 03:34 partial25 -&gt; pending75 -&gt; organizer approval actual UI/provider PASS, first25 audit immutable, replay no duplicate. Final Cancel12/Delete13 provider oracle all four payments exactly one7 refund PASS. See dated evidence. 03:41: member-list replacement linked asset20 full refund PASS; two-payment organizer batch with real provider404/repeated retries/recovery PASS, each10 refunded once, fault restored. No process-kill claim. See dated evidence. 04:03: local finance7/7 and clean local-browser HUF/EUR conversion, both badges, affiliate monetary zero/currency sharing and reload PASS. Missing20 guide SVG assets repaired, actual profile guide four images loaded. Dev restored through existing watcher. Final owner UI/Mongo16/15 CZK7587.50/7312.50/275, revision136, no pending/fault. See dated evidence. 04:24 correction: Local remains IN PROGRESS; previous PASS covered currency/guide assets and repository cases only, not the requested full local financial UI flow. Review Booking CPU freeze reproduced with explanations off; diagnosis active. 05:06: Review Booking freeze fixed (stable gallery model, idle58ms/5s); actual local capture100 and pending25 PASS, approval FAIL on stale service-worker version retained. CacheStorage cleared only, fresh unpaid replay prepared. Fixed missing active-checkout ledger and policy-refund path, focused8/8 PASS; saved membership seed overwrite repaired, focused3/3 PASS. Full local still IN PROGRESS. 2026-09-24 05:50 local: actual25+75 separate refunds PASS, history DOM preserved/no loader, HUF5000 capture PASS. Main Event visible; viewer entitlement fixed. Local canonical deadline/purge focused4 PASS; runtime scheduled expiry next. Review Booking uses existing service context without duplicate basket request; actual1551.4ms with1500ms delay. Java invitation-context contract unchanged. See dated evidence. 06:00: local Cancel10/Delete7 full refunds and HUF5000 admin removal PASS; manual12 approval waits for payment, no repeated Approve. Calendar explicitly deferred. Scheduler configuration bootstrap gap repaired; runtime expiry next. 2026-09-24 06:30 closure: actual local scheduled manual/auto expiry, fresh reapproval, OFF/paid controls, changed-terms pending/admin-approved untouched100 and25+75, Cancel/Delete/reactivation/admin HUF removal PASS. Final local asset20 adds purchase only:7/6,EUR337/317/20,HUF5000/5000/0; actual Revenue349.50/329.50/20EUR. Final dev refund/history/callback PASS,16/15,EUR291/282/9,HUF5000/5000/0,revision138,no pending/faults. Authorization-only zero verified at compiled service+Mongo boundary; no provider hold-only UI or installed production qualification claimed. Calendar deferred. See dated evidence for retained failed-version artifacts and exact boundaries.</t>
  </si>
  <si>
    <t>P0 86</t>
  </si>
  <si>
    <t>INTEGRATION-API-GROUP-001</t>
  </si>
  <si>
    <t>Group regression journey</t>
  </si>
  <si>
    <t>Group participant invitation links</t>
  </si>
  <si>
    <t>Shared Event invitation API flow: ordered stable URLs, new registration and existing-account claim, accepted group membership, active workspace, replay/conflict/failure handling and unchanged Event acceptance/payment.</t>
  </si>
  <si>
    <t>INDIRECT only existing producers; compare before/after</t>
  </si>
  <si>
    <t>DELTA authorized writes and denied cross-scope requests; no secrets</t>
  </si>
  <si>
    <t>INDIRECT workspace-owned rating/following mutations only</t>
  </si>
  <si>
    <t>INDIRECT configured moderation worker only; no invented scheduling rule</t>
  </si>
  <si>
    <t>DELTA one external-ID binding, accepted community membership and workspace profile; target group active after registration; foreign/replayed identity does not gain access.</t>
  </si>
  <si>
    <t>IN PROGRESS / AUTOMATIC DELEGATION</t>
  </si>
  <si>
    <t>N/A - server-owned API</t>
  </si>
  <si>
    <t>2026-09-28</t>
  </si>
  <si>
    <t>15 focused backend tests PASS (2026-09-24): filter defaults/preservation and shared invitation claim plus community admission/replay. Does not prove this full UI/HTTP journey.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t>
  </si>
  <si>
    <t>1/7 complete. Block1 PASS;2.1 fresh registration and2.2 persisted base/workspace and reload/login PASS. Current2.3 replay/filter preservation. User explicitly delegated automatic full-flow testing.</t>
  </si>
  <si>
    <t>guides/qa/checklists/api/INTEGRATION-API-GROUP-001.md; Added 2026-09-24. No campaign fixture or browser actions executed. Priority I/L/A/N/O=5/4/4/4/4; effort actions/extra actors/oracles/boundaries/restore/external=26/2/4/3/1/1.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 NOT RUN blocks 2-3: fresh registration versus existing pre-registered demo recipient; real entry UI, cancelled/retried Setup retains invitation, first active-group load and reload/login. No session injection to skip entry gates. | User clarification 2026-09-27: testcases are independent closed execution units. Transferred checks are CLOSED BY SCOPE TRANSFER in the source, not pending dependencies. DEPLOY-EXTERNAL-CONFIG-001 requires its own fixture, restaging, entry checkpoints, execution and cleanup; prior/cross-case evidence cannot substitute. Transfer provenance stays in the ledger, not executable cross-case references. Audit the remaining NOT RUN cases only at the current testcase boundary, before advancing to another testcase. | User clarification2026-09-27: URL-first MCP connection is API-domain development, NOT IMPLEMENTED. Added to section7: implement first, then execute the independent API checkpoint. Existing manual client registration/consent is partial implementation; ordinary user flow must not require client-secret copying. Tall revoke-card layout included. | Local/dev full-flow requirement: implement a versioned real MCP/OAuth test client and callback receiver so URL discovery -&gt; browser sign-in/consent -&gt; token exchange -&gt; private tool call completes against the running application without fabricated grants/responses or a production dependency. | MCP client development target refined: optional browser URL/Connect client in myscoutee-mcp; reuse Inspector/OAuth, real login/callback/private tool result. Full Help Center and API popup question-mark help have separate HU/EN seeds. Feature remains NOT IMPLEMENTED; no runtime UI support claimed. | 2026-09-27 clarification: local MCP OAuth simulation remains in final API NOT RUN block7; no live deployment config prerequisite. Actual browser-based ChatGPT is a separate user-operated manual deployment test. | 2026-09-28 prerequisite development: official Inspector2.8.0 launcher implemented; public DCR/PKCE/dev demo realm and split manual Advanced/OAuth permission UI. Development evidence: 25 focused Java tests and12 real HTTP checks PASS; not a full browser callback/private business-read proof or full API QA PASS. Own block7 fixture/browser staged. Actual ChatGPT conversation moved to standalone post-deployment smoke outside QA. | 2026-09-28 ordered campaign requested: Advanced credentials/OAuth microsteps added to block7. Development Java27/27; generated credentials actual UI/OAuth/MCP/revoke11/11. Development fixture reset exactly. New integration-api-group baseline ready with four actors/two groups; managed startup complete, no ordered checklist actions yet. Evidence guides/qa/evidence/INTEGRATION-API-GROUP-001-20260928.md.</t>
  </si>
  <si>
    <t>P0 85</t>
  </si>
  <si>
    <t>120/290</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</si>
  <si>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</si>
  <si>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</si>
  <si>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</si>
  <si>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</si>
  <si>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</si>
  <si>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</si>
  <si>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</si>
  <si>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</si>
  <si>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</si>
  <si>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</si>
  <si>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</si>
  <si>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</si>
  <si>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</si>
  <si>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</si>
  <si>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</si>
  <si>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</si>
  <si>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</si>
  <si>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</si>
  <si>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</si>
  <si>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</si>
  <si>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</si>
  <si>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</si>
  <si>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</si>
  <si>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</si>
  <si>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</si>
  <si>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</si>
  <si>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</si>
  <si>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</si>
  <si>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</si>
  <si>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</si>
  <si>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</si>
  <si>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</si>
  <si>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</si>
  <si>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</si>
  <si>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</si>
  <si>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One Save created demo-profile-7e3c471d-d5fb-4175-ba07-885db86856fe: public/A, form v2, 3 images, 1 experience profile, 0 provider identities and one unique stable development-email owner.•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</si>
  <si>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</si>
  <si>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</si>
  <si>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</si>
  <si>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</si>
  <si>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</si>
  <si>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</si>
  <si>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</si>
  <si>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</si>
  <si>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Anonymous acceptance retained only qa-analytics for the exact revision, wrote one entry audit and created no session or server consent before registration.• One Save created demo-profile-5b569629-0a7b-46c8-b7e3-044f8f8f80dd with 3 images and exactly one user-owned consent; total delta +1, ownerless delta 0, qa-marketing absent, and /game did not reopen privacy.•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</si>
  <si>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</si>
  <si>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</si>
  <si>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</si>
  <si>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</si>
  <si>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</si>
  <si>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</si>
  <si>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Baseline: Nova consents 2, total consents 26, ownerless 0, controlled-revision consents 0.• Fresh anonymous /entry browser shows exact v3 with no selected optional IDs, consent, audit or session; Cancel/Accept boundary visible.• One Cancel wrote exactly one rejected v3 audit; browser consent/session stayed absent and all server consent deltas stayed 0.• Login/Member reopened the same v3 gate without mutating the rejection audit, optional selection, session or server cardinality.• Accepting only Previous analytics stored the exact local v3 consent and prepended one accepted audit without removing the rejection; session stayed absent and server deltas stayed 0.• Nova login transferred one entry-source v3 consent (6a7e170d67960971c52a31b6): only qa-previous-analytics, target/total delta +1, ownerless 0, v4 consent absent.• Guarded activation made only v4 active at 19:13:40.771Z; v3 consent remained byte-identical and v4 consent stayed absent before reload.• Reload retained Nova/v3/audit history but forced a non-backdrop-dismissible v4 popup with empty selection; server still had no v4 consent and cardinality stayed +1/+1/0.•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</si>
  <si>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</si>
  <si>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</si>
  <si>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</si>
  <si>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</si>
  <si>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</si>
  <si>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</si>
  <si>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Fresh Nova browser with no local consent bootstrap forced v5 and preselected only qa-current-analytics from v4.• Previously unselected qa-current-marketing and new qa-product-research both started unselected; v5 consent was absent before the user action.• Nova approved exactly qa-current-analytics plus qa-product-research; the popup closed and the demo session remained active.• Initial terminal verification found a fixture-stage defect, not an application write: stage had updated metadata on all English privacy revisions. Stage now deactivates only the active revision; versioned repair-stage restored three inactive snapshots without touching consents.•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</si>
  <si>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</si>
  <si>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</si>
  <si>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</si>
  <si>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</si>
  <si>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</si>
  <si>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</si>
  <si>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</si>
  <si>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</si>
  <si>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</si>
  <si>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</si>
  <si>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A accepted once with no warning; reload retained the same one slot/audit.• B accepted as slot 2; A/B stayed usable and converged to the same warning counter.• C remained blocked at two slots. A generic selector-message defect was fixed and replayed without deleting the first immutable audit; the exact repair-run order was ACCEPTED/ACCEPTED/BLOCKED_LIMIT/BLOCKED_LIMIT/ACCEPTED.• Explicit A logout released only A; accepted C then joined B as the exact final two sessions.• Final oracle: 2 active opaque sessions, 5 explicit-attempt audits, 4 normalized security notification/outbox rows, B/C counters 4, no raw UA/IP/token/session ID in UI.•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</si>
  <si>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</si>
  <si>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</si>
  <si>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Paris as an absent-country control• Paris target after permission reset and Block</t>
  </si>
  <si>
    <t>X for read-only eligibility checks unless dedicated security metrics are later specified</t>
  </si>
  <si>
    <t>• Budapest 47.4979/19.0402 resolves eligible=true and country:hu• London 51.5074/-0.1278 resolves eligible=true and country:gb from the versioned OSM partition• Paris 48.8566/2.3522 resolves eligible=false while country:fr is absent, without implying a ban• Denied permission keeps Allow location without assuming a country or creating a session•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</si>
  <si>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</si>
  <si>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</si>
  <si>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</si>
  <si>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</si>
  <si>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</si>
  <si>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</si>
  <si>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</si>
  <si>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</si>
  <si>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</si>
  <si>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</si>
  <si>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</si>
  <si>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</si>
  <si>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</si>
  <si>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</si>
  <si>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</si>
  <si>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</si>
  <si>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</si>
  <si>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</si>
  <si>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</si>
  <si>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</si>
  <si>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</si>
  <si>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</si>
  <si>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</si>
  <si>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</si>
  <si>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</si>
  <si>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</si>
  <si>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</si>
  <si>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</si>
  <si>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</si>
  <si>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DEPLOY-EXTERNAL-CONFIG-001</t>
  </si>
  <si>
    <t>Deferred deployment QA</t>
  </si>
  <si>
    <t>Firebase and remote MCP external configuration</t>
  </si>
  <si>
    <t>Fresh/existing Firebase entry, pending location persistence/retry/account isolation; verified non-demo invitation denial; configured-provider OAuth via external Inspector client; configured registration/profile fields, authenticated reporting chooser, installed-app version and physical Android/iOS permission retry</t>
  </si>
  <si>
    <t>DELTA normal authenticated session and provider outcomes</t>
  </si>
  <si>
    <t>No demo substitution for real provider authentication; no cross-account grant or pending-coordinate leakage</t>
  </si>
  <si>
    <t>DEFERRED / NOT RUN</t>
  </si>
  <si>
    <t>N/A</t>
  </si>
  <si>
    <t>2026-09-27</t>
  </si>
  <si>
    <t>Supporting shared-path tests only; real provider outcomes NOT RUN</t>
  </si>
  <si>
    <t>Own configured test deployment (VMware suitable for provider/OAuth/help checks) and external Inspector. Real ChatGPT/Claude/Codex installation and conversation acceptance moved outside QA to guides/qualification/MCP-CLIENT-CONNECT-SMOKE.md.</t>
  </si>
  <si>
    <t>User explicitly deferred configuration-dependent checks2026-09-27. Moved from GROUP-LIFECYCLE-00119.2 and INTEGRATION-API-GROUP-0017; retains earlier DEPLOY-FIREBASE-LIFECYCLE-001 invitation-policy assertion. guides/qa/checklists/identity-access/DEPLOY-EXTERNAL-CONFIG-001.md. Current firebase-config404; no external-provider PASS. Time range is a planning estimate after prerequisites are configured; includes configured deployment help update/import. | User clarification 2026-09-27: testcases are independent closed execution units. Transferred checks are CLOSED BY SCOPE TRANSFER in the source, not pending dependencies. DEPLOY-EXTERNAL-CONFIG-001 requires its own fixture, restaging, entry checkpoints, execution and cleanup; prior/cross-case evidence cannot substitute. Transfer provenance stays in the ledger, not executable cross-case references. Audit the remaining NOT RUN cases only at the current testcase boundary, before advancing to another testcase. | User clarification2026-09-27: URL-first ChatGPT/Codex/Claude MCP connection without manual client-secret copying is NOT IMPLEMENTED. Development is required BEFORE deployment QA. Existing manual client registration and consent page do not prove the complete flow; external client initiates Connect. Tall connection cards keep Revoke top right. | Corrected domain2026-09-27: URL-first MCP implementation belongs to API test, not deployment setup. This row retains actual configured external-client interoperability checks only; no cross-case execution dependency or inherited PASS. | Boundary clarified: public HTTPS/external service registration/real ChatGPT-Codex-Claude interoperability belong here when they require configured deployment. Local/dev must still complete the real application protocol with a test client. Each case runs independently; URL-first feature still NOT IMPLEMENTED. | External assistant acceptance requires user Connect/login/approval, followed by actual authorized MCP tool discovery and read invocation in that same host/account. Simulator success alone is insufficient. Record actual ChatGPT/Claude conversation result; a supported dev tunnel may supply reachability. | 2026-09-27 clarification: explicit user-operated manual ChatGPT website acceptance added; not Codex-host substitution. Local simulator needs no production config and remains API scope. | 2026-09-27 closure reconciliation: independent blocks4–6 now contain residual configured registration/profile/filter, remote reporting, installed version and physical permission recovery; own setup/checkpoints/cleanup required. Source14–16 scope transfer CLOSED; destination remains NOT RUN, no inherited PASS. | 2026-09-28 current scope: unexecuted real-host ChatGPT/Claude/Codex smoke moved to guides/qualification/MCP-CLIENT-CONNECT-SMOKE.md outside the QA matrix; no tested result moved. Section2 retains configured-provider OAuth with Inspector. This supersedes earlier real-host acceptance scope notes; QA status stays NOT RUN.</t>
  </si>
  <si>
    <t>P2 60</t>
  </si>
  <si>
    <t>120/240</t>
  </si>
  <si>
    <t>EVENT-FOLLOWING-001</t>
  </si>
  <si>
    <t>Followed organizers</t>
  </si>
  <si>
    <t>Organizer follow, current-event counter, filtered Explore, shared Members, expiry and Watchlist independence</t>
  </si>
  <si>
    <t>Separate stored following count and members; excluded avatar aggregate</t>
  </si>
  <si>
    <t>UNIT PASS</t>
  </si>
  <si>
    <t>44 backend and 9 local eligibility tests PASS; browser follow/unfollow/filter/compact UI plus authenticated API lifecycle, identity and stored expiry oracles.</t>
  </si>
  <si>
    <t>None in dev HTTP scope. Physical mobile and full local browser path not exercised.</t>
  </si>
  <si>
    <t>guides/qa/evidence/EVENT-FOLLOWING-001-20260922-progress.md; managed windows closed and fixture reset.</t>
  </si>
  <si>
    <t>EVENT-FOLLOWING-002</t>
  </si>
  <si>
    <t>Following menus and confirmation</t>
  </si>
  <si>
    <t>Activities external/follow menus, confirmation, signed save deltas, live removal and persisted poll</t>
  </si>
  <si>
    <t>27 frontend and 12 backend focused tests PASS; 8 numbered dev HTTP browser checks PASS including delayed save, failed transport/retry, idempotency and reload/poll.</t>
  </si>
  <si>
    <t>None in delegated dev HTTP scope. Local browser and physical mobile not exercised.</t>
  </si>
  <si>
    <t>guides/qa/evidence/EVENT-FOLLOWING-002-20260922-progress.md; isolated windows closed and fixture reset.</t>
  </si>
  <si>
    <t>EVENT-MODE-REGRESSION-001</t>
  </si>
  <si>
    <t>Regression journey</t>
  </si>
  <si>
    <t>Event formats and Explore</t>
  </si>
  <si>
    <t>Standard/Tournament isolation, Speed meeting rounds and feedback, saved Explore preferences, external links, local restart persistence</t>
  </si>
  <si>
    <t>Observe real writes only</t>
  </si>
  <si>
    <t>Met plus reciprocal positive ratings</t>
  </si>
  <si>
    <t>Existing workers only</t>
  </si>
  <si>
    <t>Editor, Explore, filters, members, rounds, feedback and landing</t>
  </si>
  <si>
    <t>DELEGATED AUTOMATED PASS / CLOSED</t>
  </si>
  <si>
    <t>PASS (adapter/IndexedDB)</t>
  </si>
  <si>
    <t>Numbered steps 1–11 closed: Standard links/membership/feedback; Tournament real worker and saved scores; Speed meeting rounds and six distinct peers; local compiled adapter reload; scoped service friendship checks.</t>
  </si>
  <si>
    <t>Closed. Separate EVENT-ACTIVITY-RATING-001 now prepared for user-controlled manual rating.</t>
  </si>
  <si>
    <t>guides/qa/checklists/event/EVENT-MODE-REGRESSION-001-20260921-progress.md and guides/qa/evidence/EVENT-MODE-REGRESSION-001-2026-09-22.json. All 11 QA events trashed, preferences restored, key revoked/401, watch disabled, receiver stopped, native viewports retained. Local and friendship evidence are adapter/service coverage, not full visible browser journeys. Actual device FCM and separate Admin geometry not claimed.</t>
  </si>
  <si>
    <t>EVENT-ACTIVITY-RATING-001</t>
  </si>
  <si>
    <t>Fixture-backed manual journey</t>
  </si>
  <si>
    <t>Activity rating by event format</t>
  </si>
  <si>
    <t>Two starting states: meeting before first rating; one-sided rating without meeting -&gt; Mutual. Side-menu total-rate badge.</t>
  </si>
  <si>
    <t>Observe actual rating writes; no synthetic result seeded</t>
  </si>
  <si>
    <t>Existing rating sync and projection jobs</t>
  </si>
  <si>
    <t>Observe reciprocal Met friendship; no outcome seeded</t>
  </si>
  <si>
    <t>Existing event-counter-expiry, temporarily shortened for preparation then restored</t>
  </si>
  <si>
    <t>Manual Rates buckets, scores from both perspectives, save/reopen/reload, distinct feedback peer</t>
  </si>
  <si>
    <t>PASS / CLOSED — corrected numbered checklist coverage</t>
  </si>
  <si>
    <t>PASS (fixture and persisted reads)</t>
  </si>
  <si>
    <t>Core transitions and four bucket lists; continuation UI Saves 4/9, reopen/reload both actors, independent friendship/feedback reads and single event/host feedback flow. Prior Standard projection preservation evidence reviewed. Scoped cleanup.</t>
  </si>
  <si>
    <t>Closed. Numbered 1–10 results in progress log; fixture reset and managed windows closed.</t>
  </si>
  <si>
    <t>Updated user expectations; no nonexistent All/Friends Rates list. Both core flows PASS; side-menu total 1; actual 4/9 saved/reloaded. One friendship, zero feedback answers. Host is not duplicated as attendee. Step 9 retains historical 9/4 Standard projection evidence, not a new isolated Tournament replay. Step 10 not-staged after versioned cleanup. Detailed checklist retained; no application change. See dated progress, continuation/outcomes and closure JSON.</t>
  </si>
  <si>
    <t>P0 99</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</si>
  <si>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</si>
  <si>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</si>
  <si>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</si>
  <si>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</si>
  <si>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</si>
  <si>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</si>
  <si>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</si>
  <si>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</si>
  <si>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</si>
  <si>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</si>
  <si>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</si>
  <si>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</si>
  <si>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</si>
  <si>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</si>
  <si>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</si>
  <si>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</si>
  <si>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</si>
  <si>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</si>
  <si>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</si>
  <si>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</si>
  <si>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</si>
  <si>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</si>
  <si>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</si>
  <si>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</si>
  <si>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</si>
  <si>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</si>
  <si>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</si>
  <si>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</si>
  <si>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</si>
  <si>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</si>
  <si>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</si>
  <si>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</si>
  <si>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</si>
  <si>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</si>
  <si>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</si>
  <si>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</si>
  <si>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</si>
  <si>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</si>
  <si>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</si>
  <si>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</si>
  <si>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</si>
  <si>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</si>
  <si>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</si>
  <si>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</si>
  <si>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</si>
  <si>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Guarded advance at 22:42:44+02:00 changed only the active checkpoint pointer and retained original reset snapshots; follow-up status kept one active Ticketing On event, Casey/Nova/Riley accepted 3/8, no pending/invited rows and both exact active tickets.• Lina Park is the deterministic Casey-friend external control and Liam Parker the deterministic non-friend; neither has tracked participation on the event and both activity snapshots are now owned.• Prior three managed browsers were closed before replacement; new Casey/Lina/Liam windows are identity-verified with Austin geolocation. Nova/Riley remain persisted membership/ticket controls and need no active browser for the visibility producer.• Casey Unpublish PASS: the same event is DR/Public/Ticketing On with unchanged Casey/Nova/Riley accepted membership 3/8 and no pending/invited/request rows; the already-open Casey My Events projection shows the single draft without reload.• Nova's and Riley's exact original tickets were retained and changed A-&gt;D; no new ticket appeared, ticket counters are 0/0 and Casey remains ticketless. Lina/Liam still have no participation or ticket artifact.• The Unpublish-owned event recompute completed at 20:55:46Z, attempt 2, empty lastError; the affinity worker returned to pendingCount 0.• Friends only draft Save DOMAIN PASS / NOTIFICATION FAIL: the same event remained DR/Ticketing On and persisted visibility=Friends only; Casey/Nova/Riley remained accepted 3/8 with no pending/invited/request row.• Both exact original tickets stayed D with unchanged IDs/codes/issue times, no replacement appeared, counters stayed 0/0, Casey remained ticketless and Lina/Liam controls remained unchanged. Casey's open card changed to the Friends icon without reload.•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Pre-Save open UI baseline PASS: Nova New shows exactly the retained modified + under-review rows (2); Riley New shows those plus member-approved (3); neither contains the removed false schedule-changed row. Both lists remain open for the visibility-only Save.•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First replay Publish instruction NOT EXECUTED / fixture timing invalid: original endAt reached 01:18; Casey's normal poll changed from the card to empty at 01:18:25, screenshot 01:19:17 confirmed it, no Publish request was sent and the persisted oracle stayed unchanged.•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Explore list PASS: Lina's open Explore list contained QA EVENT-TICKET-007 exactly once and Liam's contained no target card; neither changed filters or opened a card. The immediate oracle retained both controls and all membership/ticket/task state unchanged.• Direct detail initially FAIL: Liam's server request returned the full Friends-only event DTO, proving the detail read omitted the external-viewer visibility authorization even though Explore filtering was correct.•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</si>
  <si>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</si>
  <si>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</si>
  <si>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</si>
  <si>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</si>
  <si>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</si>
  <si>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</si>
  <si>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</si>
  <si>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</si>
  <si>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</si>
  <si>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</si>
  <si>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</si>
  <si>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</si>
  <si>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</si>
  <si>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</si>
  <si>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</si>
  <si>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</si>
  <si>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</si>
  <si>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</si>
  <si>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</si>
  <si>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</si>
  <si>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</si>
  <si>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</si>
  <si>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</si>
  <si>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</si>
  <si>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</si>
  <si>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</si>
  <si>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</si>
  <si>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</si>
  <si>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</si>
  <si>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</si>
  <si>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</si>
  <si>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</si>
  <si>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</si>
  <si>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</si>
  <si>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</si>
  <si>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</si>
  <si>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</si>
  <si>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</si>
  <si>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</si>
  <si>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</si>
  <si>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</si>
  <si>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</si>
  <si>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</si>
  <si>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</si>
  <si>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</si>
  <si>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</si>
  <si>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</si>
  <si>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</si>
  <si>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</si>
  <si>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</si>
  <si>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</si>
  <si>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</si>
  <si>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</si>
  <si>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</si>
  <si>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</si>
  <si>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</si>
  <si>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</si>
  <si>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</si>
  <si>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</si>
  <si>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</si>
  <si>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</si>
  <si>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</si>
  <si>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</si>
  <si>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</si>
  <si>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</si>
  <si>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</si>
  <si>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</si>
  <si>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</si>
  <si>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</si>
  <si>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</si>
  <si>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</si>
  <si>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</si>
  <si>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</si>
  <si>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</si>
  <si>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</si>
  <si>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</si>
  <si>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</si>
  <si>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</si>
  <si>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</si>
  <si>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</si>
  <si>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</si>
  <si>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</si>
  <si>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</si>
  <si>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</si>
  <si>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</si>
  <si>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</si>
  <si>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</si>
  <si>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</si>
  <si>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</si>
  <si>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</si>
  <si>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</si>
  <si>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</si>
  <si>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</si>
  <si>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</si>
  <si>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</si>
  <si>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</si>
  <si>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</si>
  <si>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</si>
  <si>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</si>
  <si>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</si>
  <si>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</si>
  <si>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No ticket/payment/chat/lifecycle/recompute artifact existed; affinity and notification workers were terminal with pending 0.• FAIL before producer: reload showed no Casey My Events badge and /api/auth/me returned hosting/event counters 0; opening the popup alone patched the UI.• Root cause was fixture stage omitting the existing write-side event-counter projection, not SmartList or Trash behavior.• Guarded repair captured two reset snapshots and projected counters without changing event/SmartList. HTTP reload oracle now gives Casey hosting/event.hosting/event.all=1 and Nova events/event.active/event.all=1 with matching counterOverrides.• Focused reload replay PASS: closed-popup main badges were Casey My Events=1 and Nova Events=1; both opened lists contained the same event once.• Fixture occupancy defect repaired: creator/Admin is now included in the shared embedded projection; both already-open lists converged 1/8 -&gt; 2/8 by normal popup poll without reload or SmartList change.• Backend preflight defect fixed: global organizer Trash no longer increments an accepted participant's personal Trash counter; explicit deleted memberships still do. Regression source added; owner hot deploy compiled/restarted successfully.• Exact action baseline captured 2026-08-13T20:16:21.233Z: A/public, Casey+Nova 2/8, Casey Hosting/All=1, Nova Active/All=1, lifecycle task/outbox/notification 0. One completed earlier read/location recompute is retained and excluded from Trash attribution.• NOT EXECUTED before producer: Codex's Java hot restart raced the continuous classes deletion wave, left /activities/events/filter unmapped and both open polls showed empty/zero. No Delete request or persisted delta occurred; this is not attributed to the user.• Correct-scope repair: DevTools restart is gated by a marker touched after successful classes; HTTP list failures remain errors while successful empty pages remain authoritative. SmartList was unchanged.•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Terminal verifier PASS at 2026-08-13T20:46:09.146Z: T/statusBeforeSuppression=A/post-baseline trashedAtIso; unchanged Casey Admin + Nova Member 2/8 audit rows; Casey Hosting/All/Trash=0/0/1; Nova Events/Active/All/Trash=0/0/0/0.•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Casey's organizer Trash UI and later fresh-bundle read both PASS: Trash=1 and exactly one QA EVENT-LIFE-002 card.• Nova's untouched Active foreground poll removed the card, but initially FAIL: inclusive All stayed 1 until switching to All returned no card and corrected the menu to 0. Persisted Active/All were already 0/0.•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Nova Notifications New UI PASS: exact unread QA EVENT-LIFE-002 / The event was deleted. row was visible and not opened. Repeated guarded verifier at 2026-08-13T21:05:00.659Z retained exactly one row with empty readAtIso, one pending dev-mode outbox and no duplicate lifecycle effect.• Fresh-bundle Nova reconstruction PASS: after one reload, Events &gt; All was empty and both the main Events and All red counters were absent, agreeing with persisted Active/All=0/0 without a corrective bucket switch.•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</si>
  <si>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</si>
  <si>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</si>
  <si>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</si>
  <si>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</si>
  <si>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</si>
  <si>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</si>
  <si>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</si>
  <si>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</si>
  <si>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</si>
  <si>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The first direct stage exposed a harness-only Nova Trash1 error. Counter reconstruction now treats organizer Trash as host/admin-only and keeps participant membership Trash separate; corrected baseline and Casey Trash UI both passed.• Saved pre-Restore oracle at 2026-08-14T11:13:29.545Z: exactly one event, two members, zero resources/tickets/lifecycle artifacts, Casey Trash1 and Nova Active/All/Trash0.• In-place PASS: Casey restored exactly once; the Trash card/counter disappeared and Nova saw the event through the normal foreground poll without reload.• Java write oracle PASS: same record/source/title became A/published, statusBeforeSuppression and trashedAtIso cleared; exact Casey Admin + Nova Member 2/8 remained; zero member/resource/basket/payment/ticket/chat/lifecycle notification/outbox duplication.• Counter delta PASS: Casey Hosting/My Events +1 and Trash -1; Nova Events/Active/All +1 and Trash unchanged0.• Fresh-bundle read-only PASS: Casey My Events and Nova Active/All each showed the same single event with no Trash counter. Reads created no second task.•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</si>
  <si>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</si>
  <si>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</si>
  <si>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</si>
  <si>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</si>
  <si>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</si>
  <si>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</si>
  <si>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</si>
  <si>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</si>
  <si>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</si>
  <si>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</si>
  <si>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Original Leave UI passed but Java persisted Nova Trash0; later poll removed the badge. Exact failed state retained and root cause fixed in the canonical write-side counter projector, not SmartList/query code.• Corrected Leave PASS: same Casey canonical stayed A at 1/8; same Nova overlay/member became T/suppressed; Nova persisted Active/All/Trash 0/0/1; one member-left chat message; no organizer lifecycle artifacts.• Repeated filter/realtime polls retained Trash1. Nova fresh reload still showed badge1 and exactly one Trash card.• Final Restore PASS: same identities returned A/accepted with suppression cleared, occupancy2/8, Casey counters1/1/0 and Nova counters1/1/0; one member-joined message and correct per-user chat projections.• Final Casey My Events and Nova Active Events fresh DOM reads each showed exactly one 2/8 card and no Trash. One coalesced EVENT_MEMBERS_CHANGED task finished done at 2026-08-14T12:03:21.935Z with no error.•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</si>
  <si>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</si>
  <si>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</si>
  <si>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</si>
  <si>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</si>
  <si>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</si>
  <si>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</si>
  <si>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Nova participant branch: Active Events exactly one QA EVENT-LIFE-003 at 2/8; Invitations and Trash empty before/after reload; final DOM Active1 with no Trash.•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</si>
  <si>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</si>
  <si>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</si>
  <si>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</si>
  <si>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</si>
  <si>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</si>
  <si>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</si>
  <si>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</si>
  <si>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</si>
  <si>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</si>
  <si>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</si>
  <si>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</si>
  <si>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Persisted terminal oracle proved pendingSource=admin, requestKind=invite, exact Casey-to-Nova unread invitation/outbox identities, Nova Invitations/All 1/1 and no unrelated domain/task artifacts.• Nova showed one notification and exactly one QA EVENT-INV-001 Invitations card at 1/8 with pending badge 1.•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</si>
  <si>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</si>
  <si>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</si>
  <si>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</si>
  <si>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</si>
  <si>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</si>
  <si>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</si>
  <si>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DEPLOY-EXTERNAL-CONFIG-001 section1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</si>
  <si>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</si>
  <si>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</si>
  <si>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</si>
  <si>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</si>
  <si>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</si>
  <si>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</si>
  <si>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</si>
  <si>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</si>
  <si>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</si>
  <si>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</si>
  <si>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</si>
  <si>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</si>
  <si>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</si>
  <si>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</si>
  <si>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</si>
  <si>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</si>
  <si>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</si>
  <si>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</si>
  <si>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</si>
  <si>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</si>
  <si>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</si>
  <si>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No event chat or chat counters exist for any actor. Riley Invitations/All is 1/1; Nova Active/All is 1/1; Casey Hosting is 1.• Fresh DOM baseline: Casey My Events1/Chats0, Nova Events1/Chats0, Riley Invitations1/Chats0. Riley's list contains exactly one QA EVENT-INV-004 card at 2/8 with pending1.• Riley Accept ran once: membership stayed pending and moved invite-&gt;approval; Riley Invitations/Pending changed 1/0-&gt;0/1, chat stayed zero, and Casey received one unread Admin join-request.• In-place controls: Casey card remains 2/8 pending1 with notification 3-&gt;4; Nova Events1/Chats0; Riley Invitations0/Chats0.• Casey Members action baseline is 2 members + 1 pending with Riley once Waiting For Admin Approval, Casey once Admin and Nova once accepted Member; the repeated read oracle is unchanged.• First Admin Approve persisted the exact accepted3/pending0, three-owner chat, one member-joined row, Chats1 for all and target-only approval notification/outbox; poll, reopen and refreshed Members reads passed.• Focused FAIL: Casey Chats stayed0 in the action-owning document while Members suppressed the side poll. Java returned only members although its write-side counters were correct.• Repair returns and atomically applies the canonical actor counter snapshot; HTTP hot-deploy compatibility and full frontend-local event/chat/counter plus later-poll parity are implemented.• Guarded replay at 13:56:35.748Z restored only the same Admin approval boundary: accepted/pending2/1, Riley pending approval, Chats0, exact-one retained join-request, zero chat and zero approval artifacts. Riley Accept remains proven and is not replayed.•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Fixed replay PASS at 15:13:47Z: Casey's still-open Members document changed Chats0-&gt;1 from the approval response and reached 3 members immediately. The 17:14 screenshot shows Nova and Riley at Chats1; Riley also has the one approval notification.• Terminal oracle: accepted/pending3/0, three identical mainEvent owner copies all unread1, one Riley Outside joined the event system row, stored Chats/All/Event1 for all three, one Riley-only approval notification/outbox and zero chat-message notification artifacts.•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</si>
  <si>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</si>
  <si>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</si>
  <si>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</si>
  <si>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</si>
  <si>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</si>
  <si>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</si>
  <si>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</si>
  <si>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</si>
  <si>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</si>
  <si>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Riley Reject itself removed the live invitation and in-place Invitations badge while Chats stayed0; persisted accepted/pending became2/0 with Riley suppressed and zero chat/acceptance/approval notification artifacts.• The first normal embedded-member refresh normalized the impossible capacity1 to accepted2. This diagnosed a fixture defect, not a reject write defect.• Fixture repaired to the coherent full boundary: Casey+Nova accepted plus Riley's reserved final seat equals capacity3.• Repaired replay UI/write PASS at 15:40:50.696Z: the user confirmed in-place Invitations1-&gt;0 with Chats0; fresh Riley reconstruction shows Invitations0, Chats0 and the single personal Trash card.• Oracle retained capacity3, accepted/pending2/0, Casey+Nova exact accepted identities and only Riley suppressed from pending. Live pending/invited lists, chats/messages and invitation/acceptance/approval notifications/outbox are zero.• Normal worker PASS at 15:45:57.345Z: the one EVENT_MEMBERS_CHANGED task completed on attempt1 with empty lastError and pendingCount0; all state and zero-artifact controls remained unchanged.• Branch A PASS/CLOSED. Never repeat Riley Reject; reset independently before branch B.• Branch B first action at 15:51:50.195674866Z: Casey Members changed 2 members · 1 pending -&gt; 2 members in place, Riley disappeared once, Riley Invitations1-&gt;0 live, Nova unchanged; capacity3 and Casey+Nova accepted persisted with Riley deleted and all chat/notification controls zero.• FAIL: zero EVENT_MEMBERS_CHANGED tasks were stored although cancelling the pending invite released its reserved final seat; the same path also skipped waitlist promotion.•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Repair replay baseline staged at 16:01:33.676Z and proved again by read-only status: capacity3, accepted/pending2/1, Riley final-seat invite, chats0 and zero tasks/artifacts. Same three managed documents reloaded and match Casey My Events1, Nova Events1, Riley Invitations1, all Chats0.• Branch C independent baseline staged at 17:27:14.493Z; post-stage Casey/Nova/Riley hard reloads and a later oracle prove capacity3, accepted/pending2/1 with Riley reserving the final seat and zero tasks/artifacts.• Casey read-only candidate query returned multiple selectable non-members; a repeated Mongo oracle proved the query itself performed no write. The actual picker shows Riley selected and Farkas Anna as the visible new candidate.• Branch C first write at 19:48:43+02:00 is server/write PASS but UX FAIL: Farkas Anna was rejected with unchanged capacity3 accepted/pending2/1 and zero tasks/artifacts, yet the picker closed silently.• Repair requires one shared HTTP/local invite outcome, frontend-local capacity parity, the existing confirmation dialog in actionless information mode, and matching versioned en/hu local plus Mongo translations.•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Branch C terminal PASS/CLOSED: user explicitly confirmed the visible standard top-right X closed the notice; combined screenshot proves exact message/no footer actions, and terminal oracle proves capacity3 accepted/pending2/1 with every artifact0. Never repeat Branch C.• Branch D next: fresh reset/stage, Riley accepts once through UI, snapshot exact membership/chat/task/notification effects, then replay the identical authenticated join once and require changed=false with every count unchanged.• Branch D READY: staged18:31:33.042Z; two statuses prove capacity3 accepted/pending2/1 and zero chats/tasks/acceptance artifacts/payments. Same documents reloaded Casey18:32:11.813Z, Nova18:32:15.329Z, Riley18:32:19.418Z; initial My Events/Events/Invitations1 and Chats0.•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Post-fix no-op18:47:37.568Z PASS: HTTP200 accepted changed=false counterDelta null; accepted3/pending0, Riley timestamp18:43:38.772815972Z, chat3/message1/task1 same id/availability, notifications2/outbox1, payments/basket0. Only terminal original-task read remains; no more joins.• Terminal worker PASS/CLOSED: task6a7f61daae56910e99a48530 done18:49:15.677199764Z attempt1/error-empty, pendingCount0; final membership/chat/notification/payment fingerprint unchanged. EVENT-INV-005 all branches PASS/CLOSED.• Java repair replay at 16:06:13.505868724Z PASS: one EVENT_MEMBERS_CHANGED task, completed 16:12:08.607775317Z attempt1/error-empty; capacity3, accepted/pending2/0 and every chat/notification control zero.•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The 16:13:41.562Z replay lineage is NOT EXECUTED because the reload boundary was not yet proven; no Delete occurred and the fixture was reset.•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</si>
  <si>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</si>
  <si>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</si>
  <si>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</si>
  <si>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</si>
  <si>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</si>
  <si>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</si>
  <si>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</si>
  <si>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</si>
  <si>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</si>
  <si>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</si>
  <si>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</si>
  <si>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</si>
  <si>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</si>
  <si>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</si>
  <si>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</si>
  <si>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</si>
  <si>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</si>
  <si>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</si>
  <si>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</si>
  <si>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</si>
  <si>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</si>
  <si>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</si>
  <si>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</si>
  <si>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</si>
  <si>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</si>
  <si>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</si>
  <si>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</si>
  <si>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</si>
  <si>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</si>
  <si>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</si>
  <si>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</si>
  <si>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</si>
  <si>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</si>
  <si>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</si>
  <si>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</si>
  <si>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</si>
  <si>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</si>
  <si>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</si>
  <si>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</si>
  <si>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</si>
  <si>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</si>
  <si>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</si>
  <si>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</si>
  <si>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</si>
  <si>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</si>
  <si>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</si>
  <si>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</si>
  <si>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</si>
  <si>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</si>
  <si>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</si>
  <si>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</si>
  <si>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</si>
  <si>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</si>
  <si>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</si>
  <si>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</si>
  <si>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</si>
  <si>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</si>
  <si>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</si>
  <si>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</si>
  <si>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</si>
  <si>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</si>
  <si>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</si>
  <si>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</si>
  <si>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</si>
  <si>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</si>
  <si>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</si>
  <si>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</si>
  <si>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</si>
  <si>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</si>
  <si>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</si>
  <si>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</si>
  <si>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</si>
  <si>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</si>
  <si>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</si>
  <si>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</si>
  <si>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</si>
  <si>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</si>
  <si>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</si>
  <si>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</si>
  <si>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</si>
  <si>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</si>
  <si>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</si>
  <si>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</si>
  <si>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</si>
  <si>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</si>
  <si>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</si>
  <si>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</si>
  <si>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</si>
  <si>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</si>
  <si>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</si>
  <si>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</si>
  <si>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</si>
  <si>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</si>
  <si>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</si>
  <si>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</si>
  <si>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</si>
  <si>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</si>
  <si>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</si>
  <si>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</si>
  <si>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</si>
  <si>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</si>
  <si>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</si>
  <si>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</si>
  <si>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</si>
  <si>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</si>
  <si>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</si>
  <si>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</si>
  <si>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</si>
  <si>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</si>
  <si>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</si>
  <si>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</si>
  <si>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</si>
  <si>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</si>
  <si>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</si>
  <si>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</si>
  <si>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</si>
  <si>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</si>
  <si>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</si>
  <si>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</si>
  <si>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</si>
  <si>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</si>
  <si>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</si>
  <si>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</si>
  <si>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</si>
  <si>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</si>
  <si>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</si>
  <si>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</si>
  <si>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</si>
  <si>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Pending reload: the Public Explore card and orange Continue booking survive from the visible basket without writes.• Each Cancel: in-place Continue booking -&gt; Request Join and ID-scoped Activity removal; one reload reconstructs the same fresh state while retaining a closed basket audit.• Re-Join: appends a distinct physical basket and leaves all prior audits immutable.• Terminal approval: directly accepts Nova, creates one A ticket/counters 1/1 and closes the current basket reservation without changing prior Cancel audits; Casey/Riley stay ticketless.• Ticket reads: normal poll exposes counter 1 and two opens reuse the same Nova ticket ID/code.</t>
  </si>
  <si>
    <t>PASS / CLOSED; TWO REPAIRS VERIFIED</t>
  </si>
  <si>
    <t>2026-08-12</t>
  </si>
  <si>
    <t>• PASS: all three Join identities and both Cancel in-place/reload branches.• PASS: approval membership, occupancy, ticket identity and counters.• FAIL retained: terminal approval basket-closure oracle.• UPDATED: active-slot-only basket finalizer and acceptance-before-ticket ordering source regressions; backend/frontend hot deploys PASS.• BASELINE PASS: reset -&gt; not-staged -&gt; fresh stage -&gt; independent Casey-only oracle; managed actors relaunched and identity-verified.• REPLAY FIRST JOIN PASS: one active basket 6a7c9fdbf8a7d3829acd8028, one pending membership/notification, zero tickets/counters.• PENDING RELOAD PASS: Continue booking retained; basket/membership/notification identities and timestamps unchanged; no ticket write.• FIRST CANCEL IN-PLACE PASS: Request Join appeared without reload; basket 6a7c9fdbf8a7d3829acd8028 closed as cancelled/deleted and inactive; Nova pending 0/trash 1; Casey Pending then Cancelled; tickets/counters 0/0.• FIRST POST-CANCEL RELOAD PASS: Request Join reconstructed; closed audit, membership, notification identities/timestamps and zero ticket state remained unchanged.• FIRST RE-JOIN PASS: distinct active basket 6a7ca1dcf8a7d3829acd8030 appended; first audit immutable; Nova pending 1; Casey Pending/Cancelled/Pending; tickets/counters 0/0.• SECOND CANCEL IN-PLACE PASS: Request Join appeared without reload; both basket attempts are distinct closed audits; Nova pending 0/trash 1; Casey Pending/Cancelled/Pending/Cancelled; tickets/counters 0/0.• SECOND POST-CANCEL RELOAD PASS: Request Join reconstructed; both audits/timestamps, membership, four notifications and zero ticket state remained unchanged.• FINAL JOIN PASS: third distinct active basket 6a7ca61cf8a7d3829acd8035 appended; older audits immutable; Nova pending 1; Casey has five ordered notifications; tickets/counters 0/0.• TERMINAL APPROVAL PASS / REPAIR VERIFIED: Nova accepted 2+0/8; one A ticket 6a7ca6ddf8a7d3829acd8038 / TKT-be2fc931-af92-47f8-83ad-0cefc4c1d416; counters 1/1; third basket approved/succeeded/inactive; two Cancel audits immutable.• NORMAL TICKET POLL FAIL: repeated successful realtime responses carried tickets 1/asset.tickets 1, but an open Explore popup caused the frontend to discard the snapshot and Ticket showed no item badge.• UPDATED: popup-visible global counters now converge without advancing deferred profile/impressions cursor; per-user revision tokens reject stale pre-mutation poll responses; watcher build PASS.• FOCUSED REPLAY BASELINE PASS: reset -&gt; not-staged -&gt; fresh stage -&gt; independent Casey-only oracle; managed actors replaced with new bundle and identities verified; prior clean Cancel/reload/re-Join evidence retained.• FOCUSED REPLAY JOIN PASS: POST join 200; basket 6a7ca9c2f8a7d3829acd8039 is the one active approval-pending attempt; Nova pending 1, Casey Pending 1, tickets/counters 0/0.• FOCUSED APPROVAL/POLL PASS: action POST 200; Nova accepted 2+0/8; basket approved/succeeded/inactive; one A ticket 6a7cab4ef8a7d3829acd803f, counters 1/1; repeated normal polls exposed item-level Ticket 1 while Explore/join-review stayed open.• FIRST TICKET READ PASS: GET /api/assets/tickets 200 at 19:24:09; persisted ticket ID/code, issue/use state and counters remained unchanged with no second credential or domain write.•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</si>
  <si>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</si>
  <si>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Approval POST 200: Nova accepted at 2+0/8; one A ticket 6a7c9b3ff8a7d3829acd8013 / TKT-7b0475a4-136d-427c-beb8-b99bccb66fa6; Nova counters 1/1, Casey 0/0.• Terminal basket-closure FAIL: current basket 6a7c996af8a7d3829acd8007 stayed approval-pending/pending with reservationActive true; both earlier Cancel audits stayed closed.• Owning-domain and local-parity fixes are hot-deployed; source regressions added without a separate build/test process.• Fresh replay baseline independently proved Casey-only 1+0/8 with no Nova membership/basket/notification/ticket; three managed actors replaced and verified.• First replay Join PASS: basket 6a7c9fdbf8a7d3829acd8028 is approval-pending/pending active; Nova pending 1, Casey Pending rows 1, tickets/counters 0/0.• Pending Explore reload PASS: same basket ID and exact timestamps; same pending membership/notification; Continue booking retained; zero writes/tickets.• First Cancel in-place PASS: same basket is now cancelled/deleted inactive at 2026-08-12T16:35:47.888144723Z; Nova is suppressed at pending 0/trash 1; Casey has exactly Pending then Cancelled; tickets/counters remain 0/0.• First post-Cancel reload PASS: same closed basket timestamps and state, suppressed membership, two Casey notification identities and 0/0 tickets/counters were unchanged.• First re-Join PASS: new active basket 6a7ca1dcf8a7d3829acd8030 appended without mutating first audit; pending membership/occupancy restored; Casey order Pending/Cancelled/Pending; tickets/counters 0/0.• Second Cancel in-place PASS: second basket closed at 2026-08-12T16:41:18.371454648Z while first audit stayed unchanged; Nova pending 0/trash 1; Casey has four ordered notification rows; tickets/counters 0/0.• Second post-Cancel reload PASS: both closed audit IDs/timestamps, suppressed membership, four notification rows and tickets/counters 0/0 remained unchanged.• Final Join PASS: third active basket 6a7ca61cf8a7d3829acd8035 appended with two prior audits immutable; Nova pending 1; Casey has five ordered notifications; tickets/counters 0/0.• Clean terminal approval PASS: action endpoint 200; Nova accepted 2+0/8; exactly one A ticket 6a7ca6ddf8a7d3829acd8038 / TKT-be2fc931-af92-47f8-83ad-0cefc4c1d416, counters 1/1; third basket approved/succeeded/inactive; both Cancel audits immutable.• Terminal basket-closure repair is verified.• Ticket poll FAIL: backend payload was correct but open-popup gating discarded every non-notification snapshot; Ticket item badge stayed absent.• Popup-safe, stale-response-protected global counter synchronization is hot-deployed; only the affected Join -&gt; approval-with-Explore-open -&gt; poll -&gt; two-read path requires replay. Prior clean Cancel/reload/re-Join evidence remains valid.• Focused popup-counter replay Join PASS: POST join 200 at 19:13:38; basket 6a7ca9c2f8a7d3829acd8039 active approval-pending, Nova pending 1, Casey Pending 1, tickets/counters 0/0; Join was not repeated.• Focused approval/poll PASS: action POST 200 at 19:20:14; one A ticket 6a7cab4ef8a7d3829acd803f / TKT-970b4c17-dd7c-4d93-88c9-d42a1dfde12b; basket closed, counters 1/1; normal polls at 19:20:26/56 and 19:21:26/56 converged item-level Ticket 1 with Explore/join-review open.• First Ticket read PASS: GET /api/assets/tickets 200 at 19:24:09; the oracle retained the exact ticket ID/code, issue/use state and counters with no second credential or domain write.•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</si>
  <si>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</si>
  <si>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</si>
  <si>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</si>
  <si>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</si>
  <si>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</si>
  <si>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</si>
  <si>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</si>
  <si>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</si>
  <si>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Repaired stable baseline plus explicit arm PASS: arm at 17:45:25.759Z set the printed 17:47:25.759Z deadline only after Nova confirmed Upcoming.• Upcoming transition PASS: GET 19:47:17 returned the one card; GET 19:47:47 returned empty and the already-open UI converged without reload.• Past classification PASS: Nova selected Past once; DOM showed one QA EVENT-TICKET-006 card; oracle retained the same unused A ticket manual-qa-checkpoint:v1:event-domain:ticket / TKT-ba6bfa5c-b14d-48e6-bb62-3af1e245b0c6 and counters 1/1.• Expired scan PASS: authorized Android POST /api/assets/tickets/validate returned 200 at 20:14:06; visible result was 'Ez a jegy lejárt.' Final oracle retained the same A/unused ticket, no replacement, replay audit, outbox or notification.•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</si>
  <si>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</si>
  <si>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</si>
  <si>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</si>
  <si>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</si>
  <si>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</si>
  <si>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</si>
  <si>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</si>
  <si>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</si>
  <si>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</si>
  <si>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</si>
  <si>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Initial list FAIL at 20:23:14+02:00: Nova Events and Active Events badges were 1, but the authenticated 200 response and popup list were empty; no invite request was sent and the persisted baseline was unchanged.• Root cause: payment oracle exposed three legacy reserved-event records—one joined then two later initiated—outside the old fixture selector; latest-open payment therefore classified accepted Nova as pending.• Write-side repair: terminal event acceptance now finalizes the latest open payment after basket finalization and before ticket sync. No query/projection masking was retained.• Fixture repair at 18:44:01.807Z removed the three guarded legacy records; future stage/reset/status owns payments. Event/member/ticket/counters/outbox/tasks stayed unchanged and payments became empty.• Focused replay PASS without reload: authenticated Active Events returned exactly one record, and Nova's already-open popup converged on its normal poll to QA EVENT-TICKET-007 with badge 1 and members 2/8.• Invite-candidate fixture FAIL at 20:49:08+02:00: the popup was empty and confirmation disabled; no request or persisted invite mutation occurred. Riley was public and outside membership, but event candidates require a prior single + met=true rate that the fixture omitted.• Guarded candidate preparation at 18:54:03.858Z created one reset-owned Nova-Riley rate. Independent status retained membership/ticket/counter/payment/outbox/task baselines, and Nova-authenticated candidate API returned only Riley with total 1.• The already-open empty popup retained its prior response, so the replay resumed only at Invite popup close/reopen.•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Initial Riley response in-place FAIL: Invitations emptied, but Pending did not become 1. Persisted oracle/read PASS: pending requestKind approval/pendingSource member, stored Pending 1/Invitations 0, ticket counters 0/0, no Riley ticket, one Casey join-request; reload reconstructed the row.•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Frontend-local runtime NOT EXECUTED for the Riley-response projection: the active deterministic fixture uses HTTP; local adapter contract was inspected and the shared regression covers the affected store, but no local runtime PASS is claimed.•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First Casey terminal approval durable PASS at 21:49:11+02:00: Riley accepted, one A ticket 6a7cce37f8a7d3829acd8053 / TKT-3d3eddd0-221f-453e-b8f2-1b40fe29d795, counters 1/1, one Riley overlay, one three-member main chat and one joined system message; Nova's exact ticket stayed unchanged.•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Guarded focused rearm READY at 22:08:27+02:00: only the failed approval effects were removed. Riley is pending approval with Pending 1/Tickets 0, no overlay/ticket/chat/task; Nova's original ticket, Riley's resolved invite, Casey's join-request and all earlier PASS evidence remain.•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Notifications New PASS: manual observation plus managed read-only DOM proved 1 new/New 1 and the exact QA EVENT-TICKET-007 / Approved / Casey Bridge · Event admin row; merely opening New kept readAtIso empty.•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</si>
  <si>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</si>
  <si>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</si>
  <si>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</si>
  <si>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</si>
  <si>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</si>
  <si>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</si>
  <si>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</si>
  <si>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</si>
  <si>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</si>
  <si>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</si>
  <si>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Stage created zero outbox and recompute tasks. The previous visibility trio was closed before exactly three Casey/Nova/Riley sessions launched and identity-verified; no fourth QA window runs.•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Casey pre-Unpublish My Events PASS: A and B appear exactly once with 2/8 (1); Nova's two-ticket list stays open and Riley is idle. Second read oracle remained identical with zero new outbox/recompute.• A-only Unpublish immediate PASS: one POST at 02:01:34+02:00; Nova's open Ticket list/count converged 2-&gt;1 to B-only without reload. Oracle proved A DR + original ticket D + Nova counters 1/1 while B stayed active with exact same A ticket ID/code; Casey/Riley remain ticketless.•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Shared SmartList repair built: normal poll now requests at least the configured current page while retaining a larger loaded window; focused 1-of-18 and two-page regressions added. Existing frontend-sync hot-deploy completed at 02:21:31+02:00; focused live replay remains pending.•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Corrected diagnosis: no race was proven. The foreground Ticket list lacked the established delta reconciliation contract, while the notification-priority realtime path also applied non-notification domain counters under an open popup.•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</si>
  <si>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</si>
  <si>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</si>
  <si>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</si>
  <si>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</si>
  <si>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</si>
  <si>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Cached holder: the same exact unused B card and complete QR remain available without a server response.• Online scanner: Casey succeeds once, repeat is already-used, and Nova reconnect creates no replacement/duplicate.</t>
  </si>
  <si>
    <t>• Dev-only checkpoint PWA switch is ignored in production; held target cleanup restores online.• Existing watcher synced the home repair at 12:55:38 and final side-menu chunk at 13:04:29; no parallel build.• Read oracle: navigator false, activated controlling worker, game-page-status-offline, gray visibility header + Offline badge, three home controls/all non-Ticket domain items disabled, Ticket active, pencil/header-notification/FAB absent.• Existing watchers built Java + users.service-3VAB3CS6.js by 13:20:03. With Ticket never opened after reload, the side-menu poll advanced Upcoming cache 10:46:45Z -&gt; 11:22:56Z and retained A+B with scanCode; B remains A/unused: TKT-e5230543-0bd6-4c03-9375-b271e32bd9a5.• First offline B QR visual result is retracted: app-sw returned a cached GET /api/assets/tickets and the local timestamp changed despite no nginx request. The watcher synced the fix at 13:37:19 and the waiting worker was activated.• Corrected replay PASS: offline B full QR opened with cache timestamp unchanged at 11:40:47.443Z, no ticket API request and persisted B A/unused. Its visible medium.webp was a CacheStorage hit; automatic unseen-image prefetch is not claimed.• First physical scan PASS: Casey's authorized phone sent one validate at 13:54:29/HTTP 200; original B now has usedAt 11:54:29.767918052Z and Casey actor, while Nova remained offline.• Replay PASS: second validate at 13:57:04 returned already-used; canonical B fields stayed exact. One immutable replay audit plus one Nova warning/outbox occurrence1 were created without raw code and are not a second ticket-use mutation.•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</si>
  <si>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</si>
  <si>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</si>
  <si>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</si>
  <si>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</si>
  <si>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</si>
  <si>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</si>
  <si>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</si>
  <si>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</si>
  <si>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</si>
  <si>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</si>
  <si>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</si>
  <si>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</si>
  <si>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</si>
  <si>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</si>
  <si>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</si>
  <si>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</si>
  <si>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</si>
  <si>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</si>
  <si>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</si>
  <si>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</si>
  <si>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</si>
  <si>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</si>
  <si>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</si>
  <si>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</si>
  <si>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</si>
  <si>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</si>
  <si>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</si>
  <si>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</si>
  <si>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</si>
  <si>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</si>
  <si>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</si>
  <si>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</si>
  <si>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</si>
  <si>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</si>
  <si>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</si>
  <si>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</si>
  <si>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</si>
  <si>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</si>
  <si>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</si>
  <si>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</si>
  <si>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</si>
  <si>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</si>
  <si>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</si>
  <si>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</si>
  <si>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</si>
  <si>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</si>
  <si>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</si>
  <si>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</si>
  <si>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</si>
  <si>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</si>
  <si>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</si>
  <si>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</si>
  <si>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</si>
  <si>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</si>
  <si>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</si>
  <si>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</si>
  <si>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</si>
  <si>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</si>
  <si>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</si>
  <si>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</si>
  <si>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</si>
  <si>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</si>
  <si>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</si>
  <si>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</si>
  <si>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</si>
  <si>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</si>
  <si>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</si>
  <si>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</si>
  <si>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</si>
  <si>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</si>
  <si>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</si>
  <si>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</si>
  <si>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</si>
  <si>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</si>
  <si>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</si>
  <si>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</si>
  <si>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</si>
  <si>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</si>
  <si>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</si>
  <si>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</si>
  <si>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</si>
  <si>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</si>
  <si>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</si>
  <si>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</si>
  <si>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</si>
  <si>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</si>
  <si>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</si>
  <si>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</si>
  <si>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</si>
  <si>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</si>
  <si>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</si>
  <si>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</si>
  <si>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</si>
  <si>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</si>
  <si>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</si>
  <si>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</si>
  <si>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</si>
  <si>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</si>
  <si>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</si>
  <si>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</si>
  <si>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EVENT-GALLERY-FEED-001</t>
  </si>
  <si>
    <t>Gallery, Photo Feed and content moderation</t>
  </si>
  <si>
    <t>Exercise five-image shared editing/read-only galleries, Event cover, Article image metadata, profile info scrolling, localized Feed and shared admin moderation with category/state buckets.</t>
  </si>
  <si>
    <t>DELTA persisted moderation counters and support-message deduplication</t>
  </si>
  <si>
    <t>DELTA content-auto-approve eligibility, delay, suspension and repeat-run history</t>
  </si>
  <si>
    <t>DELTA gallery save/reopen, mobile fit, Feed ordering/visibility, moderation SmartList moves and shared settings/counters</t>
  </si>
  <si>
    <t>Implementation record: 109 backend tests and 36 focused frontend tests passed; Angular build and EN/HU seed audit passed. Later moderation-filter focused checks recorded separately. Runtime IN PROGRESS: gallery/feed, Article/profile, moderation/settings branches exercised; see dated evidence. Latest regression tests not run; broader suite not claimed PASS.</t>
  </si>
  <si>
    <t>Closed; fixture reset. Next OPERATOR-EMAIL-WARNING-001; Calendar remains last.</t>
  </si>
  <si>
    <t>guides/qa/checklists/event/EVENT-GALLERY-FEED-001.md; guides/qa/evidence/EVENT-GALLERY-FEED-001-20260923-progress.md; 2026-09-23 supplements added, runtime verification in progress. Final Feed supplement PASS: event links/follow, owner buckets/remove/counters/colors; viewport-only Seen, durable outbox/retry/reopen and filtered-page continuation; own-ID receipt negative, duplicate receipt and blocked/deleted Seen exclusion. See 16:30–16:36 evidence. Final opening sync+page and exact outbox cleanup/lost-response retry PASS; zero-minute Event/Asset and suspended/due Feed PASS; EN/HU and shared picker headers PASS; cleanup oracle zero owned items/intents, counts consistent. Local runtime/latest standalone units NOT RUN.</t>
  </si>
  <si>
    <t>P1 75</t>
  </si>
  <si>
    <t>EVENT-CALENDAR-EXPORT-001</t>
  </si>
  <si>
    <t>Manual calendar ICS export</t>
  </si>
  <si>
    <t>Download own upcoming/ongoing published or accepted events from Profile; verify private snapshot, stable IDs, actual Android import window, repeated/changed import and offline calendar reminder.</t>
  </si>
  <si>
    <t>DELTA one-click desktop/mobile ICS download, ring/error state, physical Android import UI and per-calendar compatibility observations</t>
  </si>
  <si>
    <t>11/11 focused frontend-local occurrence/serializer/download tests PASS; existing backend/frontend watcher builds PASS; actual HTTP and UI export/time-change/cancellation/empty/error/retry checks, Android and Ubuntu imports, physical offline native alarm.</t>
  </si>
  <si>
    <t>None: closed within recorded manual snapshot/export scope; importer limitations are documented.</t>
  </si>
  <si>
    <t>PASS/CLOSED 2026-09-24. guides/qa/evidence/EVENT-CALENDAR-EXPORT-001-20260924.md; guides/qa/checklists/event/EVENT-CALENDAR-EXPORT-001.md. One-time/Daily/Weekly concrete occurrences; local adapter regression coverage distinguished from native testing. Android same-UID update without duplicate; omitted entries remain; native alarm setup required. Ubuntu duplicate batch rejected; clean import succeeds. Dev auth fallback limitation explicit. Scoped native/download cleanup and versioned fixture/session reset verified; settings/Job restored. Earlier affiliate results unchanged.</t>
  </si>
  <si>
    <t>P1 73</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</si>
  <si>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</si>
  <si>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</si>
  <si>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</si>
  <si>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</si>
  <si>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</si>
  <si>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</si>
  <si>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</si>
  <si>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</si>
  <si>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</si>
  <si>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</si>
  <si>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</si>
  <si>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</si>
  <si>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</si>
  <si>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</si>
  <si>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</si>
  <si>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</si>
  <si>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</si>
  <si>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</si>
  <si>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</si>
  <si>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</si>
  <si>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</si>
  <si>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</si>
  <si>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</si>
  <si>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</si>
  <si>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</si>
  <si>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</si>
  <si>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</si>
  <si>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</si>
  <si>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</si>
  <si>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</si>
  <si>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</si>
  <si>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</si>
  <si>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</si>
  <si>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</si>
  <si>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</si>
  <si>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</si>
  <si>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Stage-system avatar reuses the Final card accent while the row background keeps its notification tone• Every automatic lifecycle message names the completed/started stage; advancement names source and destination•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</si>
  <si>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</si>
  <si>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</si>
  <si>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</si>
  <si>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Guarded terminal replay preserved PASS Start/room evidence byte-identically, set Casey 7 / Riley 9 and finalized once.• Persisted terminal oracle proved three separate ordered records: Riley Casey-authored Final finalized, Riley system Won the tournament, Casey system Did not win; Nova received none.• Three-browser UI passed exact recipients, short texts and separate producer avatars. Winner/advanced trophy glow and not-winner/not-advanced diagonal strike passed after the existing frontend watcher rebuild; Casey audit portrait stayed unchanged.•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</si>
  <si>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</si>
  <si>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</si>
  <si>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</si>
  <si>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</si>
  <si>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</si>
  <si>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</si>
  <si>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</si>
  <si>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</si>
  <si>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</si>
  <si>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</si>
  <si>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</si>
  <si>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</si>
  <si>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</si>
  <si>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</si>
  <si>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</si>
  <si>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</si>
  <si>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</si>
  <si>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</si>
  <si>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</si>
  <si>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</si>
  <si>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</si>
  <si>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</si>
  <si>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</si>
  <si>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</si>
  <si>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</si>
  <si>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</si>
  <si>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</si>
  <si>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</si>
  <si>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</si>
  <si>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</si>
  <si>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</si>
  <si>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</si>
  <si>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</si>
  <si>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</si>
  <si>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</si>
  <si>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</si>
  <si>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</si>
  <si>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</si>
  <si>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</si>
  <si>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</si>
  <si>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</si>
  <si>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</si>
  <si>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</si>
  <si>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</si>
  <si>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</si>
  <si>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</si>
  <si>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</si>
  <si>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</si>
  <si>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</si>
  <si>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</si>
  <si>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</si>
  <si>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</si>
  <si>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</si>
  <si>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</si>
  <si>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</si>
  <si>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</si>
  <si>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</si>
  <si>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</si>
  <si>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</si>
  <si>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</si>
  <si>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</si>
  <si>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</si>
  <si>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</si>
  <si>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</si>
  <si>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</si>
  <si>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</si>
  <si>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</si>
  <si>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</si>
  <si>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</si>
  <si>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</si>
  <si>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</si>
  <si>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</si>
  <si>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</si>
  <si>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</si>
  <si>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</si>
  <si>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</si>
  <si>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</si>
  <si>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</si>
  <si>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</si>
  <si>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</si>
  <si>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</si>
  <si>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</si>
  <si>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</si>
  <si>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</si>
  <si>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</si>
  <si>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</si>
  <si>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</si>
  <si>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</si>
  <si>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</si>
  <si>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</si>
  <si>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</si>
  <si>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</si>
  <si>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</si>
  <si>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</si>
  <si>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</si>
  <si>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</si>
  <si>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</si>
  <si>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</si>
  <si>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</si>
  <si>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</si>
  <si>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</si>
  <si>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</si>
  <si>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</si>
  <si>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</si>
  <si>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</si>
  <si>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</si>
  <si>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</si>
  <si>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</si>
  <si>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</si>
  <si>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</si>
  <si>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</si>
  <si>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</si>
  <si>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</si>
  <si>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</si>
  <si>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</si>
  <si>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</si>
  <si>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</si>
  <si>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</si>
  <si>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</si>
  <si>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</si>
  <si>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</si>
  <si>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</si>
  <si>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</si>
  <si>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</si>
  <si>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</si>
  <si>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</si>
  <si>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</si>
  <si>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</si>
  <si>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</si>
  <si>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</si>
  <si>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</si>
  <si>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</si>
  <si>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</si>
  <si>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</si>
  <si>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</si>
  <si>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</si>
  <si>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</si>
  <si>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</si>
  <si>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</si>
  <si>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</si>
  <si>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</si>
  <si>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</si>
  <si>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</si>
  <si>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</si>
  <si>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</si>
  <si>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</si>
  <si>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</si>
  <si>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</si>
  <si>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</si>
  <si>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</si>
  <si>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</si>
  <si>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</si>
  <si>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</si>
  <si>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</si>
  <si>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</si>
  <si>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</si>
  <si>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</si>
  <si>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</si>
  <si>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</si>
  <si>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</si>
  <si>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</si>
  <si>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</si>
  <si>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</si>
  <si>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</si>
  <si>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</si>
  <si>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</si>
  <si>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</si>
  <si>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</si>
  <si>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</si>
  <si>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</si>
  <si>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</si>
  <si>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</si>
  <si>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</si>
  <si>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</si>
  <si>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</si>
  <si>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</si>
  <si>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</si>
  <si>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</si>
  <si>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</si>
  <si>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</si>
  <si>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</si>
  <si>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</si>
  <si>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</si>
  <si>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</si>
  <si>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</si>
  <si>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</si>
  <si>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</si>
  <si>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</si>
  <si>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</si>
  <si>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</si>
  <si>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</si>
  <si>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</si>
  <si>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</si>
  <si>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</si>
  <si>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</si>
  <si>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</si>
  <si>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</si>
  <si>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</si>
  <si>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ASSET-BORROW-001</t>
  </si>
  <si>
    <t>One-unit free and paid Borrow, timeframe, capacity and exact-scope Organizer-only lifecycle</t>
  </si>
  <si>
    <t>Against three free and one paid Public Transport control, cancel one request, reject one, accept one, submit the same paid Borrow twice as separate requests, compare overlapping/non-overlapping capacity and fine-tune Organizer-only at Event, Stage, Group and Asset scope</t>
  </si>
  <si>
    <t>INDIRECT pending/accepted Asset request counts; INDIRECT available quantity/order; exact-scope participant counter delta; Asset activity and request delta</t>
  </si>
  <si>
    <t>DELTA one request identity per one-unit submission; separate paid payment/approval/card per repeated Borrow; exact availability and date range; no request merging</t>
  </si>
  <si>
    <t>Normal Asset request notification/outbox and affinity-task effects; Barion once per paid submission; schedulers X</t>
  </si>
  <si>
    <t>Every Borrow quantity is read-only 1; source Explore Asset appears once without Payment summary; repeated assigned request cards remain separate with #1/#2, date ranges and paid summaries; Organizer-only changes only the selected scope counter without role or membership cascade; reload retains the exact projection</t>
  </si>
  <si>
    <t>2026-09-17</t>
  </si>
  <si>
    <t>Read-only step-12 persisted-state/HTTP review: four Cancel requests and projections D; no active Group A resource or Cancel member; Group B two accepted requests unchanged. Versioned Block 4 reset/stage and independent status passed all ten baseline guards. Earlier 18 focused JVM regressions passed against watcher-built classes.</t>
  </si>
  <si>
    <t>Closed by explicit user acceptance; no final toggle or replay required. Retain fixture/evidence. Pair-QA campaign complete.</t>
  </si>
  <si>
    <t>Blocks 1–3 reviewed from retained data with qualifications: pre-fix Organizer-only state and multiple attempts prevent a clean exactly-once run claim. Step 12 persisted removal verified for Casey/Nova; visual no-reload behavior is not independently claimed. Previous run archived in /tmp/asset-borrow-block4.QIP5RR/previous-run.json. Normal reset/stage at 12:36 CEST restored Group A empty and Lina Group B two one-item controls; phase borrow-reject-ready/startBlock=4. No prior Cancel success fabricated. Overlap Sep17 11:36–Sep24 12:36; non-overlap Sep25 12:36–Sep26 12:36; paid Sep18 12:36–Sep20 12:36 (Europe/Bratislava), HUF 6400. Three managed windows ready. No application code changed by this restage. Step 14 fix: pending-to-deleted audit now uses existing Reject/Cancel policy. Existing backend watcher passed at 12:50 CEST; 25 focused regressions passed. Same pending Riley request confirmed by HTTP; user subsequently confirmed rejection; verify-borrow-reject PASS. One D request/projection, Group A resource/metric absent, exactly one rejection notification to Riley. Group B two accepted requests and zero payments unchanged. Phase borrow-reject-verified; no reset. Evidence /tmp/borrow-reject-verification.log and /tmp/borrow-reject-verified-state.json. Block 5 user confirmation + verify-borrow-accepted PASS: three accepted one-item Capacity requests (Nova Group A 1, Lina Group B 2), occupied 3, pending 0, exact overlap dates, one owner request and one Nova acceptance notification, no payment or Event/Group membership change. Phase borrow-accepted-verified. Evidence /tmp/borrow-accepted-verification.log; no reset. Block 6 PASS: one pending one-item Paid request/projection, one captured/fulfilled Barion HUF 6400 payment, one owner notification, Nova pending Manager organizerOnly=true. Actual Sep17 11:36–Sep18 12:36 is 25 hours/two started billable days; reuse this actual range in Block 8. Harness fixed to count Paid contribution in shared Transport metric (1 accepted/1 pending); nine guard checks and corrected oracle passed. Application/fixture unchanged; no reset. Evidence /tmp/borrow-paid-pending-verification-after.log. Steps 26–27 user confirmation + verify-borrow-paid-accepted-participant PASS: one accepted Paid request, Nova Manager/organizerOnly=false, same HUF 6400 payment; Group A accepted 2/pending 0, free/Group B controls unchanged. Step 28 next. Button-ring fractional layout measurement fix built by existing frontend watcher at 11:15:40Z; visual confirmation pending after refresh. No reset. Extra Organizer-only toggles reviewed: two accepted Paid requests/projections and two independent captured HUF 6400 payments; same booking range; exactly two request and two acceptance notifications. Currently organizerOnly=false, Paid counted 2, Group A accepted 3/pending 0: consistent. Free branches/Group B/Event/Stage/Group memberships unchanged from Block 5. Strict terminal on-state not yet reached. Evidence /tmp/borrow-terminal-review-result.json. No reset or acceptance-rule change. FINAL CLOSURE 2026-09-17: user explicitly accepted PASS with Organizer only left off. Current two accepted Paid requests/payments and participant counters are consistent; earlier toggles retain their evidence. This accepted variation replaces the requested final on-state action; strict verify-borrow-terminal is not claimed as passing and its assertion remains unchanged. No fixture reset or replay. Pair QA 104/104 PASS.</t>
  </si>
  <si>
    <t>P2 72</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</si>
  <si>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</si>
  <si>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</si>
  <si>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</si>
  <si>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</si>
  <si>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</si>
  <si>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</si>
  <si>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</si>
  <si>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</si>
  <si>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2026-09-08</t>
  </si>
  <si>
    <t>Complete user-driven steps 1-98; guarded core, request-destination, acceptance, manager-left, paid Take Over, refund, last-Leave and mixed-status Remove Mongo oracles; running backend/frontend watcher builds passed during defect repairs</t>
  </si>
  <si>
    <t>Closed; continue with the restaged one-unit free/paid ASSET-BORROW-001 baseline</t>
  </si>
  <si>
    <t>Steps 1-68 proved one approved, one declined and one expired payment plus one cancelled basket with quantity and sibling isolation. Steps 69-89 proved manager Leave, paid Take Over, runtime Remove, exact Asset-owner service chat and one separate 50% refund request/approval with pending counter 0-&gt;1-&gt;0. The last-manager Leave oracle passed at 2026-09-08T03:42:02.224Z. The final mixed-status Remove oracle passed at 2026-09-08T03:48:22.239Z: accepted Nova and pending Riley requests/projections were retired, runtime metrics disappeared, Casey's global Asset and all payment histories remained unchanged, availability returned to 3 and no automatic refund or Take Over notification appeared. The observed missing refund action was fixture policy/window drift and is corrected for future guarded replays without restaging this completed run.</t>
  </si>
  <si>
    <t>ASSET-PRICING-001</t>
  </si>
  <si>
    <t>Interactive journey</t>
  </si>
  <si>
    <t>Interactive pricing configuration and payment-time snapshots</t>
  </si>
  <si>
    <t>Edit fixed and Hybrid Asset pricing, observe Borrow and payment disclosures, retain payment-time terms, and check independently submitted rentals and per-request member counts</t>
  </si>
  <si>
    <t>X before payment; indirect Asset visibility and Borrow price projection changes</t>
  </si>
  <si>
    <t>DELTA one Asset pricing config per user Save; then exactly three primary captured payments with distinct immutable effective-row and cancellation-policy snapshots</t>
  </si>
  <si>
    <t>Barion provider runs exactly once per payment; no scheduler; normal Asset request/outbox and affinity effects only</t>
  </si>
  <si>
    <t>Fixed daily duration, Hybrid quantity/demand/time/min-max/rounding, Asset has no VIP, stage non-member access, Confirm/Payment/history disclosure and independent rental badges/member lists</t>
  </si>
  <si>
    <t>Existing dev backend/frontend watcher builds passed. Read-only Mongo and native request-scoped HTTP review verified distinct requests/payments, one member per rental, exact stage totals and two-day billing. Original phase-by-phase oracle was not replayed.</t>
  </si>
  <si>
    <t>Closed; continue user-controlled ASSET-BORROW-001.</t>
  </si>
  <si>
    <t>2026-09-17 user accepted closure after saved-data review. Earlier run: Hybrid 1150, fixed 900 and 800 captured with their own rows/policies; Variable initially view-only. Final fresh run: two distinct Cutoff payments USD 900 and one 26-hour Variable payment USD 1800 at USD 900/day, all captured/fulfilled. Native member queries and persisted counters: Cutoff 2, Variable 1; every individual request has one Nova row. User reported repaired UI correct. Verdict combines these observations; no claim of literal original 2300/800/900 sequence. Refund actions reuse ASSET-CHECKOUT-001 block 8. Pricing fixture reset restored baseline with zero scoped artifacts.</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</si>
  <si>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</si>
  <si>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</si>
  <si>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</si>
  <si>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</si>
  <si>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</si>
  <si>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</si>
  <si>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</si>
  <si>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</si>
  <si>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</si>
  <si>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</si>
  <si>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</si>
  <si>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GROUP-LIFECYCLE-001</t>
  </si>
  <si>
    <t>Community group lifecycle</t>
  </si>
  <si>
    <t>Create/edit/view groups and draft visibility rules; category/roster/role controls; disjoint hosting/participation/explore; join/invite/approve/leave; workspace selector; configurable app-admin Group review versus group-admin content moderation; persisted red badges updated through SmartList signals; Group support channel/filter.</t>
  </si>
  <si>
    <t>DELTA community membership, workspace profile and stored policy; accepted/pending lists and counters match canonical records.</t>
  </si>
  <si>
    <t>CLOSED / PASS — agreed HTTP scope</t>
  </si>
  <si>
    <t>CLOSED: HTTP29/29 current-scope blocks;26 full closures and3 scope-transfer closures.</t>
  </si>
  <si>
    <t>31 focused backend moderation/chat/counter tests PASS (2026-09-25): separate scope settings, authority/foreign IDs, persisted pending count and idempotence, worker, Group support access/filter/unread. Earlier 15 filter/invitation tests PASS (2026-09-24). Frontend/backend dev watchers compiled. Full local/UI/HTTP journey NOT RUN.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 | 2026-09-26: 105 focused backend tests PASS and 47 frontend tests PASS, covering explore boundaries, Base-only asset API key, contact repository account resolution and ticket account aggregation. These unit results do not close the manual local/HTTP journey. | My Tools follow-up (2026-09-26): 40 focused frontend tests PASS; 1 backend stored menu-counter test PASS. Account ownership/store/counters and stale-poll checks covered; browser journey NOT RUN. | Scope follow-up (2026-09-26): 195 backend and 32 frontend focused tests PASS. Payment payer/recipient query identity, account contacts, group event authorization and ticket scanner covered; manual local/HTTP journey NOT RUN. | Overlay navigation (2026-09-26): 27 focused frontend tests PASS; no real-device/Router/Firebase journey claimed. MCP Go race tests and image 1.3.0 initialization/discovery PASS; six generated schemas match OpenAPI. Help source parity PASS. | 2026-09-26: 13 focused frontend checks passed: popup/category/distance (5), local membership/notification lifecycle (5), workspace scopes and stale polls (3). Existing dev watchers compiled frontend/backend; added Java regression cases not run. No full-flow PASS.</t>
  </si>
  <si>
    <t>Closed. Independent deployment checks retain their separate scope; Isolation also closed 2026-09-28.</t>
  </si>
  <si>
    <t>guides/qa/checklists/group/GROUP-LIFECYCLE-001.md; Added 2026-09-24. No campaign fixture or browser actions executed. Priority I/L/A/N/O=4/4/4/3/3; effort actions/extra actors/oracles/boundaries/restore/external=40/2/4/3/2/0. Finalized 2026-09-25: app-admin configurable Group review; group-admin Asset/Event/Feed scope; write-side badges propagated through signal store/SmartList without reload; Group support channel and separate unread count.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 Shared UI micros appended to existing GROUP-LIFECYCLE-001 checklist; no execution or new PASS claimed. UI_NOTES_2026_09_25.md separates completed code from pending implementation. | 2026-09-26 resume: retained 10-group/27-membership baseline verified for read-only block 1/25. No manual PASS; mutation blocks not staged. guides/qa/evidence/GROUP-LIFECYCLE-001-20260926.md | NOT RUN block 19.1: complete real demo-selector entry, consent, admission before session, saved/rejected location, cancel/retry, first avatar load, reload/logout/login. No injected-session proof. | Source audit: community membership notification hook absent; Members action missing pending badge fixed and observed red in managed UI. Shared menu single-digit circle 20x20px; card numeric alignment checked after watcher deploy. Full counter/notification lifecycle is not fixed or verified. Overall remains NOT RUN. Full conversation coverage inventory in the dated execution log. | Superseding 2026-09-26 correction: member write counters, notification hooks and live store reconciliation implemented; complete lifecycle remains NOT RUN. Correct selector 2 / Groups 3 scope preserved. Retained badge-writes-ready and join snapshots exist; no product membership writes executed. Earlier absent-hook/not-staged descriptions are historical. See dated evidence follow-up and checklist 6.1.5–8. | Group/member attention writes now apply transition deltas like Activity Event, rather than recounting child collections. Versioned block-1 baseline verified without data writes; ordered browser restart in progress. | 2026-09-26 automated delegated browser continuation: creation and required/textual policy draft/save/read-only; hidden roster badge and private-roster invitation cancel/accept/reload; compact image; contextual menu/member counters. Nine focused frontend checks PASS. See GROUP-LIFECYCLE-001-members-media-policy-20260926.json. No full-case PASS. | 2026-09-26: separate checklist block 26 added for group Admin grant/revoke provenance, creator departure, Admin-first/member-fallback takeover, last-member deletion, Asset Manager icon/palette/confirmation parity and notification recipients/retry/scoped badges. Block 26 local and dev HTTP NOT RUN; closed PASS rows unchanged. | 2026-09-26 22:14: block 26 partially exercised in HTTP (grant provenance/403/revoke, ordinary-member leave, creator departure, Admin-first/member-fallback takeover, last-member deletion and Main fallback); 52 focused frontend tests PASS. Notification routing and duplicate release notification repaired/retested. Isolated admin fixture restored. Block 5 timeout/disabled selector/rollback/new-choice/late-response/reload proved; versioned after-workspace-selection checkpoint captured and verified. See dated evidence; no whole-case PASS. 2026-09-26: sequential closure map audited; earlier 2–4 evidence retained. Deferred role/layout and request/live-order checks mapped to 27–29. Current isolated moderation branch retained, support header defect open; see dated evidence.; 2026-09-26 23:17 retained checkpoint: shared read-only multi-image moderation editor and metadata verified in Group scope; 15/15 gallery tests. Group button overlap and empty read-only policy section repaired, editor/admin layout checked. App-admin companion and actor windows retained; Maya Base Feed draft NOT published. Evidence GROUP-LIFECYCLE-001-block6-resume-20260926.json. No block-6 PASS. 2026-09-27 resumed: Base Feed multi-image readonly admin PASS; app-disabled creation accepted, enabled creation under-review; full Group/nested policy readonly verified. See block6-continued evidence. Group support scope/read/reply/retry and HU verified. Late moderation response resurrected row: fixed and real delayed-response on-the-fly replay PASS; counters preserved. 2026-09-27 01:08: HTTP block 6 PASS; confirmation waits for save/failure retains state, notification delta adapters repaired and browser read/retry PASS, concurrent member/read PASS, Main realtime aggregate PASS, Event/Asset readonly previews PASS, member labels fit360px. 17 moderation/dialog +2 adapter tests PASS. Exact after-moderation-checks savepoint verified; resume7. Local NOT RUN. 2026-09-27 01:30: HTTP block7 PASS: voluntary leave→Trash→accepted Restore; admin remove→blocked→pending Restore→admin approval. Failure/delay/retry/direct403 bypass checks and live retained UI verified;41 focused frontend tests PASS. Exact after-membership-trash boundary saved for8; Local browser NOT RUN. | 2026-09-27 02:55: Block8 Group/Main Event/group-owned Event admission and replay checked; HU desktop/mobile Group/Event/Affiliate Copy PASS. Removed Group member cannot bypass blocked/pending restoration with Event link. Fresh visitor location fixture corrected by explicit request. Exact cleanup pending; no block8 closure. See GROUP-LIFECYCLE-001-block8-progress-20260927.json. | Valid Maya replay: external group Event accepted, identical replay, blocked/pending restore cannot bypass Group approval, Admin approval restores Event access; UI writes only and independent Mongo reads. See GROUP-LIFECYCLE-001-block8-maya-20260927.json. No block8 closure. Main Event Maya UI Accept updated retained card1/10→2/10; duplicate link preserved exact normalized state, base/group Event memberships and prior referrer. Registration-first source route checked; fresh-account browser PASS not claimed. Native-browser registration replay: guides/qa/evidence/GROUP-LIFECYCLE-001-block8-registration-20260927.json. New Group/Event users persist real browser coordinates through UI; accepted memberships/replay PASS. Setup Update remains open; explicit Close resumes login for existing missing-location user. Watcher build PASS; new units/live Firebase NOT RUN. Block8 CLOSED: versioned restore-sharing scope verification PASS, independent reserved resources/fresh profiles zero, exact after-membership-trash savepoint verification PASS. Evidence: GROUP-LIFECYCLE-001-block8-cleanup-20260927.json. No replay of closed1–7. | Block9 in progress: Event/Asset two-message and mixed delta UI+Mongo PASS; intentional share-token network failure after asset deletions retained picker, Retry sent only outstanding two additions (49 messages). Evidence GROUP-LIFECYCLE-001-block9-chat-sharing-20260927.json. No block9 closure. | Block9 CLOSED 2026-09-27: complete chat sharing basket/delta/retry/paging/context/mobile HTTP chain, logout history race fixed and replayed. 13-scope exact cleanup, chat original41/zero paging, immutable after-chat-sharing captured resume10. Evidence GROUP-LIFECYCLE-001-block9-chat-sharing-20260927.json. Added overlay specs NOT RUN; owning watcher builds PASS. | 2026-09-27 block10 active: manual cash create/retry, Deleted state, red busy confirmation and refund request/approval replay; evidence GROUP-LIFECYCLE-001-block10-cash-20260927.json. 9/48 closed unchanged; checkout/affiliate controls pending. Cash refund live replay PASS; lost DELETE response/retry retains Deleted with one reversal. Short-window poll fix replay PASS. Checkout/negative controls remain; block10 IN PROGRESS. | Block10 latest: corrected referral prerequisite via exact versioned restore, valid cash exclusion/card EUR10 contribution+refund PASS. All eight recipient/payer denials plus unrelated deletion404 PASS with unchanged totals. Canonical header summary centralized in existing signal store; watcher03:17Z and both actor browser reads PASS. Points9/11 complete; point10 solely awaits cash-checkout accounting semantics. See block10-cash JSON pointStatus; no full block PASS. | Block10 CLOSED: final Cash-only booking accepted/no affiliate contribution; manual cash receipt separately proves history/totals/refund. Prior additional-booking-receipt expectation withdrawn as QA interpretation error; no semantics change. Barion/3DS-off restored. Exact cash restore and after-chat-sharing verification PASS; after-cash-history captured03:24:57Z resume11. Evidence block10-cash JSON finalCashBooking/cleanup. | 2026-09-27 block11 CLOSED: approved-only contact invitations/denials, retained overlays, recipient messages/unread reset, phone/share nesting, EN desktop/HU mobile; exact fixture restore PASS; after-contacts savepoint resume12. Evidence GROUP-LIFECYCLE-001-block11-contacts-20260927.json. | 2026-09-27 block12 CLOSED: selection limits including nested/mobile; contact consent cancellation/failure/retry/decisions, pagination/search, private methods, same chat/persistence and delayed group/account switch PASS. Exact contacts restore and after-contacts verification PASS; after-contact-controls captured resume13. Evidence GROUP-LIFECYCLE-001-block12-controls-20260927.json. | 2026-09-27 block13 CLOSED: empty HU/EN calendar notices retain blurred parent and produce no download; positive ICS download and libical import four events PASS. Desktop calendar UI NOT RUN. Blocks14–16 partial evidence retained in per-block JSON; no replay of completed subchecks. | 2026-09-27 block17 CLOSED for user-agreed HTTP Help/native anonymous MCP scope: current Codex conversation directly invoked MyScoutee topic list/read successfully. MCP connection UI create/reload/secret-hide/revoke also verified. No private OAuth or Local PASS claimed. Block18 X/Back and rapid reopen checks passed; remaining checks continue. | 2026-09-27 block18 CLOSED: physical Android native-Back defect fixed in shared overlay history owner; nested Back, X/Back, rapid reopen, busy refusal, desktop Forward/Router/reload and unchanged rating dock verified. Existing frontend-sync PASS05:46:29Z; unit specs not rerun. Evidence GROUP-LIFECYCLE-001-block18-20260927.json. Normal phone logout, owned browser/tunnel cleanup complete; ENTRY untouched. User requested STOP before19. | 2026-09-27 resumed19: actual demo selector admission, denied/unsupported GPS, isolated Zoe missing/invalid Setup cancel/retry and first profile persistence/reload partially PASS. False Location required race fixed; real stale null poll retest retained accepted point over12.4s. frontend-sync PASS15:24:34Z. One ENTRY-BLOCK19 window, Zoe snapshot retained. Block19 IN PROGRESS; counts unchanged. Evidence GROUP-LIFECYCLE-001-block19-entry-20260927.json. | 2026-09-27 18:22:19.1 HTTP complete incl invitation claim/first target profile/reload/replay and GPS-denied relogin; exact scoped cleanup. Avatar wait/error boundary and Setup disabled action verified.19.2 active:53/53 seed points accepted; Firebase config404 blocks real sign-in; pending-coordinate controls/Local remain. No count change. | User scope change2026-09-27: Firebase and actual external-client/provider-configuration checks moved to DEPLOY-EXTERNAL-CONFIG-001, DEFERRED/NOT RUN. They no longer gate Group19; continue demo pending-coordinate controls. | Block19 HTTP CLOSED in user-approved demo scope:53/53 seed points; two-account real login/profile-ext unsupported pending samples rejected with original points retained and per-account acknowledgement. Earlier failure/retry/claim/cleanup evidence retained.16/48 and16/29 closed;20 active. | 2026-09-27 block20 HTTP PASS/CLOSED: stored point with denied GPS and same-session reload; tracking OFF/save/reopen/ON; &lt;5km zero writes, &gt;=5km POST200; unsupported Paris POST403 retains accepted profile/cache/baseline/session and no popup; later eligible movement POST200. Independent Mongo point47.6747/19.0354 verified, normal logout then exact original47.5147/19.0354 restore, location snapshot removed. Evidence: GROUP-LIFECYCLE-001-block20-tracking-20260927.json. HTTP17/48 (35.42%), Lifecycle17/29 closed (1–13,17–20);21 active. Local NOT RUN; older contact/badge snapshots retained. | User clarification 2026-09-27: testcases are independent closed execution units. Transferred checks are CLOSED BY SCOPE TRANSFER in the source, not pending dependencies. DEPLOY-EXTERNAL-CONFIG-001 requires its own fixture, restaging, entry checkpoints, execution and cleanup; prior/cross-case evidence cannot substitute. Transfer provenance stays in the ledger, not executable cross-case references. Audit the remaining NOT RUN cases only at the current testcase boundary, before advancing to another testcase. | 2026-09-27 block21 HTTP partial: seven audited menu surfaces, profile multiselect, pricing scope and card menus exercised; HU320/EN360/desktop1100 representative checks. Notification launcher overlap and forced-sheet desktop X repaired and replayed through existing frontend-sync. Assignment basket restaged with own Group fixture and exactly restored, no assignment/share/checkout commit. Checkout optional-item menu remains NOT RUN because selected real event/date combinations returned no available slots; suitable own checkpoint required. Do not mark full21 closed. Evidence GROUP-LIFECYCLE-001-block21-menus-20260927.json. HTTP17/48 and Lifecycle17/29 unchanged. | 2026-09-27 block21 HTTP PASS/CLOSED: final checkout optional-card control used its own versioned Group slot fixture. Native pointer selected/reverted optional item; mobile X remained reachable and closed only the sheet with parent dialogs/scroll retained; desktop title/no mobile X PASS. No checkout writes; draft discarded. Exact restore-sharing completed and original contact/badge snapshots retained. Together with the recorded seven menu surfaces, profile/price controls and HU/EN smoke,21 is closed. Evidence GROUP-LIFECYCLE-001-block21-menus-20260927.json. HTTP18/48 (37.50%), Lifecycle18/29 (1–13,17–21);22 active. Local NOT RUN. | 2026-09-27 block22 HTTP PASS/CLOSED: Design Circle UI create/edit/delete persisted Base asset ownership; Main/Design Circle/Seattle Friends inventory and immediate asset counters match, event counters remain separate. Real response-stage delayed long-poll released after deletion did not resurrect count; no page reload. Own scoped fixture public Asset booked to an inaccessible Language Lab event remains in Explore (UI + three-profile authenticated reads); own/private/non-friend controls absent, foreign Event/private Asset details withheld with empty HTTP200. Event Explore UI changes with workspace. Existing Group chat preparation and tools fixtures exactly restored; no chat share submitted. Evidence GROUP-LIFECYCLE-001-block22-tools-20260927.json. HTTP19/48 (39.58%), Lifecycle19/29 (1–13,17–22);23 active. Local NOT RUN. | 2026-09-27 block23 HTTP PASS/CLOSED: independent Group Asset checkout captured HUF3200 on Design Circle payer; Maya Base reads the same stored payment as income, Base/other Group controls excluded. Real owner acceptance and payer refund request/recipient approval reversed HUF3200 on the same payer/recipient; one capture plus normal refund audit. Initial unknown provider-card fixture caused one failed attempt; repaired via snapshot-protected real provider card registration, not a manufactured payment. Card revoked and restore-sharing exactly verified. Base/Group Profile/Affiliate/API/history and bounded Feed/Impressions/Chats/Ticket scope smoke recorded; empty ticket views supported by account-scope/converter source review, no populated-ticket visual claim or exhaustive nested-screen sweep. Shared booking-row badge overlap fixed and watcher/mobile320/360/desktop1100 verified. Evidence GROUP-LIFECYCLE-001-block23-profile-payments-20260927.json. HTTP20/48 (41.67%), Lifecycle20/29 (1–13,17–23);24 next. Local NOT RUN. | 2026-09-27 block24 HTTP checklist scope PASS/CLOSED: own contact snapshot; Group Create contact candidate account resolution repaired, eight real candidates returned. Saved contact request/reject/re-request/approve passed; one Base-account conversation, same senders and read receipts under Main/Design Circle; delayed old-account HTTP response did not replace the new account contact list. Contact snapshot restored exactly. Independent free resource fixture: account-owned Asset assigned by the participating Design Circle profile; persisted request retained that participant profile. Base/Seattle Friends subjects without target Event membership returned403. Assets remain usable from any workspace; authority comes from target Event/group membership. Both Base- and Group-held tickets visible from all three workspaces; scanner rejected forged actor bodies from Base/Seattle and accepted authenticated Design Circle despite Base body, persisted correct usedByUserId and attendance. No saved contacts meant zero Event invite candidates despite prior-met profiles. Exact restore-sharing PASS. Shared empty-state spans full grid; user-requested entire contact headline row removed without replacement, watcher/UI verified. Extra forged resource-subject probe under optional-auth dev policy is separately recorded as unproven authenticated-policy boundary, not a security PASS. Evidence GROUP-LIFECYCLE-001-block24-account-contacts-20260927.json. HTTP21/48 (43.75%), Lifecycle21/29 (1–13,17–24);25 next. Local NOT RUN. | Correction:24 closure superseded by reopened forged-resource-actor repair; user requested Java verification without E2E. | 2026-09-27 block24 authorization correction and closure: user explicitly required direct forged-actor assignment rejection, then requested Java verification and excluded E2E. Reopened premature closure; removed optional-auth/demo bypass from resource-assignment submit/manage checks, using authenticated caller and existing policies. Added demo forged-subject/no-write, anonymous and valid-admin regressions; updated obsolete anonymous dev acceptance. Existing main watcher compile/restart PASS20:33:41 local. 19 focused JUnit authorization/resource-service tests PASS (zero skips/failures), reusing existing main outputs and cached test dependencies; no second main build/Gradle/server and no post-fix browser/E2E replay. Valid accepted member/admin and parent Event/generated-group assignment remain allowed; missing membership/forged actor rejected before writes.24 now closed on prior HTTP lifecycle plus this user-approved Java-only repair verification. HTTP21/48, Lifecycle21/29;25 next.24 fixtures and temporary25 notification snapshot were exactly restored. | 2026-09-27 block25 partial PASS: EN320/360/1100 and HU320 notification layout verified; remaining account notification/live-counter branch not yet executed. UI-issued Base and Photo Walks API keys used while Seattle Friends selected: Base asset and Photo Walks event created under their issuing profiles; Group JSON/multipart asset requests returned403 both from Seattle Friends and after Base selection, without created assets/external-ID mappings. Authentication filter rejects before image-controller ingestion; separate object-store inventory was not captured. Real UI Leave group caused Group key403; Base key Revoke caused401. Exact versioned restore-profile-api PASS, membership restored, generated resources/mappings/dependents and the newly created affiliate link removed; old keys retained. Shared menu checkmark moved before badges in all three list item variants; watcher PASS18:52:18.930Z and actual checked/unchecked rows share badge right edge336.125px at360px viewport. Evidence GROUP-LIFECYCLE-001-block25-notifications-api-20260927.json.25 remains IN PROGRESS for notification account scope/live counters and confirmation wording; HTTP21/48 and Lifecycle21/29 unchanged. | 2026-09-27 block25 HTTP PASS/CLOSED: notification layout and API-key scope evidence retained; versioned group notification inputs with actual read mutations verified All/Base/group filtering and account counter23→22→21 across Design/Seattle/Base. Original fixture counter drift recorded separately; aligned prerequisite before assertions, exactly restored afterward. Missing notification group label repaired in existing source subtitle. Real contact request/cancel/approve drove pending1→0 and account approval notification visible from Seattle; own snapshot restored. Independent two-group ticket inputs returned2 in Base/A/B; real Seattle Leave event canceled then confirmed, ticketD/member suppressed and both account ticket counters1, one Design ticket in all profiles. User-requested ticket group label added to existing metadata line; watcher/mobile PASS. Confirmation source audit99 objects/82 EN-HU keys plus bounded runtime/cancellation/320px HU check recorded separately; not every dialog executed, no extra unit runner. Exact temporary fixture/dependent cleanup PASS. Evidence block25-notifications-api-20260927.json and block25-confirmation-audit-20260927.json. HTTP22/48 (45.83%), Lifecycle22/29 (1–13,17–25);26 active. Local NOT RUN. | 2026-09-27 21:37: Block26.1–4 own HTTP execution: grants and revocations preserve provenance; Admin-first owner handover, ordinary-member fallback, sole-Admin step-down verified. Trash Restore returns former creator as Member; normal invitation return, last-member deletion and remaining notification/UI checks continue. Same-actor takeover retry200 is idempotent, competing403; pending fallback403/outsider404. See block26-admin-authority-20260927.json. Block26 remains IN PROGRESS. | 2026-09-27 22:00: Block26 HTTP PASS/CLOSED. Own grants/revocations, Admin-first and ordinary-member fallback, sole-admin step-down, normal invite and Trash return, final-member deletion and user-corrected recovery verified. Corrected rule: Deleted card remains in Trash; any voluntarily departed Admin can restore group/responsibility, ordinary member has no Restore and direct restore/join404 until admin recovery; then Member Restore succeeds. Earlier departed Admin cancel/confirm and idempotent retry proven. Exact notification read/avatar173→172/group2→1 survives reload. Shared Deleted badge bottom-right and common X16px centered. Local25+store2+popup6+converter12 focused tests PASS (45 distinct), full Local browser NOT RUN; Java mapper spec added/not run separately. Existing dev watchers compiled, exact fixture cleanup PASS. HTTP23/48 (47.92%), Lifecycle23/29 (1–13,17–26);27 next. See block26-admin-authority-20260927.json. | 2026-09-27: Blocks27–28 HTTP PASS/CLOSED. Three-role roster, responsive editor EN/HU, requested mobile single-column fix, normal/Admin/Operator header smoke. List summary/detail/nested-rule request boundaries verified. Existing watcher build; exact temporary fixture cleanup. Evidence block27-presentation-20260927.json and block28-requests-20260927.json. HTTP25/48, Lifecycle25/29;29 next;14–16 retained partial; Local NOT RUN. | 2026-09-27: Block29 HTTP PASS/CLOSED. Live Activities/Event Explore seven exact distance boundaries; Group save third→first, duplicate409/version2, sync200, scroll51 retained. Shared SmartList sticky-date refresh fixed and own fresh restage retest passed. Existing watcher build, exact14-event/Admin fixture cleanup. HTTP26/48; Lifecycle26/29;14–16 partial retained. Evidence block29-distance-ordering-20260927.json. | 2026-09-27 final closure: user accepted round badges with compact chevron. Remaining branches14–16 physically separated into independent deployment blocks4–6; source scopes CLOSED, not pending dependencies. Retained successful editor/landing/help evidence closes source; no new external/device PASS. HTTP29/29 current scope, Group29/48; Local full run NOT RUN. Next Group Isolation NOT STARTED. See GROUP-LIFECYCLE-001-scope-closure-20260927.json.</t>
  </si>
  <si>
    <t>GROUP-ISOLATION-001</t>
  </si>
  <si>
    <t>Workspace privacy and domain samples</t>
  </si>
  <si>
    <t>Nine independent blocks: Event lifecycle/private requests; home ratings/filters/Feed/Following; late replies/notification targets; moderation switch; revocation; support history; invitation authority/pending replies; contact reads versus Event unread. Shared Social menu toggle/count included in block3.</t>
  </si>
  <si>
    <t>DELTA only the owning workspace; no cross-workspace private detail/write, relationship, card exclusion or counter leak. Group-admin moderation is scoped to its group.</t>
  </si>
  <si>
    <t>CLOSED / PASS — HTTP scope</t>
  </si>
  <si>
    <t>9/9 HTTP isolation blocks PASS; exact fixture/session restore complete.</t>
  </si>
  <si>
    <t>31 focused backend moderation/chat/counter tests PASS (2026-09-25): separate scope settings, authority/foreign IDs, persisted pending count and idempotence, worker, Group support access/filter/unread. Earlier 15 filter/invitation tests PASS (2026-09-24). Frontend/backend dev watchers compiled. Full local/UI/HTTP journey NOT RUN. Profile selection correction: 21 focused Java tests PASS (2026-09-25); profile-load parameter, read-only restore, accepted-membership authority, failed-load non-commit, invite activation and removal. Added frontend HTTP parameter/retry unit cases; not executed separately from the running build watcher. | 2026-09-28:10 targeted policy JUnit tests PASS; existing watcher-built main classes reused. | Block3:10 workspace filter JUnit tests PASS; watcher main classes reused. | Block8:7 unique ChatService authority tests PASS; App/Group support and foreign-account conversation no-write checks. Existing watcher compilation PASS.</t>
  </si>
  <si>
    <t>Closed. Next: checklist directories aligned to QA domain, then INTEGRATION-API-GROUP-001 prerequisite development before testing.</t>
  </si>
  <si>
    <t>guides/qa/checklists/group/GROUP-ISOLATION-001.md; Added 2026-09-24. No campaign fixture or browser actions executed. Priority I/L/A/N/O=5/5/4/4/5; effort actions/extra actors/oracles/boundaries/restore/external=40/2/5/5/1/0. Finalized 2026-09-25: app-admin configurable Group review; group-admin Asset/Event/Feed scope; write-side badges propagated through signal store/SmartList without reload; Group support channel and separate unread count. Profile loading owns activeWorkspaceGroupId persistence; no per-request group header. Checklist includes shared loading state, timeout retaining prior selection, same-target retry and stale responses. Manual results remain NOT RUN. | 2026-09-25: sharing batch and discovered eventless-support regression checklist expanded; execution remains NOT RUN, no manual result claimed.; 2026-09-26 NOT RUN micros: separate direct-chat request/approve/reject; recipient-only notifications; approval saves public contact; write-side pending counter vs saved-contact count; search-row icon+label menu on mobile; SmartList live remove/insert; blurred confirmation; retry, stale version and workspace isolation. See existing GROUP-ISOLATION-001 checklist. | 2026-09-27: queued next after user-requested Group Lifecycle closure. User explicitly prohibited starting now; no fixture/browser/test action performed. | 2026-09-28: explicit full-flow automation authorized. Exact duplicate assertions removed after evidence audit; 9 unique blocks remain, no inherited PASS. Own namespace baseline verified and two managed sessions launched. Execution: guides/qa/evidence/GROUP-ISOLATION-001-20260928.md. | 2026-09-28 block1 HTTP PASS: UI create/invite/publish/accept/message; A event h1790547269571, two accepted members and two chat copies. Base/B lists and domain counters empty; A reopen intact. Own after-block1 checkpoint captured. Evidence GROUP-ISOLATION-001-block1-20260928.json. | Block2 HTTP PASS after private member/demo lifecycle authority repairs.32 negative requests403/404; forged profile/group/header rejected; Event/member/chat/notification/counter oracle unchanged. A reads and Unpublish→Publish200; exact own snapshot restored. Evidence GROUP-ISOLATION-001-block2-20260928.json. | Block3 HTTP PASS: own canonical-ID fixture replay, scoped Home writes/filter clear/profile edit, shared Social toggle, distinct Feed receipts and A Following; Base/B unchanged. Shared profile-view routing repaired, actual profiles render. Evidence GROUP-ISOLATION-001-block3-20260928.json. after-block3 captured. | Block4 HTTP PASS: real A poll canceled on UI close/switch, B retained, A reopen intact; same-name notification selected exact A target from B. Domain snapshot unchanged. Evidence GROUP-ISOLATION-001-block4-20260928.json. | Block5 HTTP PASS: real A moderation preview held then released after UI B switch; B queue2/settings retained, A reopen queue1. Mongo state/items/groups/posts unchanged. Evidence GROUP-ISOLATION-001-block5-20260928.json. | Block6 HTTP PASS: real admin removal, ordinary refresh to Base, private requests denied; Base/B controls preserved except legitimate removal notification. Exact before-block6 restored. Evidence GROUP-ISOLATION-001-block6-20260928.json. | Block7 HTTP PASS: support history45, real members,24 denials, late A messages response released in B; chats6/messages48 unchanged. Evidence GROUP-ISOLATION-001-block7-20260928.json. | Blocks8–9 HTTP PASS 2026-09-28: approved-only picker, actual request/approval/invitation, delayed picker across workspace/account, pending-write modal guard and canonical5members; account contact read receipts in Base/A, A/B Event chats/messages/unread counters unchanged, scoped Event-share lists. Obsolete switch-behind-pending-modal attempt was not executable UI and is not counted as cross-scope mutation proof; checklist aligned with existing blocking-save contract. Exact fixture + pre-launch sessions restored; managed windows closed. Full Local NOT RUN. Evidence: GROUP-ISOLATION-001-block8-progress-20260928.json; GROUP-ISOLATION-001-block9-20260928.json; GROUP-ISOLATION-001-cleanup-20260928.json.</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</si>
  <si>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</si>
  <si>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</si>
  <si>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</si>
  <si>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</si>
  <si>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</si>
  <si>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</si>
  <si>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</si>
  <si>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</si>
  <si>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</si>
  <si>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</si>
  <si>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</si>
  <si>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</si>
  <si>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</si>
  <si>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</si>
  <si>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</si>
  <si>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</si>
  <si>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</si>
  <si>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</si>
  <si>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</si>
  <si>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</si>
  <si>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</si>
  <si>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</si>
  <si>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</si>
  <si>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</si>
  <si>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</si>
  <si>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</si>
  <si>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</si>
  <si>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</si>
  <si>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</si>
  <si>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</si>
  <si>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</si>
  <si>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MANUAL PASS / CLOSED</t>
  </si>
  <si>
    <t>2026-09-15</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</si>
  <si>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</si>
  <si>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Closed; continue NOTIFICATION-ADMIN-LIFECYCLE-001</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</si>
  <si>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 2026-09-15 read-only preflight: ADB connected and original localhost WebAPK native notification permission granted; no USB mappings; phone build route inactive. Runtime Firebase revision0 inactive, no tested revisions/public config/credential envelopes; exact public firebase-config HTTP404. Casey/Nova/Riley exist with zero devices. Zero checkpoint messages/common snapshots; WebView status not-staged. No fixture mutation, message, browser launch or build. See Mobile Push device preflight in QA pack. Delivery remains NOT RUN; waiting for prior QA configuration location. Continuation supersedes missing-config blocker: local ignored Firebase files restored by fixture, genuine Riley provider identity and one device registered. Baseline 09:22Z. WebSocket context repair compiled; user haha message persisted 09:35:25Z, one inbox each Nova/Riley, counters Casey/Nova/Riley 0/1/2. Provider batch HTTP404; delivery remains unproven, SDK migration underway. Installed phone menu/popup no-close repair verified lifecycle38. See continuation in Mobile Push device preflight. User assists; inspect before actions to prevent duplicate sends. Foreground replay PASS09:46Z: SDK9.10.0 fixes provider batch404; worker visible-client guard fixes foreground system duplicate. Four direct Node worker tests PASS, existing owner builds passed. Marker5e9f8221-f05e-4f7f-80e9-dd4b15f7b355 sent09:45:24Z retry0/success1/failure0, one unread per Nova/Riley, Casey excluded, physical Android zero system notifications; New list marker once unread. Two prior user diagnostic messages retained. Current lifecycle39, fixture foreground-replay, section2 next. Home background PASS09:48Z: message5dfaba47-9347-4396-9429-e6f9945b66a9, outbox6aa9141df59d38d912af420b sent09:47:09.912Z retry0/success1/failure0. Phone hidden received exactly one worker notification with exact Chat tag/url; Android record1 before resume. Recents card return preserved timeOrigin1789465508440.1. New list row exactly once unread; counters Casey0/Nova2/Riley5. Background savepoint09:48:15.943Z. Settings variant next. Settings background PASS09:49Z: message6e4df2b0-9c9e-45cc-9125-e5fa721256e8, outbox6aa91489f59d38d912af420e sent09:49:00.318Z success1/failure0. Android Settings activity foreground, app hidden; one native/worker notification with exact background-settings body and Chat tag. Recents return preserved timeOrigin1789465508440.1; New list exact row once unread, counters Casey0/Nova3/Riley6. background-settings savepoint captured. Chrome variant next. Chrome background remains NOT PASSED: marker957517eb-0600-4055-81a0-06eb3f205257 outbox6aa914e9f59d38d912af4211 sent09:50:36.165Z success1/failure0, two unread inbox rows, but native shade retained previous Settings notification. With Chrome example.com foreground, PWA Notification.permission and Permissions API both denied while old UI signal still granted. Returning to installed PWA restores native granted. Native WebAPK permission granted; Chrome host permission denied USER_FIXED. No OS permission toggle was changed. User requires enabling through shared popup and backend device data through users poll -&gt; shared signal, no lazy popup read. Backend users.devices already owns registration writes; added token-free notificationDevices projection to existing realtime response and signal propagation through side menu, HTTP/local adapters and popup with draft preservation. Native visibility/permission onchange observers added. Existing backend build passed09:58:40Z; frontend local mapper union fixed, final owner build passed10:01:47Z. Lifecycle41 1789466529464 now being activated. Direct live popup signal oracle and native replay remain pending; earlier foreground/Home/Settings passes retained. Lifecycle41 live signal verification PASS: real users poll2 projected fixture notificationsEnabled=false; restoring true switched the same open popup at poll3, no lazy fetch or reload. Native Chrome foreground then native denied/signal denied/popup selectedfalse/effectivefalse all matched. Device flag restored, token unchanged. Chrome native permission still blocked; popup-based enabling remains next. Chrome replay PASS 10:16:44Z: message65fe8c07-e273-4d42-87a8-d56f82e80e09 provider1/0, exact native/worker system notification while hidden; Recents same timeOrigin, one unread row, Casey0/Nova5/Riley8. User authorized temporary Chrome Android app-level notification grant after real lifecycle42 popup request remained denied; original denial snapshot retained for cleanup. Shared users-poll signal/native state verification passed. Cold start next; no prior phase replay. Cold-start message660828b8-0eab-4f49-8579-90160b314511 provider accepted but Chrome wake process killed by Android LOW_MEMORY before native notification. Separate resident-Chrome route diagnostic9590b1f9-804b-4a17-803a-2ff37dbd353c produced native notification; tap opened standalone Riley on Home with chatId unconsumed, zero read changes. Section2 step12 FAIL; nine messages, Casey0/Nova7/Riley10. ROLLBACK at user request: queue/inbox redesign, NotificationContent, changed tests and incomplete deep-link edits removed. Application source restored to pre-investigation baseline; earlier SDK/worker/menu/users-poll fixes retained. Withdrawn design tests are not current evidence. Existing worker Firebase availability guard retained; no new architecture. Step12 remains unresolved, saved fixture/devices preserved. 2026-09-15 focused cold-start-replay PASS lifecycle43: message1f0959d0-22cc-4a21-8d82-23c8e03f06c3, one native notification/exact Chat/message route; only Riley inbox6aa9220df59d38d912af422d read10:47:19.228555542Z; Back/normal relaunch no duplicate route/read. Casey0/Nova8/Riley10. Savepoint cold-start. Earlier stopped-Chrome LOW_MEMORY failure retained separately. Current two focused ChatService regressions PASS. User now explicitly authorized Firebase/device decision snapshot in existing queue; verification pending. 2026-09-15: 14 decision/worker tests PASS including actual isolated Mongo merge. Section3 permission-denied bb4ef0ae-622a-4871-b151-3abe0f3cf4cf: empty saved device maps, zero provider attempts/retries, inbox once; independent personal mute verified. Section4 replacement-token869b435c-b8c1-4028-bf12-a52a7a32c2eb: new token fingerprint only, FCM1/0, exact Chat/read once, Back/relaunch stable. Casey0/Nova10/Riley11. Native permission after OS deny required fixture grant restoration; no native-dialog PASS. Browser-neutral error verified on phone, i18n103 audit PASS. Cleanup pending.; 2026-09-15 user accepted PASS with retained native re-prompt and stopped-Chrome qualifications. Versioned rollback-mobile-push.py --apply PASS twice: seven snapshot collections restored and compared, provider identity verified absent, owned browsers closed, Chrome permission and screen restored, zero fixture/snapshot/message/outbox/inbox/device/new login audit remnants.</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</si>
  <si>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</si>
  <si>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</si>
  <si>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</si>
  <si>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</si>
  <si>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</si>
  <si>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</si>
  <si>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</si>
  <si>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One shared rating row retains both scores; viewer mapping, notifications and pair identity agree; DELTA terminal tasks and updated affinity/discovery</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</si>
  <si>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</si>
  <si>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Closed. Exact rating/graph/feedback fixture restoration verified; next ADMIN-MONITORING-001 preparation only.</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</si>
  <si>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 2026-09-15 delegated live run: first/reciprocal ratings4/3, one inbox/outbox per recipient, both read and New0, no self/duplicate. Stats Ratings0-&gt;2, matching342-&gt;344, unrelated counters stable. Both recompute tasks done. Seeded Met prerequisite retained at user request; event-end transition not tested here. Monitoring/graph/feedback and paired-row persistence assessment remain.; Final closure2026-09-15: shared-row4/3 UI replay and 12 service tests PASS; real graph layout14:02Z, Casey/Nova edge and unchanged controls/history PASS; feedback three targets and Maya read/reopen PASS. Final consistent-baseline oracle14:32:21.553Z preserves all465 rating identities and all input/Met/mutual fields, only one computed affinityScore changes; three real worker tasks done. Fixture now settles pre-existing reciprocal seed data through the normal worker before feedback, and can make only scoped pending tasks due to avoid the five-minute wait. All exact fixture/session resets PASS. See final Bell closure in QA pack; earlier paired-row and unclassified-worker claims superseded.</t>
  </si>
  <si>
    <t>JOB-MESSAGES</t>
  </si>
  <si>
    <t>scheduled-messages</t>
  </si>
  <si>
    <t>Real scheduler dispatches due messages</t>
  </si>
  <si>
    <t>DELTA scheduler/audit; INDIRECT Notifications/outbox</t>
  </si>
  <si>
    <t>DELTA task audit plus notification/email result</t>
  </si>
  <si>
    <t>Fixture/service/common lifecycle tests</t>
  </si>
  <si>
    <t>Closed; task results visible and exact fixture/runtime reset verified. Next BELL-RATING-LIFECYCLE-001.</t>
  </si>
  <si>
    <t>Primary domain oracle passed; 2026-09-15 startup only: existing scheduled-messages inactive-user fixture bound to versioned job-messages checkpoint and two managed Ava/fixture-user browsers. One Scheduled task, active/public user, no audit/delivery; scheduler held until arm. First launcher attempt failed waiting for an absent explanation guide and closed its owned windows; corrected per-checkpoint dismissal setting and second startup succeeded. No checklist worker action or PASS claimed.; Final startup readiness PASS after fixture profileFormVersion2 correction prevented onboarding redirect. Both configured identities/realtime verified; one Scheduled task, active user, zero runs/deliveries remain. Current section1 step1.; Full delegated execution2026-09-15: inactive task completed/affected1, profileI/inactive banner/rating controls absent, action delivery1 and affinity1; recent task rescheduled exactly30days, profileA/public/rating available, action delivery1/affinity0. Both no bell/email/failures. Exact oracles PASS, recent target telemetry pair ingested and Monitoring Healthy. Step12 public UI lacks task audit outcome: only dispatcher summary displayed, so not full PASS. Initial poll1800000ms required temporary compiled-dev60000ms override; original property restored after both exact resets. Final fixture artifacts0, browsers closed. Monitoring top alignment and one-line contained badges verified916/596/360px.; Step12 closure2026-09-15: existing Jobs poll now exposes latest12 task results with next due; separate dispatcher history unchanged. Real recent-user retest run506eea79-8b65-4724-9a6c-27b0b3916f4e: scheduled/affected0, due2026-10-15T12:52:04.201Z, exact oracle PASS. Open Ava UI updated automatically; reopened result retained;916/360px no overflow. Five focused AdminNotificationService tests and i18n audit PASS. Exact fixture/session/runtime restoration verified; managed windows closed. Full JOB-MESSAGES PASS/CLOSED.; Final user-requested table presentation: both tables show compact status icons and borderless info-outline/filled toggles; detail expands below the unchanged row. No rectangular fill/scaling/internal task identifier.916/360px verified; both mobile tables282px wide with no horizontal overflow. Presentation-only prepared result does not replace prior real worker evidence.</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</si>
  <si>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</si>
  <si>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</si>
  <si>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</si>
  <si>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</si>
  <si>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</si>
  <si>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</si>
  <si>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</si>
  <si>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</si>
  <si>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Closed; exact fixture reset verified. Next JOB-MESSAGES inactive-user.</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</si>
  <si>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 2026-09-15 versioned notification-admin baseline and three managed Ava/Nova/Casey browsers prepared. Original timing60 seconds, enabled true, target outbox/inbox0/0, actor counters0. Push is closed and fully cleaned up. New-message oracle follows explicit saved Firebase decision; legacy inactive Pending behavior is retained only for null snapshots. No manual rule edit or delivery claimed.; Section1 PASS: fixed detail Timing save to send only edited rule; UI/Mongo2min and invalid-fieldHTTP400 unchanged full rules/outbox/inbox digests. Section2 recipient baseline0/0 and one real Casey message18c4030e-ced6-491c-84e3-6678f2e5c7de gave Nova1/Casey0 in already-open UI. Fixture temporarily held worker and removed only its one Redis wakeup hint to isolate normal scheduler; logical durable item unchanged. First normal run armed11:59Z.; Section2/3 PASS: first scheduled run52ms/processed1, saved Firebasefalse/provider0/0; Nova read once and source Chat unread1. Monitoring fixed by ordering existing Mongo key-preservation post-processor before eager converter initialization; three focused tests PASS and live global queues0/0/0/308 agree. Responsive cards4columns at596px/2at360px, zero badge overflow. Second run df6b70e7-9cbf-4e47-b08e-6b4f8d26f421 completed35ms/processed0; exact same outbox/inbox/read timestamp. UI restored1minute/enabledtrue, then exact fixture reset verified zero controlled chat/message/outbox/inbox/member/snapshot remnants and all actor counters0. Owned browsers closed. No native Firebase delivery claimed for this inactive-config test.</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</si>
  <si>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</si>
  <si>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</si>
  <si>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</si>
  <si>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</si>
  <si>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</si>
  <si>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</si>
  <si>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</si>
  <si>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USER-AUTHORIZED ADB/CDP PASS / CLOSED</t>
  </si>
  <si>
    <t>Physical Android: coherent old/candidate upgrade; native clipboard approval and exact paste; Chrome resident resume; own Ticket/QR and empty Nova Notifications; cached Nova QR under verified transport loss and online restore. No separate build/test process run. Opt-in demo fallback: watcher-output regression checks cover identity/security gates, storage restoration, write/editor guards, cold start and account switch. Phone API-outage/local-save/repeated-outage passed; reconnect preserves the local page. API-only and network-emulated offline icons, polling recovery without reload, drag/dismiss and mute-control recovery verified. Continuation: fixture media public/negative boundary checks passed; standalone Java QA removed. Physical offline cold-start avatar, own cached Ticket/QR and reconnect without reload passed on lifecycle-3. Shared setup: seven compiled workflow contract groups passed on desktop and physical PWA with native/provider doubles; 340/341 px panels, equal 224 px switches, no overflow, notification toggle both ways, location locked and Update right-aligned. Existing watcher build/sync passed. Candidate 25: existing watcher build and compiled failover regression passed. Physical local-offline mode/filter/history/menu and seeded Chat read/composer passed; local notification mute save/reopen/unmute passed. Final physical replay: native install without API doubles; local device off/on/reload/profile-save/automatic account transfer after initialization fix; monotonic seed DOM trace ending at 100; neutral 28 px footer icons. Existing frontend watcher compiled. Localized consent harness shell/JS syntax and actual hu stage/verify/reset passed; new seed spec not separately run. Closure: actual Chrome desktop Allow/exact paste and physical Android fresh native Allow/exact paste PASS; no provider doubles. Popup widths and unchanged sourceLink/update timestamp verified. No application build/test process needed for this execution-only closure.</t>
  </si>
  <si>
    <t>Closed. Next queued Notifications journey: MOBILE-PUSH-LIFECYCLE-001 device preflight; retain shared permission evidence and establish its current single-device baseline.</t>
  </si>
  <si>
    <t>See DOMAIN_LIFECYCLE_MANUAL_QA_PACK.md, Mobile WebView physical-device execution 2026-09-14. Old 4be4a1c596e2-20260905140310 -&gt; mobile-webview-20260914-icon-fix. Initial mixed dev/old fixture caused font HTML responses; coherent old shell fixed them. Candidate Preview badge hidden offline. Riley offline Ticket/profile keys retained after ordinary logout. Chrome open list reconciled one new row, counter 2 -&gt; 3. Settings observation recreated page. Paste exact, editor width stable; notification trigger covered Remove link. Real offline Nova QR rendered; uncached Game showed misleading empty result. Native Chrome SIGTRAP captured; seamless offline cold-start not proven. Owned fixture and server session snapshot restored; original nginx route restored. No FCM test. Later authorized localhost/dev-only offline-demo trial implemented: phone HTTP Anna -&gt; local u1 passed; reconnect stays local without reload, next explicit opening prefers HTTP; saved local edit survives another outage, cancelled draft does not; Mongo confirms neither marker reached live user. Full internet-offline cold start remains unproven. See the added opt-in trial evidence. Floating cloud_off appears at zero unread, remains movable/dismissible; menu/list icons track connection and preserve mute preference. Continuation evidence supersedes the earlier cache-purge/cold-start failures: Riley logout purged private cache, Nova isolated Ticket/QR remained usable after offline cold-start; reconnect retained timeOrigin. Fixture currently staged, Nova logged in, transport online, lifecycle-3 route retained. Existing hash-based Friends only is not the clarified completed-event friendship rule; unfinished replacement removed pending member-screen analysis. Latest continuation supersedes stale friendship and actor notes: real completed-event/media policy proof is in the QA pack; Riley phone and Casey managed desktop remain staged, Nova logged out. lifecycle-16 build mobile-webview-lifecycle-1789393814593, shared-setup screenshots/results retained. No real FCM activation/delivery or external Firebase entry proof; PARTIAL remains. 2026-09-14 correction: application query/storage test switches removed; six local device persistence checks and seven popup contracts on desktop/phone passed; external page+worker outage and same-page reconnect passed lifecycle-17. Extra offline labels removed; latest candidate lifecycle-19. Full local UI and real provider tests remain open. Latest continuation: candidate-25 local data-source availability fix removes physical-network-only disabling from local operations. Physical local About save/reopen and draft-preserving reconnect passed; HTTP About unchanged. External Rating URLs are valid and load on phone online; uncached external images unavailable under full network loss are accepted. All transport shapers stopped. See Candidate 25 local offline verification in QA pack; earlier disabled-local-mute expectation superseded. PARTIAL/OPEN remains. Latest cleanup: local About/mute restored, both devices normally logged out, versioned fixture reset completed. Public Firebase bootstrap filter corrected for exact paths; watcher compilation passed. Config returns controller 404 (inactive revision), Operator 403/private media 401 retained. Added JUnit regression unexecuted due existing test compilation blocker. API-only server loss does not imply external-image loss. 2026-09-14: Operator cross-guide coverage mapped; reported mobile country-label wrap diagnosed read-only and repaired. Entry browser online/offline listeners and stale-response invalidation added; watcher compile and i18n seed audit PASS, actual updated-phone replay pending. Latest continuation: real phone Google registration, three-image profile Save, logout and repeat same-identity login observed; fresh Mongo count 1, images 3, devices 1. Desktop three-provider Login footer visible and tester confirmed. No-change Firebase Save/reopen preserves active tested revision 1. Country-label and corrected worker-first network restoration replay passed. Candidate 26 activation remains unproven; see Firebase registration and desktop login footer in QA pack. Candidate 27 physical Firebase block passed: actual cold reopen retains identity/avatar; only-QA-client close activates new worker without data clearing. API-only outage/reconnect preserves same Firebase document. Private media 200 before logout, anonymous/invalid 401, retained-cookie 401 after logout, legacy public path redirects to protected 401. Added Settings -&gt; Permissions because installed PWA lacked reentry; ordinary off/reopen leaves zero devices, bell mute/unmute cannot override opt-out, on/reopen/repeated Update leaves one device. Existing watcher compiled, no extra compiler. Push message explicitly deferred, none sent. See Installed-PWA permission replay in QA pack. Latest: actual desktop native installation and standalone reopen through Chrome Apps retained one profile; shared install pending/ring separation compiled at 21:05:04Z and isolated compiled-service checks passed. Native corrected replay remains pending. Own demo avatar loads; earlier Firebase QA card private images return 401 in shared dev demo_db. See Desktop installation, native progress and mixed dev media in QA pack. Latest 2026-09-14: actual desktop native waiting/cancel/accept/ring/completion PASS; original demo normal logout/selector return PASS; user-completed fresh WebView Email Replay first save verified 21:24:16.469Z with 3 images and unique email before backend restart. Peter Szabo card still No image: private requests 401 in mixed dev data; own avatar success does not resolve this OPEN defect. Physical native replay remains unproven. Correction/repair 2026-09-14 23:40 local: profile visibility governs images; no private-image setting. Firebase-only media gate and untracked HTTP onboarding fixed. 11 backend unit tests + scoped live HTTP qualification + 4 compiled onboarding checks PASS. Public profile image 200/private 403/revoked or invalid 401. Existing screen still awaits normal user re-login; no card-image UI PASS yet. Desktop UI replay 2026-09-14/15 PASS: Email Replay ordinary logout/selector return, all 3 Peter Szabo images/profile detail, installed-app close/reopen with 3 HTTP 200 reads; new user-completed Session Replay save and reload verified 3 images/unique email/1 active session/1 login audit, no duplicate or second onboarding. Broader row remains PARTIAL; next consent 002/003 and session/phone gaps. Help/Guide repair 2026-09-15: seeded-help namespace was incorrectly redirected to private media (307 then 403). Existing backend watcher fix loaded; all 77 seeded SVGs now anonymous HTTP 200 with exact seed bytes; 2 path/security tests PASS. Guide visual reopen remains pending. Consent 002 status previous-active: v3 accepted with previous analytics only, target/total +1, anonymous 0; v4 not activated. Footer glyph colors removed, Facebook icon retained, visual check pending. See Help/Guide media repair and consent resume in QA pack. Desktop consent 002 verified 22:29:18.948Z: v4 forced, Close cannot bypass, analytics only; v3 unchanged; +2 target/total, zero anonymous. User reports Guide images now working elsewhere. Consent 003 verified 22:31:29.822Z: only analytics preselected, research explicitly added through later Save choices (agent initially approved too early); v4 revision/consent unchanged, +1 consent, marketing absent, anonymous 0. Exact sequence documented in pack. Per-profile AUTH-SESSION-001 PASS: A/B/C all Maya Stone via supported actor override; first two accepted, third blocked, A logout frees slot for C. Exact 4 audits/2 active sessions/3 warnings; B/C unread 11 to 14. Nova evidence untouched. Home cards guide illustrations visually verified. See Per-profile session limit desktop replay in QA pack. Clarification: demo exemption was a misinterpretation and fully reverted; original per-profile Maya result remains valid. Same C browser: Maya blocked, Try again then Kiss Balázs enters; Maya 2 sessions/Balázs 1. Candidate lifecycle-31 served for phone, activation pending. Candidate 31 phone cold reopen/entry passed; neutral footer glyphs + Facebook visually verified. Settings resident replay: same timeOrigin 1789425983526.4, native Settings foreground, one versioned mutation, Recents resume unread 4-&gt;5 and one row stable through polling/reopen. Mobile rating photo contain fix requested, replay pending. Candidate 32 main Home rating photo fit PASS: physical screenshot shows full proportional image; live /game inspection confirms contain on all three image layers. Existing watcher compiled 22:51:09.164Z. See Mobile home rating photo fit in QA pack; full checkpoint remains PARTIAL/OPEN. FINAL 2026-09-15: supersedes prior pending/runtime notes. Physical Chrome native install pending no ring, Cancel no ring, acceptance ring then appinstalled completion PASS. Local candidate35 device initialization repair: off/on/reload/repeated Update/profile-save and automatic Anna/Balazs transfer PASS; other-device preservation remains adapter coverage. Seed progress actual phone trace 0,0,11,22,34,40,43,52,64,82,94,97,97,98,100 PASS. Footer neutral 28px glyphs/Facebook visually PASS. Phone hu consent002 v2/v3 reject/forced acceptance/immutable previous +2 audits PASS; consent003 v4 analytics inherited and research selected before first approval +1 audit PASS. Supplemental phone Maya blocked at two sessions; desktop logout then phone retry accepted, exactly two sessions/four audits/three warnings. Selector remains available to other profiles; no demo exemption. Mobile/auth/consent fixtures reset; Maya residue zero, immutable Nova consents retained. Exact HTTP dev environment restored; original phone PWA activated lifecycle36 1789428466369 standalone. Owned 127 probe app/tabs and managed desktop windows removed; original apps/cache/reverse tunnel preserved. Non-deferred execution complete; PARTIAL only for tester-deferred clipboard. See WebView final physical replay and cleanup in QA pack. CLOSURE 2026-09-15: user resumed both deferred clipboard observations. Desktop real native Allow inserted exact 44-character URL, viewport/scrollWidth1136. Physical localhost PWA native prompt -&gt; Allow inserted same URL at00:04:21.759Z, permission granted, standalone lifecycle36, viewport/dialog width360 without overflow. Subsequent Permissions popup341px and zero Asset editors; desktop340px. Native Android Copy menu used, no clipboard API replacement/permission override. Both Asset editors cancelled, sourceLink empty and updatedDate unchanged at23:56:01.260Z. Both normal Logout confirmations completed; versioned fixture/common sessions reset, status not-staged, managed desktop/temporary phone tab closed. Original apps/cache/tunnel retained. All previously open WebView observations complete; PASS/CLOSED. See WebView clipboard closure in QA pack.</t>
  </si>
  <si>
    <t>UI-POLL-JANK-001</t>
  </si>
  <si>
    <t>Performance defect retest</t>
  </si>
  <si>
    <t>Admin Jobs + Chat</t>
  </si>
  <si>
    <t>Compare pointer, scroll and input frame pacing across idle UI, Admin process list, Job Detail and Chat during periodic/live updates; in the same run attribute unexpected logout across two intended sessions, CDP attachment and normal browser close</t>
  </si>
  <si>
    <t>Job Detail must stay responsive during SmartList refresh; unchanged polls must not mutate rows; only the selected changed rule may reach the detail signal</t>
  </si>
  <si>
    <t>Chat must stay responsive during WebSocket and user-realtime updates; read-only CDP attach creates no server session/context, and browser-close evidence is captured before intentional launcher cleanup</t>
  </si>
  <si>
    <t>USER-AUTHORIZED CDP PASS / CLOSED</t>
  </si>
  <si>
    <t>2026-09-14</t>
  </si>
  <si>
    <t>Real browser CDP: idle/list/detail 30 s each, Chat 45 s; four compiled SmartList method regressions passed; matching Vitest cases authored but not separately run; existing frontend watcher build and sync passed.</t>
  </si>
  <si>
    <t>Closed; next queued Notifications checkpoint is MOBILE-WEBVIEW-LIFECYCLE-001, not started.</t>
  </si>
  <si>
    <t>See guides/qa/diagnostics/UI_POLL_JANK_DIAGNOSIS.md measured closure 2026-09-14. Fixed unchanged-row replacement during reorder and old-object track-key loss. Final recordings: zero main-thread tasks &gt;=50 ms; frame maxima idle/list/detail/chat 16.8/20.9/16.8/42.7 ms, with isolated Chat gap near live arrival. One native Nova send, one live bubble and one persisted message; unsent probe cleared. Read-only CDP attach preserved exactly two Casey sessions, 29 audits and target/context sets. Ordinary Casey B close retained its server slot and valid auth before any cleanup. Nova logout, managed-browser close and guarded fixture reset completed; pre-launch sessions restored, fixture not-staged. Automated evidence, not a new human visual pass or a physical-device/local-adapter run.</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</si>
  <si>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</si>
  <si>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</si>
  <si>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</si>
  <si>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</si>
  <si>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</si>
  <si>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</si>
  <si>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</si>
  <si>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</si>
  <si>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</si>
  <si>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</si>
  <si>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</si>
  <si>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</si>
  <si>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</si>
  <si>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</si>
  <si>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</si>
  <si>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</si>
  <si>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</si>
  <si>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2026-09-16</t>
  </si>
  <si>
    <t>Live delegated HTTP/UI/normal-worker oracles; exact fixture reset; existing backend/frontend hot-deploy builds; guarded no-op HTTP probe; updated unit regression source not separately executed.</t>
  </si>
  <si>
    <t>Closed; next ADMIN-AFFINITY-GRAPH-001 delegated by user. Replay only affected assertions after relevant changes.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</si>
  <si>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 2026-09-15 numbered guide and versioned baseline/capture/reset harness prepared. Baseline staged with no task or parameter mutation; managed Ava Admin startup ready. Initial absent explanation-guide timeout corrected in checkpoint startup configuration. Jobs presentation reused from JOB-MESSAGES; parameter save/history/revert occurs only here, later Parameters uses fixture.; 2026-09-15 Documentation coverage repair against334d4787:20 explicit steps map BASE-MON/MON-011/MON-013/MON-014. Retains per-job run/audit/domain proof and parameter recipient/projection/no-op checks. Reuse named prior job evidence; only missing correlations need scoped fixture-backed execution. Existing startup/capture/reset harness remains prepared; no new execution.; Closure2026-09-16: all20 checks covered, filters8/1/5/1/2, isolated recompute, ten-job assertion mapping with four scoped missing-audit runs, Params300-&gt;301-&gt;300, exact version/telemetry/recipient/queue oracles. Fixed self-notification, duplicate CONFIG key, Firebase=false window gating and active-version no-op. User-requested contextual icon colors use existing palettes. All fixture/session resets verified. Full evidence and qualifications in Monitoring delegated execution and closure section and versioned JSON.</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</si>
  <si>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</si>
  <si>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</si>
  <si>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</si>
  <si>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</si>
  <si>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</si>
  <si>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</si>
  <si>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</si>
  <si>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</si>
  <si>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Delegated native browser actions, exact HTTP/Mongo oracles, normal scheduler, mobile viewport and camera invariance checks, existing frontend hot-deploy; no standalone unit runner.</t>
  </si>
  <si>
    <t>Closed; next ADMIN-PARAMETERS-001 delegated by user. Replay only affected assertions after relevant changes.</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</si>
  <si>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against334d4787:23 explicit steps map overview, component loading, depths1/2/3, weight bounds, controls, isolated members, paging/tiles/neighborhood limits, version/header/stored/reopened counts and current/historical controls. Bell/STAT-020 proof reused only for its exact assertions. No new Graph execution.; 2026-09-16 delegated run: blocks1–3 exercised, exact chain depths1/2/3 and inclusive range passed, unchanged graph-statistics filter and past dates passed. Fixed selection projection reset, small-neighborhood fit and origin-relative layout; user requested compact2–4 member layout. Larger real layout154/1173/23/2 and bounded HTTP pages20+3 passed. Remaining UI paging/distant member and cleanup.; Closure2026-09-16: all23 steps passed with exact Bell/STAT-020 reuse; real layout154/1173/23/2; pages20+3; depth1/2/3 and inclusive0.4 boundaries; zoom7/14/23; camera jump fixed; compact/readable mobile360/390 and unchanged camera on panel overlay; Statistics deltas100/80/20 and restored metrics; exact fixture/session reset, owned users/edges/snapshots0. See evidence/ADMIN-AFFINITY-GRAPH-001-2026-09-16.json and pack Graph closure.</t>
  </si>
  <si>
    <t>P2 52</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</si>
  <si>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</si>
  <si>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</si>
  <si>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</si>
  <si>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</si>
  <si>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</si>
  <si>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</si>
  <si>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</si>
  <si>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</si>
  <si>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</si>
  <si>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Closed. Continue Operator Configuration C01.</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</si>
  <si>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 2026-09-15 stable guide prepared, not executed. Proven Jobs/Bell paths removed from manual sequence and replaced by fixture prerequisites. Parameter save/history/revert is owned once by Monitoring; Parameters retains section-specific consumer/validation checks. Dedicated fixture orchestration deferred per user.; 2026-09-15 Documentation coverage repair against334d4787:25 explicit steps retain all seven consumer branches, six distinct real field saves and per-section version/author/summary/task/outbox/projection checks, bounds/cancel atomicity and restored consumer outputs. Monitoring owns shared History/revert UI once; fixtures replace repeated prerequisites/cleanup and Jobs save. This is user-directed removal of repeated interaction, not proof that untested section effects pass.; 2026-09-16 delegated execution started. Versioned fixture staged15 collection snapshots; block1 seven sections/old-test fields declared. Matching met0.5-&gt;1 saved in visible UI, reopened1, exactlyv5/actor/section and other config sections unchanged. Logical notification sent to Noel, excludes Ava. CONFIG made due through captured fixture command; consumer pending, not PASS.; 2026-09-16 Matching consumer/materialization/Stats and Profile55 exact age deltas verified; config/derived outputs restored, no pending work. Profile actor Ava initially lacked affinity; no delta claim for that actor. See evidence/ADMIN-PARAMETERS-001-2026-09-16.json. Remaining sections not passed.; Events steps9–10 PASS: boosts+6/+1; Explore order defect repaired, API10 sort/view contracts and browser36 paginated rows match; baseline restored. Evidence JSON updated.; Assets11–12 PASS: exact quantity+3/+4, 12-record affinity consumer order, restoration. Paged Explorer ordering is availability/price/policy; no claim of UI relevance mode. Discovery13–14 PASS:25km boundary0.5/0/0, insideedge0.25, layout-1789545171154, restored. Notifications15–17 PASS:2targets multicast at2/direct at3, terminal/no retry; missing fixture activityMembers repaired. No physicalFCM claim. Jobs18–19 PASS: real USER task created08:15:09Z, due+12s, done08:16:00Z, pendingcleared; original profile/config restored. Evidence JSON retained. Closure2026-09-16: all25 steps accounted for with declared reused Monitoring evidence. Bounds0/1000000, strategy defect fixed/live400 without writes, cancel unchanged. Shared app-menu pill verified. Full15-snapshot restoration/comparison completed,0 retained snapshots/pending/owned probes. Unit regression added but not executed separately; watcher/live HTTP proof. See evidence JSON for qualifications.; Discovery menu follow-up PASS: standard shared tinted items, no underline or selected-item clipping, mobile sheet, desktop automatic placement and input-column alignment. Visual fixture reset verified:0 snapshots/pending; configv4.</t>
  </si>
  <si>
    <t>P3 38</t>
  </si>
  <si>
    <t>OPERATOR-CONFIGURATION-LIFECYCLE-001</t>
  </si>
  <si>
    <t>Configuration workspace</t>
  </si>
  <si>
    <t>Save and reopen changed Firebase configuration; test authentication and browser messaging, activate the tested revision, verify entry mode and restore the exact baseline. Reuse completed public/payment and actual Firebase sign-in evidence.</t>
  </si>
  <si>
    <t>DELTA one Firebase configuration revision, matching tested and active revisions</t>
  </si>
  <si>
    <t>CONDITIONAL only for the visible Firebase capability action; managed TLS owned by Update</t>
  </si>
  <si>
    <t>Each save reports one honest result; reopening shows the normalized value; credentials remain masked; Payment and Firebase happy-path checks succeed; public output matches after reload; Firebase login reuses one application identity; final restore returns every block to its baseline</t>
  </si>
  <si>
    <t>Configuration validation, secret masking and Firebase regression coverage; managed HTTPS is owned by Update.</t>
  </si>
  <si>
    <t>Closed. Next: Operator Update on VMware, including managed HTTPS. Stop dev before VMware.</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</si>
  <si>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 2026-09-14: shared real Firebase revision 1 is active; read-only harness confirms Authentication and Messaging tested revision 1. Desktop native notification Allow confirmed by user. Save/Auth API evidence is not manual save/reopen proof. Stable guide: guides/qa/checklists/operator/OPERATOR-CONFIGURATION-LIFECYCLE-001.md. Parent remains partial. User parked broader Operator execution after reviewing the guide; no additional Operator PASS claimed. Shared WebView continuation: ordinary no-change Firebase Save/reopen preserved masked active revision 1. Real Google registration and repeated identity login observed on phone. This is shared partial evidence, not configuration rotation or parent closure.; 2026-09-15 Operator screen-level checklist prepared under checklists/operator; documentation only, no new execution or PASS. Reuse proven downstream product flows via fixtures.; 2026-09-15 English guide mapped against334d4787: C01–C08 retain exact changed-block revisions, normalized public/provider state, masked credentials, real TLS/Firebase capability correlation, one subject/user/profile identity and complete local/external restoration. Matching proven Firebase/WebView/Push prerequisites use fixtures; no-change Save is not changed-save proof. No execution.; 2026-09-16 C01/C02 PASS, native branding revisions0/1/2 with public reload and restoration; C04 configuration save/masking/reopen/removal PASS using local payment simulator, no external charge claim. C03 managed HTTPS unavailable; live Firebase C05/C06 require non-demo capability environment. See dated evidence JSON.; 2026-09-16 User explicitly moved VMware-dependent C03 HTTPS intact to OPERATOR-UPDATE-LIFECYCLE-001 block4/steps12–15. Configuration closure now requires C01–C02,C04–C08; no TLS PASS claimed. Current work C05 preparation, not yet executed.; C01 clarified as previously verified setup/access, not newly executed functional PASS. Stable guide removes repeated C01 login/navigation, C06 registration/return and C07 consumer click sequences; existing owning evidence plus fixture prerequisites replace them. C05 remains unexecuted in this continuation.; Current checklist renumbered after user-directed removal of repeated flows: C01 Firebase (formerly C05), C02 activation (formerly C06), C03 restoration (formerly C08). Historical evidence block labels retain their original meaning. No new functional PASS.; Closure 2026-09-16: renumbered C01–C03 PASS. Native changed Save revision1, masked reopen, real Auth/Message capability tests revision1, activation and public Firebase chooser; retained bootstrap Operator access. Actual Google sign-in/logout/re-login reuses WebView evidence2026-09-14; no new user-login execution claimed. Exact Mongo/runtime restore revision0/inactive, temporary identity/session/device counts0, fresh entry demo chooser, managed browsers closed. See evidence/OPERATOR-CONFIGURATION-LIFECYCLE-001-2026-09-16.json firebaseContinuation.</t>
  </si>
  <si>
    <t>OPERATOR-REGISTRY-LIFECYCLE-001</t>
  </si>
  <si>
    <t>Registration, claim, community and measurement</t>
  </si>
  <si>
    <t>Register one disposable binding, complete claim and community checks, synchronize measurements, then disconnect, reconnect as a new connection and resynchronize retained local data</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</si>
  <si>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</si>
  <si>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</si>
  <si>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</si>
  <si>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</si>
  <si>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membership agrees; exact measurements accepted; disconnect preserves local data/access; a new connection resynchronizes retained sources without duplicates within that connection</t>
  </si>
  <si>
    <t>Registry protocol, token/security, retry/idempotency and measurement failure handling belong to automated coverage; the integrated Operator happy path has not run</t>
  </si>
  <si>
    <t>Closed; next Operator Update prerequisite gate, then Revenue.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</si>
  <si>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 2026-09-15 Operator screen-level checklist prepared under checklists/operator; documentation only, no new execution or PASS. Reuse proven downstream product flows via fixtures.; 2026-09-15 English guide restored to original matrix detail:18 steps include one binding, signed membership, claim/group receipt, honest provider availability, exact accepted measurement totals/receipt, read-only no-duplicates, member/Admin fail-closed access and retained Operator recovery, then exact local/Registry restoration. No execution. | 2026-09-16 block1 PASS: real Java-to-Go registration, signed registration and installation receipt ledger45, reopened without duplicate. Root-owned dev data prerequisite repaired in Compose; fixture workaround removed. False UI success fixed and native error/success replayed. Evidence: guides/qa/evidence/OPERATOR-REGISTRY-LIFECYCLE-001-2026-09-16.json. | 2026-09-16 block2 PASS: pending/approved claim, signed owner membership and UI reopen; ledger45/audit7/review3 stable across final read. Claim controls desktop/mobile verified. | Block3 PASS: six accepted period reports, QMAU5/1/3/0/4/0, receipts46–51; unchanged sources/no duplicates on reopen. User corrected block4: new connection, retained local data/access, resynchronization; earlier full denial/reactivation wording was wrong.; 2026-09-16 block4 PASS: fresh enrollment, signed reactivation without claim restoration, exact six retained report receipts, second distinct signed disconnect/archive, Casey Events and Ava Reports accessible while disconnected. Mobile shared popup fullscreen and native scroll PASS. Paired Go bytes/local state/Mongo/session reset PASS. Targeted replay only; regression test added, not separately run. See evidence/OPERATOR-REGISTRY-LIFECYCLE-001-2026-09-16.json.</t>
  </si>
  <si>
    <t>OPERATOR-UPDATE-LIFECYCLE-001</t>
  </si>
  <si>
    <t>Signed update and managed HTTPS</t>
  </si>
  <si>
    <t>QA1 baseline; verified UI upgrade to QA2; UI rollback to QA1 with GitHub download on cache miss; disabled actions, visible progress, controlled failure/recovery; managed HTTPS and restoration.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</si>
  <si>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</si>
  <si>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</si>
  <si>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 managed HTTPS save/reopen, actual certificate and capability, operation correlation and exact restoration must also pass</t>
  </si>
  <si>
    <t>Signature, corruption, downgrade, rollback and interrupted-worker branches belong to packaging/update automation</t>
  </si>
  <si>
    <t>Closed; final stable GitHub/security/UI smoke/performance campaign tracked separately.</t>
  </si>
  <si>
    <t>Consolidates the normal UI path from OPERATOR-UPDATE-001. Invalid/corrupt/downgrade controls and interruption fault injection are automated checks, not manual Pair-QA branches. Use only the prepared QA target, never the active development checkout.; 2026-09-15 Operator screen-level checklist prepared under checklists/operator; documentation only, no new execution or PASS. Reuse proven downstream product flows via fixtures.; 2026-09-15 English guide restored to original matrix detail:11 steps correlate one verified compatible release, one durable update job, honest progress, controlled restart/reconnect and active installed version; single Apply/reopen must not duplicate work. Disposable QA target and restoration remain required. No execution.; 2026-09-16 User queued Update last and will open VMware; read-only gate:0 running VMs. No update/deployment executed. PRERELEASE_DEPLOYMENT_QUALIFICATION.md retains UI image smoke, security fixtures/probes, measured memory/startup efficiency and prioritized deferred work.; 2026-09-16 User transferred complete Configuration C03 to Update block4/steps12–15. No assertion removed or passed by transfer. Dev must be stopped before VMware because of memory limits. Deployment qualification remains a separate evidence table. 2026-09-16: Preparation only. Localhost80/443 tunnel and trusted HTTPS health verified; installed manifest matches QA2. Both DEBs internally1.0.0, signed manifests/key absent, UI rollback not found. No install/apply/rollback. See OPERATOR-UPDATE-LIFECYCLE-001-2026-09-16.json. QA1 baseline subsequently installed per user request; snapshot complete, root LV18.22GiB, exact QA1 manifest, packaged qualification and trusted HTTPS health PASS. Upgrade/rollback remain NOT RUN. Real Operator bootstrap UI login and Updates popup open verified on QA1. UPDATE-UI-01: truncated action label and oversized empty popup body on narrow viewport; user requested deferred batch repair, no application change. Block1 step2 visible Refresh returned409 before Registry registration. UPDATE-UI-02: raw URL/long error covers icon and current-release label remains after failed lookup; deferred batch repair. Release verification not passed. UPDATE-UI-01/02 subsequently source-fixed with explicit user authorization:22/22 focused HTTP-service tests and ngc PASS; i18n audit blocked by existing landing loading key. Live candidate retest pending; QA1 runtime unchanged.; 2026-09-16 complete current-source QA1 signed/installed, packaged qualification and five retained configuration hashes PASS. Registry-independent GitHub QA2 discovery visible. FAIL: inline list layout hides Refresh/Apply; corrected to row, full QA1 r2 package preparing. No functional Apply or rollback PASS.; 2026-09-16 actual native QA1 r2 to QA2 Apply completed13:57:20Z, job upd_ec17edbf732bdebb08d37b9b3e55dd6a. Installation and Mongo/MinIO/configuration controls PASS; UI restart tracking FAIL. Source fix: all eight new regression cases PASS, focused files45/46 with unrelated old leaderboard-header expectation failure; not deployed. Historical QA2 discovery409 and no UI Rollback. Full row remains IN PROGRESS.; Local signed-source current-code replay: job upd_e706a97a8ab99457775c37903b5cadab completed14:42:46Z. Original popup reached100% without reload; busy and post-success controls PASS. Retained data unchanged; QA2 has exact QA1 recovery action. Independent progress reader requested next: source tests PASS, monitor QA1/QA2 packages preparing; not yet live-qualified.; Monitor r4 native update upd_d1194357f035a4a47afcd280169e1995 completed16:00:12Z; original popup100%,209 monitor responses, exact QA2 image health and preserved data/config PASS. Popup reopen no release request; explicit Check only, Update hidden without newer version. Success rollback control correction and duplicate success notice removal76/76 focused tests PASS; QA2 r5 building, live voluntary rollback pending.; r5 voluntary success rollback/cache-miss PASS. r6 controlled download failure, explicit retry and automatic reload in both update/rollback directions PASS; retained controls unchanged. r7 native schema3-to4 migration PASS with exact predicted hash and Configuration restored. TLS certificate installed/externally verified, but worker runtime0700 denied API reads; source fix and TLS/ownership tests PASS, r8 installation for focused HTTPS recheck underway.; CLOSED: r8 normal signed install and host qualification PASS. Native TLS job tls_95a2fb42967d1ca619fbcc7c2e8220d9 COMPLETED17:11:06Z, API200, saved/reopened manual qa.localhost, private inputs cleared; explicit-CA hostname/certificate verification PASS. TLS and release-source fixtures reset, QA Mongo/MinIO controls removed, original five configuration/key/TLS hashes restored, default source config and all services healthy. No additional rollback replay per user request. Local-source/manual-QA-CA scope; final stable release qualification separate.</t>
  </si>
  <si>
    <t>OPERATOR-REVENUE-LIFECYCLE-001</t>
  </si>
  <si>
    <t>Revenue reporting</t>
  </si>
  <si>
    <t>Open Revenue for one controlled captured/released payment set, synchronize once, inspect totals and one settlement, then reopen the view</t>
  </si>
  <si>
    <t>DELTA exact eligible-provider aggregation by currency and completed period</t>
  </si>
  <si>
    <t>DELTA daily revision-1 reports and signed acceptance receipts</t>
  </si>
  <si>
    <t>X — durable Revenue outbox delivery; no separate Admin Jobs row</t>
  </si>
  <si>
    <t>Eligible payments aggregate once by currency; excluded controls remain unchanged; signed monthly network settlement matches daily reports and local source correlation; reopening preserves results</t>
  </si>
  <si>
    <t>Versioned fixture/oracle and live Java/Go/UI flow PASS; injected failures/requeue not run in this happy-path checkpoint.</t>
  </si>
  <si>
    <t>Closed; next Operator Update on user-opened VMware target.</t>
  </si>
  <si>
    <t>Consolidates the normal UI path from OPERATOR-REVENUE-001 and OPERATOR-REVENUE-003. Injected report failure and requeue behavior remain automated rather than a separate Pair-QA checkpoint.; 2026-09-15 Operator screen-level checklist prepared under checklists/operator; documentation only, no new execution or PASS. Reuse proven downstream product flows via fixtures.; 2026-09-15 English guide restored to original matrix detail:11 steps retain captured totals and authorized-only/released/dummy exclusions, provider/currency/period controls, one synchronization job/report revision/reconciliation, settlement/payment/booking identity and unchanged durable reopen. Payment creation remains fixture setup. No execution.; 2026-09-16 Full-flow PASS: EUR4850/count4, USD4000/count1; one UI sync accepted16 daily revision1 reports with signed receipts; exact exclusions/current-day boundary; signed AugustEUR monthly settlement basis3000/pool150, revision2 after normal eligibility preparation; reopen exact oracle unchanged; paired Go/local/Mongo/session reset PASS. Corrected earlier generated descriptions: no Admin Jobs row or per-booking Registry settlement; identities remain local. Evidence guides/qa/evidence/OPERATOR-REVENUE-LIFECYCLE-001-2026-09-16.json.</t>
  </si>
  <si>
    <t>OPERATOR-EMAIL-WARNING-001</t>
  </si>
  <si>
    <t>Email provider and deletion-warning Job</t>
  </si>
  <si>
    <t>Configure backend-catalog SendGrid with a non-delivering local stub; verify secret handling, fixed five-day warning eligibility, provider failures, repeat-run suppression and restore.</t>
  </si>
  <si>
    <t>DELTA stub request evidence and persisted warning outcomes; no real email delivery</t>
  </si>
  <si>
    <t>DELTA account deletion warning eligibility, suspension, persisted outcome and failure history</t>
  </si>
  <si>
    <t>DELTA Operator email configuration save/reopen, masked credentials, validation and permissions</t>
  </si>
  <si>
    <t>Existing backend/frontend watcher builds PASS. Versioned retry oracle PASS. Latest added standalone provider/worker/job-claim regression tests NOT RUN alongside dev compiler.</t>
  </si>
  <si>
    <t>Closed; fixture/config/jobs restored. Next ADMIN-CLIENT-API-001; Calendar remains last.</t>
  </si>
  <si>
    <t>guides/qa/checklists/operator/OPERATOR-EMAIL-WARNING-001.md; guides/qa/evidence/OPERATOR-EMAIL-WARNING-001-20260923-progress.md. UI save/reload, EN/HU, encrypted secret and 403/400/409 checks PASS; 202, 401, lost response unknown/no duplicate PASS. User retry supplement: initial + 3 durable retries, 503/429 and 5/10/20s dev delays; suspend/restart/resume, hourly-scan independence, success/exhaustion/no fifth call PASS. Email OFF/restored/expired retry guards PASS. No real mail. Cleanup PASS. Unsubscribe/branding supplement PASS: standalone anonymous EN/HU page, compact desktop/mobile button, confirmation/busy/failure/reload/invalid-link; durable suppression of queued retries and fresh normalized-recipient episodes, account-independent opt-out. See guides/qa/evidence/EMAIL-UNSUBSCRIBE-001-20260923.md. Fixture/stub/overrides cleaned. Separate-db isolation and latest Java units NOT RUN.</t>
  </si>
  <si>
    <t>P0 83</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</si>
</sst>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40">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
      <patternFill patternType="solid">
        <fgColor rgb="FFEAF7BE"/>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4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xf numFmtId="164" fontId="0" fillId="39" borderId="0" xfId="0" applyFont="false" applyFill="true" applyBorder="false" applyAlignment="true" applyProtection="false">
      <alignment vertical="top" wrapText="1"/>
    </xf>
    <xf numFmtId="164" fontId="0" fillId="39" borderId="1" xfId="0" applyFont="false" applyFill="true" applyBorder="true" applyAlignment="true" applyProtection="false">
      <alignment vertical="top" wrapText="1"/>
    </xf>
    <xf numFmtId="164" fontId="0" fillId="39" borderId="2" xfId="0" applyFont="false" applyFill="true" applyBorder="true" applyAlignment="true" applyProtection="false">
      <alignment vertical="top" wrapText="1"/>
    </xf>
    <xf numFmtId="164" fontId="0" fillId="39" borderId="9" xfId="0" applyFont="false" applyFill="true" applyBorder="true" applyAlignment="true" applyProtection="false">
      <alignment vertical="top" wrapText="1"/>
    </xf>
    <xf numFmtId="164" fontId="0" fillId="39" borderId="4" xfId="0" applyFont="false" applyFill="true" applyBorder="true" applyAlignment="true" applyProtection="false">
      <alignment vertical="top" wrapText="1"/>
    </xf>
    <xf numFmtId="164" fontId="0" fillId="39" borderId="3" xfId="0" applyFont="false" applyFill="true" applyBorder="true" applyAlignment="true" applyProtection="false">
      <alignment vertical="top" wrapText="1"/>
    </xf>
    <xf numFmtId="164" fontId="0" fillId="39" borderId="7" xfId="0" applyFont="false" applyFill="true" applyBorder="true" applyAlignment="true" applyProtection="false">
      <alignment vertical="top" wrapText="1"/>
    </xf>
    <xf numFmtId="164" fontId="0" fillId="39" borderId="5" xfId="0" applyFont="false" applyFill="true" applyBorder="true" applyAlignment="true" applyProtection="false">
      <alignment vertical="top" wrapText="1"/>
    </xf>
    <xf numFmtId="164" fontId="0" fillId="39"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3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COUNTIF(U17:U135,"Done")&amp;" ("&amp;IF(COUNTA(A17:A135)=0,"0%",TEXT(COUNTIF(U17:U135,"Done")/COUNTA(A17:A135),"0%"))&amp;")"</f>
        <v>117 (98%)</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COUNTIF(U17:U135,"Pending")</f>
        <v>0</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COUNTIF(U17:U135,"Not started")</f>
        <v>2</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12</v>
      </c>
      <c r="B4" s="199" t="s">
        <v>13</v>
      </c>
      <c r="C4" s="146" t="s">
        <v>1</v>
      </c>
      <c r="D4" s="166" t="s">
        <v>14</v>
      </c>
      <c r="E4" s="494">
        <f>COUNTIF(U17:U135,"Failed")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15</v>
      </c>
      <c r="B5" s="210" t="s">
        <v>16</v>
      </c>
      <c r="C5" s="146" t="s">
        <v>1</v>
      </c>
      <c r="D5" s="232" t="s">
        <v>17</v>
      </c>
      <c r="E5" s="513">
        <f>COUNTA(A17:A135)</f>
        <v>119</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19</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20</v>
      </c>
      <c r="B7" s="212" t="s">
        <v>1</v>
      </c>
      <c r="C7" s="212" t="s">
        <v>21</v>
      </c>
      <c r="D7" s="212" t="s">
        <v>22</v>
      </c>
      <c r="E7" s="213" t="s">
        <v>1</v>
      </c>
      <c r="F7" s="211" t="s">
        <v>20</v>
      </c>
      <c r="G7" s="212" t="s">
        <v>1</v>
      </c>
      <c r="H7" s="212" t="s">
        <v>21</v>
      </c>
      <c r="I7" s="212" t="s">
        <v>22</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93" t="s">
        <v>23</v>
      </c>
      <c r="B8" s="254" t="s">
        <v>1</v>
      </c>
      <c r="C8" s="254" t="s">
        <v>24</v>
      </c>
      <c r="D8" s="450" t="str">
        <f>COUNTIFS($C$17:$C$135,A8,$U$17:$U$135,"Done")&amp;" passed / "&amp;COUNTIF($C$17:$C$135,A8)&amp;" total ("&amp;IF(COUNTIF($C$17:$C$135,A8)=0,"0%",TEXT(COUNTIFS($C$17:$C$135,A8,$U$17:$U$135,"Done")/COUNTIF($C$17:$C$135,A8),"0%"))&amp;") · "&amp;SUMIFS($V$17:$V$135,$C$17:$C$135,A8,$U$17:$U$135,"&lt;&gt;Done")&amp;"/"&amp;SUMIFS($W$17:$W$135,$C$17:$C$135,A8,$U$17:$U$135,"&lt;&gt;Done")</f>
        <v>4 passed / 5 total (80%) · 120/290</v>
      </c>
      <c r="E8" s="462" t="s">
        <v>1</v>
      </c>
      <c r="F8" s="333" t="s">
        <v>26</v>
      </c>
      <c r="G8" s="259" t="s">
        <v>1</v>
      </c>
      <c r="H8" s="259" t="s">
        <v>27</v>
      </c>
      <c r="I8" s="135" t="str">
        <f>COUNTIFS($C$17:$C$135,F8,$U$17:$U$135,"Done")&amp;" passed / "&amp;COUNTIF($C$17:$C$135,F8)&amp;" total ("&amp;IF(COUNTIF($C$17:$C$135,F8)=0,"0%",TEXT(COUNTIFS($C$17:$C$135,F8,$U$17:$U$135,"Done")/COUNTIF($C$17:$C$135,F8),"0%"))&amp;") · "&amp;SUMIFS($V$17:$V$135,$C$17:$C$135,F8,$U$17:$U$135,"&lt;&gt;Done")&amp;"/"&amp;SUMIFS($W$17:$W$135,$C$17:$C$135,F8,$U$17:$U$135,"&lt;&gt;Done")</f>
        <v>7 passed / 7 total (100%) · 0/0</v>
      </c>
      <c r="J8" s="151"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77" t="s">
        <v>29</v>
      </c>
      <c r="B9" s="252" t="s">
        <v>1</v>
      </c>
      <c r="C9" s="252" t="s">
        <v>30</v>
      </c>
      <c r="D9" s="135" t="str">
        <f>COUNTIFS($C$17:$C$135,A9,$U$17:$U$135,"Done")&amp;" passed / "&amp;COUNTIF($C$17:$C$135,A9)&amp;" total ("&amp;IF(COUNTIF($C$17:$C$135,A9)=0,"0%",TEXT(COUNTIFS($C$17:$C$135,A9,$U$17:$U$135,"Done")/COUNTIF($C$17:$C$135,A9),"0%"))&amp;") · "&amp;SUMIFS($V$17:$V$135,$C$17:$C$135,A9,$U$17:$U$135,"&lt;&gt;Done")&amp;"/"&amp;SUMIFS($W$17:$W$135,$C$17:$C$135,A9,$U$17:$U$135,"&lt;&gt;Done")</f>
        <v>2 passed / 2 total (100%) · 0/0</v>
      </c>
      <c r="E9" s="151" t="s">
        <v>1</v>
      </c>
      <c r="F9" s="535" t="s">
        <v>32</v>
      </c>
      <c r="G9" s="531" t="s">
        <v>1</v>
      </c>
      <c r="H9" s="531" t="s">
        <v>33</v>
      </c>
      <c r="I9" s="135" t="str">
        <f>COUNTIFS($C$17:$C$135,F9,$U$17:$U$135,"Done")&amp;" passed / "&amp;COUNTIF($C$17:$C$135,F9)&amp;" total ("&amp;IF(COUNTIF($C$17:$C$135,F9)=0,"0%",TEXT(COUNTIFS($C$17:$C$135,F9,$U$17:$U$135,"Done")/COUNTIF($C$17:$C$135,F9),"0%"))&amp;") · "&amp;SUMIFS($V$17:$V$135,$C$17:$C$135,F9,$U$17:$U$135,"&lt;&gt;Done")&amp;"/"&amp;SUMIFS($W$17:$W$135,$C$17:$C$135,F9,$U$17:$U$135,"&lt;&gt;Done")</f>
        <v>2 passed / 2 total (100%) · 0/0</v>
      </c>
      <c r="J9" s="151"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285" t="s">
        <v>34</v>
      </c>
      <c r="B10" s="253" t="s">
        <v>1</v>
      </c>
      <c r="C10" s="253" t="s">
        <v>35</v>
      </c>
      <c r="D10" s="450" t="str">
        <f>COUNTIFS($C$17:$C$135,A10,$U$17:$U$135,"Done")&amp;" passed / "&amp;COUNTIF($C$17:$C$135,A10)&amp;" total ("&amp;IF(COUNTIF($C$17:$C$135,A10)=0,"0%",TEXT(COUNTIFS($C$17:$C$135,A10,$U$17:$U$135,"Done")/COUNTIF($C$17:$C$135,A10),"0%"))&amp;") · "&amp;SUMIFS($V$17:$V$135,$C$17:$C$135,A10,$U$17:$U$135,"&lt;&gt;Done")&amp;"/"&amp;SUMIFS($W$17:$W$135,$C$17:$C$135,A10,$U$17:$U$135,"&lt;&gt;Done")</f>
        <v>8 passed / 9 total (89%) · 120/240</v>
      </c>
      <c r="E10" s="462" t="s">
        <v>1</v>
      </c>
      <c r="F10" s="349" t="s">
        <v>37</v>
      </c>
      <c r="G10" s="261" t="s">
        <v>1</v>
      </c>
      <c r="H10" s="261" t="s">
        <v>38</v>
      </c>
      <c r="I10" s="135" t="str">
        <f>COUNTIFS($C$17:$C$135,F10,$U$17:$U$135,"Done")&amp;" passed / "&amp;COUNTIF($C$17:$C$135,F10)&amp;" total ("&amp;IF(COUNTIF($C$17:$C$135,F10)=0,"0%",TEXT(COUNTIFS($C$17:$C$135,F10,$U$17:$U$135,"Done")/COUNTIF($C$17:$C$135,F10),"0%"))&amp;") · "&amp;SUMIFS($V$17:$V$135,$C$17:$C$135,F10,$U$17:$U$135,"&lt;&gt;Done")&amp;"/"&amp;SUMIFS($W$17:$W$135,$C$17:$C$135,F10,$U$17:$U$135,"&lt;&gt;Done")</f>
        <v>3 passed / 3 total (100%) · 0/0</v>
      </c>
      <c r="J10" s="151"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09" t="s">
        <v>40</v>
      </c>
      <c r="B11" s="256" t="s">
        <v>1</v>
      </c>
      <c r="C11" s="256" t="s">
        <v>41</v>
      </c>
      <c r="D11" s="135" t="str">
        <f>COUNTIFS($C$17:$C$135,A11,$U$17:$U$135,"Done")&amp;" passed / "&amp;COUNTIF($C$17:$C$135,A11)&amp;" total ("&amp;IF(COUNTIF($C$17:$C$135,A11)=0,"0%",TEXT(COUNTIFS($C$17:$C$135,A11,$U$17:$U$135,"Done")/COUNTIF($C$17:$C$135,A11),"0%"))&amp;") · "&amp;SUMIFS($V$17:$V$135,$C$17:$C$135,A11,$U$17:$U$135,"&lt;&gt;Done")&amp;"/"&amp;SUMIFS($W$17:$W$135,$C$17:$C$135,A11,$U$17:$U$135,"&lt;&gt;Done")</f>
        <v>55 passed / 55 total (100%) · 0/0</v>
      </c>
      <c r="E11" s="151" t="s">
        <v>1</v>
      </c>
      <c r="F11" s="301" t="s">
        <v>43</v>
      </c>
      <c r="G11" s="255" t="s">
        <v>1</v>
      </c>
      <c r="H11" s="255" t="s">
        <v>44</v>
      </c>
      <c r="I11" s="135" t="str">
        <f>COUNTIFS($C$17:$C$135,F11,$U$17:$U$135,"Done")&amp;" passed / "&amp;COUNTIF($C$17:$C$135,F11)&amp;" total ("&amp;IF(COUNTIF($C$17:$C$135,F11)=0,"0%",TEXT(COUNTIFS($C$17:$C$135,F11,$U$17:$U$135,"Done")/COUNTIF($C$17:$C$135,F11),"0%"))&amp;") · "&amp;SUMIFS($V$17:$V$135,$C$17:$C$135,F11,$U$17:$U$135,"&lt;&gt;Done")&amp;"/"&amp;SUMIFS($W$17:$W$135,$C$17:$C$135,F11,$U$17:$U$135,"&lt;&gt;Done")</f>
        <v>6 passed / 6 total (100%) · 0/0</v>
      </c>
      <c r="J11" s="151"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17" t="s">
        <v>46</v>
      </c>
      <c r="B12" s="257" t="s">
        <v>1</v>
      </c>
      <c r="C12" s="257" t="s">
        <v>47</v>
      </c>
      <c r="D12" s="135" t="str">
        <f>COUNTIFS($C$17:$C$135,A12,$U$17:$U$135,"Done")&amp;" passed / "&amp;COUNTIF($C$17:$C$135,A12)&amp;" total ("&amp;IF(COUNTIF($C$17:$C$135,A12)=0,"0%",TEXT(COUNTIFS($C$17:$C$135,A12,$U$17:$U$135,"Done")/COUNTIF($C$17:$C$135,A12),"0%"))&amp;") · "&amp;SUMIFS($V$17:$V$135,$C$17:$C$135,A12,$U$17:$U$135,"&lt;&gt;Done")&amp;"/"&amp;SUMIFS($W$17:$W$135,$C$17:$C$135,A12,$U$17:$U$135,"&lt;&gt;Done")</f>
        <v>15 passed / 15 total (100%) · 0/0</v>
      </c>
      <c r="E12" s="151" t="s">
        <v>1</v>
      </c>
      <c r="F12" s="365" t="s">
        <v>49</v>
      </c>
      <c r="G12" s="263" t="s">
        <v>1</v>
      </c>
      <c r="H12" s="263" t="s">
        <v>50</v>
      </c>
      <c r="I12" s="135" t="str">
        <f>COUNTIFS($C$17:$C$135,F12,$U$17:$U$135,"Done")&amp;" passed / "&amp;COUNTIF($C$17:$C$135,F12)&amp;" total ("&amp;IF(COUNTIF($C$17:$C$135,F12)=0,"0%",TEXT(COUNTIFS($C$17:$C$135,F12,$U$17:$U$135,"Done")/COUNTIF($C$17:$C$135,F12),"0%"))&amp;") · "&amp;SUMIFS($V$17:$V$135,$C$17:$C$135,F12,$U$17:$U$135,"&lt;&gt;Done")&amp;"/"&amp;SUMIFS($W$17:$W$135,$C$17:$C$135,F12,$U$17:$U$135,"&lt;&gt;Done")</f>
        <v>4 passed / 4 total (100%) · 0/0</v>
      </c>
      <c r="J12" s="151" t="s">
        <v>1</v>
      </c>
      <c r="K12" s="136" t="s">
        <v>1</v>
      </c>
      <c r="L12" s="136" t="s">
        <v>1</v>
      </c>
      <c r="M12" s="136" t="s">
        <v>1</v>
      </c>
      <c r="N12" s="136" t="s">
        <v>1</v>
      </c>
      <c r="O12" s="136" t="s">
        <v>1</v>
      </c>
      <c r="P12" s="136" t="s">
        <v>1</v>
      </c>
      <c r="Q12" s="136" t="s">
        <v>1</v>
      </c>
      <c r="R12" s="136" t="s">
        <v>1</v>
      </c>
      <c r="S12" s="136" t="s">
        <v>1</v>
      </c>
      <c r="T12" s="136" t="s">
        <v>1</v>
      </c>
    </row>
    <row r="13" customFormat="false" ht="15" hidden="false" customHeight="false" outlineLevel="0" collapsed="false">
      <c r="A13" s="327" t="s">
        <v>52</v>
      </c>
      <c r="B13" s="328" t="s">
        <v>1</v>
      </c>
      <c r="C13" s="328" t="s">
        <v>53</v>
      </c>
      <c r="D13" s="153" t="str">
        <f>COUNTIFS($C$17:$C$135,A13,$U$17:$U$135,"Done")&amp;" passed / "&amp;COUNTIF($C$17:$C$135,A13)&amp;" total ("&amp;IF(COUNTIF($C$17:$C$135,A13)=0,"0%",TEXT(COUNTIFS($C$17:$C$135,A13,$U$17:$U$135,"Done")/COUNTIF($C$17:$C$135,A13),"0%"))&amp;") · "&amp;SUMIFS($V$17:$V$135,$C$17:$C$135,A13,$U$17:$U$135,"&lt;&gt;Done")&amp;"/"&amp;SUMIFS($W$17:$W$135,$C$17:$C$135,A13,$U$17:$U$135,"&lt;&gt;Done")</f>
        <v>6 passed / 6 total (100%) · 0/0</v>
      </c>
      <c r="E13" s="154" t="s">
        <v>1</v>
      </c>
      <c r="F13" s="249" t="s">
        <v>54</v>
      </c>
      <c r="G13" s="250" t="s">
        <v>1</v>
      </c>
      <c r="H13" s="250" t="s">
        <v>55</v>
      </c>
      <c r="I13" s="153" t="str">
        <f>COUNTIFS($C$17:$C$135,F13,$U$17:$U$135,"Done")&amp;" passed / "&amp;COUNTIF($C$17:$C$135,F13)&amp;" total ("&amp;IF(COUNTIF($C$17:$C$135,F13)=0,"0%",TEXT(COUNTIFS($C$17:$C$135,F13,$U$17:$U$135,"Done")/COUNTIF($C$17:$C$135,F13),"0%"))&amp;") · "&amp;SUMIFS($V$17:$V$135,$C$17:$C$135,F13,$U$17:$U$135,"&lt;&gt;Done")&amp;"/"&amp;SUMIFS($W$17:$W$135,$C$17:$C$135,F13,$U$17:$U$135,"&lt;&gt;Done")</f>
        <v>5 passed / 5 total (100%) · 0/0</v>
      </c>
      <c r="J13" s="154" t="s">
        <v>1</v>
      </c>
      <c r="K13" s="136" t="s">
        <v>1</v>
      </c>
      <c r="L13" s="136" t="s">
        <v>1</v>
      </c>
      <c r="M13" s="136" t="s">
        <v>1</v>
      </c>
      <c r="N13" s="136" t="s">
        <v>1</v>
      </c>
      <c r="O13" s="136" t="s">
        <v>1</v>
      </c>
      <c r="P13" s="136" t="s">
        <v>1</v>
      </c>
      <c r="Q13" s="136" t="s">
        <v>1</v>
      </c>
      <c r="R13" s="136" t="s">
        <v>1</v>
      </c>
      <c r="S13" s="136" t="s">
        <v>1</v>
      </c>
      <c r="T13" s="136" t="s">
        <v>1</v>
      </c>
    </row>
    <row r="14" customFormat="false" ht="20" hidden="false" customHeight="true" outlineLevel="0" collapsed="false">
      <c r="A14" s="145" t="s">
        <v>57</v>
      </c>
      <c r="B14" s="145" t="s">
        <v>1</v>
      </c>
      <c r="C14" s="145" t="s">
        <v>1</v>
      </c>
      <c r="D14" s="145" t="s">
        <v>1</v>
      </c>
      <c r="E14" s="145" t="s">
        <v>1</v>
      </c>
      <c r="F14" s="145" t="s">
        <v>1</v>
      </c>
      <c r="G14" s="145" t="s">
        <v>1</v>
      </c>
      <c r="H14" s="145" t="s">
        <v>1</v>
      </c>
      <c r="I14" s="145" t="s">
        <v>1</v>
      </c>
      <c r="J14" s="145" t="s">
        <v>1</v>
      </c>
      <c r="K14" s="145" t="s">
        <v>1</v>
      </c>
      <c r="L14" s="145" t="s">
        <v>1</v>
      </c>
      <c r="M14" s="145" t="s">
        <v>1</v>
      </c>
      <c r="N14" s="145" t="s">
        <v>1</v>
      </c>
      <c r="O14" s="145" t="s">
        <v>1</v>
      </c>
      <c r="P14" s="145" t="s">
        <v>1</v>
      </c>
      <c r="Q14" s="145" t="s">
        <v>1</v>
      </c>
      <c r="R14" s="145" t="s">
        <v>1</v>
      </c>
      <c r="S14" s="145" t="s">
        <v>1</v>
      </c>
      <c r="T14" s="145" t="s">
        <v>1</v>
      </c>
    </row>
    <row r="15" customFormat="false" ht="20" hidden="false" customHeight="true" outlineLevel="0" collapsed="false">
      <c r="A15" s="146" t="s">
        <v>1</v>
      </c>
      <c r="B15" s="146" t="s">
        <v>1</v>
      </c>
      <c r="C15" s="146" t="s">
        <v>1</v>
      </c>
      <c r="D15" s="146" t="s">
        <v>1</v>
      </c>
      <c r="E15" s="146" t="s">
        <v>1</v>
      </c>
      <c r="F15" s="146" t="s">
        <v>1</v>
      </c>
      <c r="G15" s="146" t="s">
        <v>1</v>
      </c>
      <c r="H15" s="146" t="s">
        <v>1</v>
      </c>
      <c r="I15" s="146" t="s">
        <v>1</v>
      </c>
      <c r="J15" s="146" t="s">
        <v>1</v>
      </c>
      <c r="K15" s="146" t="s">
        <v>1</v>
      </c>
      <c r="L15" s="143" t="s">
        <v>58</v>
      </c>
      <c r="M15" s="143" t="s">
        <v>1</v>
      </c>
      <c r="N15" s="146" t="s">
        <v>1</v>
      </c>
      <c r="O15" s="146" t="s">
        <v>1</v>
      </c>
      <c r="P15" s="146" t="s">
        <v>1</v>
      </c>
      <c r="Q15" s="146" t="s">
        <v>1</v>
      </c>
      <c r="R15" s="146" t="s">
        <v>1</v>
      </c>
      <c r="S15" s="146" t="s">
        <v>1</v>
      </c>
      <c r="T15" s="146" t="s">
        <v>1</v>
      </c>
    </row>
    <row r="16" customFormat="false" ht="15" hidden="false" customHeight="false" outlineLevel="0" collapsed="false">
      <c r="A16" s="143" t="s">
        <v>59</v>
      </c>
      <c r="B16" s="143" t="s">
        <v>60</v>
      </c>
      <c r="C16" s="143" t="s">
        <v>20</v>
      </c>
      <c r="D16" s="143" t="s">
        <v>61</v>
      </c>
      <c r="E16" s="143" t="s">
        <v>62</v>
      </c>
      <c r="F16" s="143" t="s">
        <v>63</v>
      </c>
      <c r="G16" s="143" t="s">
        <v>64</v>
      </c>
      <c r="H16" s="143" t="s">
        <v>65</v>
      </c>
      <c r="I16" s="143" t="s">
        <v>66</v>
      </c>
      <c r="J16" s="143" t="s">
        <v>67</v>
      </c>
      <c r="K16" s="143" t="s">
        <v>68</v>
      </c>
      <c r="L16" s="143" t="s">
        <v>69</v>
      </c>
      <c r="M16" s="143" t="s">
        <v>70</v>
      </c>
      <c r="N16" s="143" t="s">
        <v>71</v>
      </c>
      <c r="O16" s="143" t="s">
        <v>72</v>
      </c>
      <c r="P16" s="143" t="s">
        <v>73</v>
      </c>
      <c r="Q16" s="143" t="s">
        <v>74</v>
      </c>
      <c r="R16" s="143" t="s">
        <v>75</v>
      </c>
      <c r="S16" s="143" t="s">
        <v>76</v>
      </c>
      <c r="T16" s="143" t="s">
        <v>77</v>
      </c>
    </row>
    <row r="17" customFormat="false" ht="15" hidden="false" customHeight="false" outlineLevel="0" collapsed="false">
      <c r="A17" s="135" t="s">
        <v>78</v>
      </c>
      <c r="B17" s="135" t="s">
        <v>79</v>
      </c>
      <c r="C17" s="254" t="s">
        <v>23</v>
      </c>
      <c r="D17" s="135" t="s">
        <v>80</v>
      </c>
      <c r="E17" s="135" t="s">
        <v>81</v>
      </c>
      <c r="F17" s="135" t="s">
        <v>4</v>
      </c>
      <c r="G17" s="135" t="s">
        <v>82</v>
      </c>
      <c r="H17" s="135" t="s">
        <v>4</v>
      </c>
      <c r="I17" s="135" t="s">
        <v>4</v>
      </c>
      <c r="J17" s="135" t="s">
        <v>83</v>
      </c>
      <c r="K17" s="135" t="s">
        <v>84</v>
      </c>
      <c r="L17" s="135" t="s">
        <v>85</v>
      </c>
      <c r="M17" s="135" t="s">
        <v>1</v>
      </c>
      <c r="N17" s="135" t="s">
        <v>86</v>
      </c>
      <c r="O17" s="135" t="s">
        <v>87</v>
      </c>
      <c r="P17" s="135" t="s">
        <v>88</v>
      </c>
      <c r="Q17" s="135" t="s">
        <v>85</v>
      </c>
      <c r="R17" s="135" t="s">
        <v>89</v>
      </c>
      <c r="S17" s="135" t="s">
        <v>90</v>
      </c>
      <c r="T17" s="135" t="s">
        <v>1</v>
      </c>
      <c r="U17" s="146" t="str">
        <f>IF(OR(ISNUMBER(SEARCH("FAIL",K17&amp;" "&amp;Q17)),ISNUMBER(SEARCH("CLEAN RETEST REQUIRED",K17&amp;" "&amp;Q17))),"Failed",IF(OR(ISNUMBER(SEARCH("NOT RUN",K17&amp;" "&amp;Q17)),ISNUMBER(SEARCH("NOT IMPLEMENTED",K17&amp;" "&amp;Q17))),"Not started",IF(OR(ISNUMBER(SEARCH("PARTIAL",K17&amp;" "&amp;Q17)),ISNUMBER(SEARCH("PENDING",K17&amp;" "&amp;Q17)),ISNUMBER(SEARCH("IN PROGRESS",K17&amp;" "&amp;Q17)),ISNUMBER(SEARCH("OPEN",K17&amp;" "&amp;Q17)),ISNUMBER(SEARCH("RETEST REQUIRED",K17&amp;" "&amp;Q17)),ISNUMBER(SEARCH("IMPLEMENTATION UPDATED",K17&amp;" "&amp;Q17)),ISNUMBER(SEARCH("REQUIRED EVERY SESSION",K17&amp;" "&amp;Q17))),"Pending",IF(OR(Q17="PASS",ISNUMBER(SEARCH("PASS",K17&amp;" "&amp;Q17))),"Done","Pending"))))</f>
        <v>Done</v>
      </c>
      <c r="V17" s="146">
        <f>IF(T17="","",VALUE(LEFT(T17,SEARCH("/",T17)-1)))</f>
        <v/>
      </c>
      <c r="W17" s="146">
        <f>IF(T17="","",VALUE(MID(T17,SEARCH("/",T17)+1,LEN(T17))))</f>
        <v/>
      </c>
    </row>
    <row r="18" customFormat="false" ht="15" hidden="false" customHeight="false" outlineLevel="0" collapsed="false">
      <c r="A18" s="135" t="s">
        <v>91</v>
      </c>
      <c r="B18" s="135" t="s">
        <v>79</v>
      </c>
      <c r="C18" s="254" t="s">
        <v>23</v>
      </c>
      <c r="D18" s="135" t="s">
        <v>92</v>
      </c>
      <c r="E18" s="135" t="s">
        <v>93</v>
      </c>
      <c r="F18" s="135" t="s">
        <v>4</v>
      </c>
      <c r="G18" s="135" t="s">
        <v>4</v>
      </c>
      <c r="H18" s="135" t="s">
        <v>4</v>
      </c>
      <c r="I18" s="135" t="s">
        <v>4</v>
      </c>
      <c r="J18" s="135" t="s">
        <v>94</v>
      </c>
      <c r="K18" s="135" t="s">
        <v>95</v>
      </c>
      <c r="L18" s="135" t="s">
        <v>85</v>
      </c>
      <c r="M18" s="135" t="s">
        <v>96</v>
      </c>
      <c r="N18" s="135" t="s">
        <v>86</v>
      </c>
      <c r="O18" s="135" t="s">
        <v>97</v>
      </c>
      <c r="P18" s="135" t="s">
        <v>98</v>
      </c>
      <c r="Q18" s="135" t="s">
        <v>85</v>
      </c>
      <c r="R18" s="135" t="s">
        <v>99</v>
      </c>
      <c r="S18" s="135" t="s">
        <v>90</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15" hidden="false" customHeight="false" outlineLevel="0" collapsed="false">
      <c r="A19" s="135" t="s">
        <v>100</v>
      </c>
      <c r="B19" s="135" t="s">
        <v>101</v>
      </c>
      <c r="C19" s="254" t="s">
        <v>23</v>
      </c>
      <c r="D19" s="135" t="s">
        <v>102</v>
      </c>
      <c r="E19" s="135" t="s">
        <v>103</v>
      </c>
      <c r="F19" s="135" t="s">
        <v>4</v>
      </c>
      <c r="G19" s="135" t="s">
        <v>104</v>
      </c>
      <c r="H19" s="135" t="s">
        <v>4</v>
      </c>
      <c r="I19" s="135" t="s">
        <v>4</v>
      </c>
      <c r="J19" s="135" t="s">
        <v>105</v>
      </c>
      <c r="K19" s="135" t="s">
        <v>85</v>
      </c>
      <c r="L19" s="135" t="s">
        <v>85</v>
      </c>
      <c r="M19" s="135" t="s">
        <v>96</v>
      </c>
      <c r="N19" s="135" t="s">
        <v>106</v>
      </c>
      <c r="O19" s="135" t="s">
        <v>107</v>
      </c>
      <c r="P19" s="135" t="s">
        <v>108</v>
      </c>
      <c r="Q19" s="135" t="s">
        <v>85</v>
      </c>
      <c r="R19" s="135" t="s">
        <v>109</v>
      </c>
      <c r="S19" s="135" t="s">
        <v>110</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f>IF(T19="","",VALUE(LEFT(T19,SEARCH("/",T19)-1)))</f>
        <v/>
      </c>
      <c r="W19" s="146">
        <f>IF(T19="","",VALUE(MID(T19,SEARCH("/",T19)+1,LEN(T19))))</f>
        <v/>
      </c>
    </row>
    <row r="20" customFormat="false" ht="15" hidden="false" customHeight="false" outlineLevel="0" collapsed="false">
      <c r="A20" s="135" t="s">
        <v>111</v>
      </c>
      <c r="B20" s="135" t="s">
        <v>101</v>
      </c>
      <c r="C20" s="254" t="s">
        <v>23</v>
      </c>
      <c r="D20" s="135" t="s">
        <v>112</v>
      </c>
      <c r="E20" s="135" t="s">
        <v>113</v>
      </c>
      <c r="F20" s="135" t="s">
        <v>4</v>
      </c>
      <c r="G20" s="135" t="s">
        <v>114</v>
      </c>
      <c r="H20" s="135" t="s">
        <v>4</v>
      </c>
      <c r="I20" s="135" t="s">
        <v>4</v>
      </c>
      <c r="J20" s="135" t="s">
        <v>115</v>
      </c>
      <c r="K20" s="135" t="s">
        <v>85</v>
      </c>
      <c r="L20" s="135" t="s">
        <v>85</v>
      </c>
      <c r="M20" s="135" t="s">
        <v>85</v>
      </c>
      <c r="N20" s="135" t="s">
        <v>116</v>
      </c>
      <c r="O20" s="135" t="s">
        <v>117</v>
      </c>
      <c r="P20" s="135" t="s">
        <v>118</v>
      </c>
      <c r="Q20" s="135" t="s">
        <v>85</v>
      </c>
      <c r="R20" s="135" t="s">
        <v>119</v>
      </c>
      <c r="S20" s="135" t="s">
        <v>120</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f>IF(T20="","",VALUE(LEFT(T20,SEARCH("/",T20)-1)))</f>
        <v/>
      </c>
      <c r="W20" s="146">
        <f>IF(T20="","",VALUE(MID(T20,SEARCH("/",T20)+1,LEN(T20))))</f>
        <v/>
      </c>
    </row>
    <row r="21" customFormat="false" ht="15" hidden="false" customHeight="false" outlineLevel="0" collapsed="false">
      <c r="A21" s="138" t="s">
        <v>121</v>
      </c>
      <c r="B21" s="138" t="s">
        <v>122</v>
      </c>
      <c r="C21" s="254" t="s">
        <v>23</v>
      </c>
      <c r="D21" s="138" t="s">
        <v>123</v>
      </c>
      <c r="E21" s="138" t="s">
        <v>124</v>
      </c>
      <c r="F21" s="138" t="s">
        <v>125</v>
      </c>
      <c r="G21" s="138" t="s">
        <v>126</v>
      </c>
      <c r="H21" s="138" t="s">
        <v>127</v>
      </c>
      <c r="I21" s="138" t="s">
        <v>128</v>
      </c>
      <c r="J21" s="138" t="s">
        <v>129</v>
      </c>
      <c r="K21" s="138" t="s">
        <v>130</v>
      </c>
      <c r="L21" s="138" t="s">
        <v>96</v>
      </c>
      <c r="M21" s="138" t="s">
        <v>131</v>
      </c>
      <c r="N21" s="138" t="s">
        <v>132</v>
      </c>
      <c r="O21" s="138" t="s">
        <v>133</v>
      </c>
      <c r="P21" s="138" t="s">
        <v>134</v>
      </c>
      <c r="Q21" s="138" t="s">
        <v>96</v>
      </c>
      <c r="R21" s="138" t="s">
        <v>135</v>
      </c>
      <c r="S21" s="138" t="s">
        <v>136</v>
      </c>
      <c r="T21" s="138" t="s">
        <v>137</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Not started</v>
      </c>
      <c r="V21" s="146">
        <f>IF(T21="","",VALUE(LEFT(T21,SEARCH("/",T21)-1)))</f>
        <v>120</v>
      </c>
      <c r="W21" s="146">
        <f>IF(T21="","",VALUE(MID(T21,SEARCH("/",T21)+1,LEN(T21))))</f>
        <v>290</v>
      </c>
    </row>
    <row r="22" customFormat="false" ht="15" hidden="false" customHeight="false" outlineLevel="0" collapsed="false">
      <c r="A22" s="135" t="s">
        <v>138</v>
      </c>
      <c r="B22" s="135" t="s">
        <v>139</v>
      </c>
      <c r="C22" s="252" t="s">
        <v>29</v>
      </c>
      <c r="D22" s="135" t="s">
        <v>140</v>
      </c>
      <c r="E22" s="135" t="s">
        <v>141</v>
      </c>
      <c r="F22" s="135" t="s">
        <v>142</v>
      </c>
      <c r="G22" s="135" t="s">
        <v>143</v>
      </c>
      <c r="H22" s="135" t="s">
        <v>144</v>
      </c>
      <c r="I22" s="135" t="s">
        <v>145</v>
      </c>
      <c r="J22" s="135" t="s">
        <v>146</v>
      </c>
      <c r="K22" s="135" t="s">
        <v>147</v>
      </c>
      <c r="L22" s="135" t="s">
        <v>1</v>
      </c>
      <c r="M22" s="135" t="s">
        <v>1</v>
      </c>
      <c r="N22" s="135" t="s">
        <v>148</v>
      </c>
      <c r="O22" s="135" t="s">
        <v>149</v>
      </c>
      <c r="P22" s="135" t="s">
        <v>150</v>
      </c>
      <c r="Q22" s="135" t="s">
        <v>85</v>
      </c>
      <c r="R22" s="135" t="s">
        <v>151</v>
      </c>
      <c r="S22" s="135" t="s">
        <v>90</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15" hidden="false" customHeight="false" outlineLevel="0" collapsed="false">
      <c r="A23" s="135" t="s">
        <v>152</v>
      </c>
      <c r="B23" s="135" t="s">
        <v>153</v>
      </c>
      <c r="C23" s="252" t="s">
        <v>29</v>
      </c>
      <c r="D23" s="135" t="s">
        <v>154</v>
      </c>
      <c r="E23" s="135" t="s">
        <v>155</v>
      </c>
      <c r="F23" s="135" t="s">
        <v>4</v>
      </c>
      <c r="G23" s="135" t="s">
        <v>4</v>
      </c>
      <c r="H23" s="135" t="s">
        <v>4</v>
      </c>
      <c r="I23" s="135" t="s">
        <v>4</v>
      </c>
      <c r="J23" s="135" t="s">
        <v>156</v>
      </c>
      <c r="K23" s="135" t="s">
        <v>147</v>
      </c>
      <c r="L23" s="135" t="s">
        <v>1</v>
      </c>
      <c r="M23" s="135" t="s">
        <v>1</v>
      </c>
      <c r="N23" s="135" t="s">
        <v>148</v>
      </c>
      <c r="O23" s="135" t="s">
        <v>157</v>
      </c>
      <c r="P23" s="135" t="s">
        <v>158</v>
      </c>
      <c r="Q23" s="135" t="s">
        <v>85</v>
      </c>
      <c r="R23" s="135" t="s">
        <v>159</v>
      </c>
      <c r="S23" s="135" t="s">
        <v>160</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15" hidden="false" customHeight="false" outlineLevel="0" collapsed="false">
      <c r="A24" s="135" t="s">
        <v>161</v>
      </c>
      <c r="B24" s="135" t="s">
        <v>162</v>
      </c>
      <c r="C24" s="253" t="s">
        <v>34</v>
      </c>
      <c r="D24" s="135" t="s">
        <v>163</v>
      </c>
      <c r="E24" s="135" t="s">
        <v>164</v>
      </c>
      <c r="F24" s="135" t="s">
        <v>165</v>
      </c>
      <c r="G24" s="135" t="s">
        <v>166</v>
      </c>
      <c r="H24" s="135" t="s">
        <v>167</v>
      </c>
      <c r="I24" s="135" t="s">
        <v>4</v>
      </c>
      <c r="J24" s="135" t="s">
        <v>168</v>
      </c>
      <c r="K24" s="135" t="s">
        <v>169</v>
      </c>
      <c r="L24" s="135" t="s">
        <v>1</v>
      </c>
      <c r="M24" s="135" t="s">
        <v>1</v>
      </c>
      <c r="N24" s="135" t="s">
        <v>170</v>
      </c>
      <c r="O24" s="135" t="s">
        <v>171</v>
      </c>
      <c r="P24" s="135" t="s">
        <v>172</v>
      </c>
      <c r="Q24" s="135" t="s">
        <v>85</v>
      </c>
      <c r="R24" s="135" t="s">
        <v>173</v>
      </c>
      <c r="S24" s="135" t="s">
        <v>174</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15" hidden="false" customHeight="false" outlineLevel="0" collapsed="false">
      <c r="A25" s="135" t="s">
        <v>175</v>
      </c>
      <c r="B25" s="135" t="s">
        <v>162</v>
      </c>
      <c r="C25" s="253" t="s">
        <v>34</v>
      </c>
      <c r="D25" s="135" t="s">
        <v>176</v>
      </c>
      <c r="E25" s="135" t="s">
        <v>177</v>
      </c>
      <c r="F25" s="135" t="s">
        <v>4</v>
      </c>
      <c r="G25" s="135" t="s">
        <v>178</v>
      </c>
      <c r="H25" s="135" t="s">
        <v>4</v>
      </c>
      <c r="I25" s="135" t="s">
        <v>4</v>
      </c>
      <c r="J25" s="135" t="s">
        <v>179</v>
      </c>
      <c r="K25" s="135" t="s">
        <v>169</v>
      </c>
      <c r="L25" s="135" t="s">
        <v>1</v>
      </c>
      <c r="M25" s="135" t="s">
        <v>1</v>
      </c>
      <c r="N25" s="135" t="s">
        <v>170</v>
      </c>
      <c r="O25" s="135" t="s">
        <v>180</v>
      </c>
      <c r="P25" s="135" t="s">
        <v>181</v>
      </c>
      <c r="Q25" s="135" t="s">
        <v>85</v>
      </c>
      <c r="R25" s="135" t="s">
        <v>182</v>
      </c>
      <c r="S25" s="135" t="s">
        <v>90</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15" hidden="false" customHeight="false" outlineLevel="0" collapsed="false">
      <c r="A26" s="135" t="s">
        <v>183</v>
      </c>
      <c r="B26" s="135" t="s">
        <v>162</v>
      </c>
      <c r="C26" s="253" t="s">
        <v>34</v>
      </c>
      <c r="D26" s="135" t="s">
        <v>176</v>
      </c>
      <c r="E26" s="135" t="s">
        <v>184</v>
      </c>
      <c r="F26" s="135" t="s">
        <v>4</v>
      </c>
      <c r="G26" s="135" t="s">
        <v>185</v>
      </c>
      <c r="H26" s="135" t="s">
        <v>4</v>
      </c>
      <c r="I26" s="135" t="s">
        <v>4</v>
      </c>
      <c r="J26" s="135" t="s">
        <v>186</v>
      </c>
      <c r="K26" s="135" t="s">
        <v>169</v>
      </c>
      <c r="L26" s="135" t="s">
        <v>1</v>
      </c>
      <c r="M26" s="135" t="s">
        <v>1</v>
      </c>
      <c r="N26" s="135" t="s">
        <v>170</v>
      </c>
      <c r="O26" s="135" t="s">
        <v>187</v>
      </c>
      <c r="P26" s="135" t="s">
        <v>188</v>
      </c>
      <c r="Q26" s="135" t="s">
        <v>85</v>
      </c>
      <c r="R26" s="135" t="s">
        <v>189</v>
      </c>
      <c r="S26" s="135" t="s">
        <v>90</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15" hidden="false" customHeight="false" outlineLevel="0" collapsed="false">
      <c r="A27" s="135" t="s">
        <v>190</v>
      </c>
      <c r="B27" s="135" t="s">
        <v>162</v>
      </c>
      <c r="C27" s="253" t="s">
        <v>34</v>
      </c>
      <c r="D27" s="135" t="s">
        <v>176</v>
      </c>
      <c r="E27" s="135" t="s">
        <v>191</v>
      </c>
      <c r="F27" s="135" t="s">
        <v>4</v>
      </c>
      <c r="G27" s="135" t="s">
        <v>192</v>
      </c>
      <c r="H27" s="135" t="s">
        <v>4</v>
      </c>
      <c r="I27" s="135" t="s">
        <v>4</v>
      </c>
      <c r="J27" s="135" t="s">
        <v>193</v>
      </c>
      <c r="K27" s="135" t="s">
        <v>147</v>
      </c>
      <c r="L27" s="135" t="s">
        <v>1</v>
      </c>
      <c r="M27" s="135" t="s">
        <v>1</v>
      </c>
      <c r="N27" s="135" t="s">
        <v>170</v>
      </c>
      <c r="O27" s="135" t="s">
        <v>194</v>
      </c>
      <c r="P27" s="135" t="s">
        <v>195</v>
      </c>
      <c r="Q27" s="135" t="s">
        <v>85</v>
      </c>
      <c r="R27" s="135" t="s">
        <v>196</v>
      </c>
      <c r="S27" s="135" t="s">
        <v>90</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15" hidden="false" customHeight="false" outlineLevel="0" collapsed="false">
      <c r="A28" s="135" t="s">
        <v>197</v>
      </c>
      <c r="B28" s="135" t="s">
        <v>198</v>
      </c>
      <c r="C28" s="253" t="s">
        <v>34</v>
      </c>
      <c r="D28" s="135" t="s">
        <v>199</v>
      </c>
      <c r="E28" s="135" t="s">
        <v>200</v>
      </c>
      <c r="F28" s="135" t="s">
        <v>201</v>
      </c>
      <c r="G28" s="135" t="s">
        <v>202</v>
      </c>
      <c r="H28" s="135" t="s">
        <v>4</v>
      </c>
      <c r="I28" s="135" t="s">
        <v>4</v>
      </c>
      <c r="J28" s="135" t="s">
        <v>203</v>
      </c>
      <c r="K28" s="135" t="s">
        <v>147</v>
      </c>
      <c r="L28" s="135" t="s">
        <v>1</v>
      </c>
      <c r="M28" s="135" t="s">
        <v>1</v>
      </c>
      <c r="N28" s="135" t="s">
        <v>204</v>
      </c>
      <c r="O28" s="135" t="s">
        <v>205</v>
      </c>
      <c r="P28" s="135" t="s">
        <v>206</v>
      </c>
      <c r="Q28" s="135" t="s">
        <v>85</v>
      </c>
      <c r="R28" s="135" t="s">
        <v>207</v>
      </c>
      <c r="S28" s="135" t="s">
        <v>90</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15" hidden="false" customHeight="false" outlineLevel="0" collapsed="false">
      <c r="A29" s="135" t="s">
        <v>208</v>
      </c>
      <c r="B29" s="135" t="s">
        <v>198</v>
      </c>
      <c r="C29" s="253" t="s">
        <v>34</v>
      </c>
      <c r="D29" s="135" t="s">
        <v>209</v>
      </c>
      <c r="E29" s="135" t="s">
        <v>210</v>
      </c>
      <c r="F29" s="135" t="s">
        <v>4</v>
      </c>
      <c r="G29" s="135" t="s">
        <v>211</v>
      </c>
      <c r="H29" s="135" t="s">
        <v>4</v>
      </c>
      <c r="I29" s="135" t="s">
        <v>4</v>
      </c>
      <c r="J29" s="135" t="s">
        <v>212</v>
      </c>
      <c r="K29" s="135" t="s">
        <v>147</v>
      </c>
      <c r="L29" s="135" t="s">
        <v>1</v>
      </c>
      <c r="M29" s="135" t="s">
        <v>1</v>
      </c>
      <c r="N29" s="135" t="s">
        <v>213</v>
      </c>
      <c r="O29" s="135" t="s">
        <v>214</v>
      </c>
      <c r="P29" s="135" t="s">
        <v>215</v>
      </c>
      <c r="Q29" s="135" t="s">
        <v>85</v>
      </c>
      <c r="R29" s="135" t="s">
        <v>216</v>
      </c>
      <c r="S29" s="135" t="s">
        <v>90</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217</v>
      </c>
      <c r="B30" s="135" t="s">
        <v>218</v>
      </c>
      <c r="C30" s="253" t="s">
        <v>34</v>
      </c>
      <c r="D30" s="135" t="s">
        <v>219</v>
      </c>
      <c r="E30" s="135" t="s">
        <v>220</v>
      </c>
      <c r="F30" s="135" t="s">
        <v>221</v>
      </c>
      <c r="G30" s="135" t="s">
        <v>222</v>
      </c>
      <c r="H30" s="135" t="s">
        <v>4</v>
      </c>
      <c r="I30" s="135" t="s">
        <v>223</v>
      </c>
      <c r="J30" s="135" t="s">
        <v>224</v>
      </c>
      <c r="K30" s="135" t="s">
        <v>225</v>
      </c>
      <c r="L30" s="135" t="s">
        <v>1</v>
      </c>
      <c r="M30" s="135" t="s">
        <v>1</v>
      </c>
      <c r="N30" s="135" t="s">
        <v>226</v>
      </c>
      <c r="O30" s="135" t="s">
        <v>227</v>
      </c>
      <c r="P30" s="135" t="s">
        <v>228</v>
      </c>
      <c r="Q30" s="135" t="s">
        <v>85</v>
      </c>
      <c r="R30" s="135" t="s">
        <v>229</v>
      </c>
      <c r="S30" s="135" t="s">
        <v>230</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231</v>
      </c>
      <c r="B31" s="135" t="s">
        <v>232</v>
      </c>
      <c r="C31" s="253" t="s">
        <v>34</v>
      </c>
      <c r="D31" s="135" t="s">
        <v>233</v>
      </c>
      <c r="E31" s="135" t="s">
        <v>234</v>
      </c>
      <c r="F31" s="135" t="s">
        <v>235</v>
      </c>
      <c r="G31" s="135" t="s">
        <v>236</v>
      </c>
      <c r="H31" s="135" t="s">
        <v>237</v>
      </c>
      <c r="I31" s="135" t="s">
        <v>8</v>
      </c>
      <c r="J31" s="135" t="s">
        <v>238</v>
      </c>
      <c r="K31" s="135" t="s">
        <v>225</v>
      </c>
      <c r="L31" s="135" t="s">
        <v>1</v>
      </c>
      <c r="M31" s="135" t="s">
        <v>1</v>
      </c>
      <c r="N31" s="135" t="s">
        <v>226</v>
      </c>
      <c r="O31" s="135" t="s">
        <v>239</v>
      </c>
      <c r="P31" s="135" t="s">
        <v>240</v>
      </c>
      <c r="Q31" s="135" t="s">
        <v>85</v>
      </c>
      <c r="R31" s="135" t="s">
        <v>241</v>
      </c>
      <c r="S31" s="135" t="s">
        <v>174</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8" t="s">
        <v>242</v>
      </c>
      <c r="B32" s="138" t="s">
        <v>243</v>
      </c>
      <c r="C32" s="253" t="s">
        <v>34</v>
      </c>
      <c r="D32" s="138" t="s">
        <v>244</v>
      </c>
      <c r="E32" s="138" t="s">
        <v>245</v>
      </c>
      <c r="F32" s="138" t="s">
        <v>4</v>
      </c>
      <c r="G32" s="138" t="s">
        <v>246</v>
      </c>
      <c r="H32" s="138" t="s">
        <v>4</v>
      </c>
      <c r="I32" s="138" t="s">
        <v>4</v>
      </c>
      <c r="J32" s="138" t="s">
        <v>247</v>
      </c>
      <c r="K32" s="138" t="s">
        <v>248</v>
      </c>
      <c r="L32" s="138" t="s">
        <v>96</v>
      </c>
      <c r="M32" s="138" t="s">
        <v>249</v>
      </c>
      <c r="N32" s="138" t="s">
        <v>250</v>
      </c>
      <c r="O32" s="138" t="s">
        <v>251</v>
      </c>
      <c r="P32" s="138" t="s">
        <v>252</v>
      </c>
      <c r="Q32" s="138" t="s">
        <v>96</v>
      </c>
      <c r="R32" s="138" t="s">
        <v>253</v>
      </c>
      <c r="S32" s="138" t="s">
        <v>254</v>
      </c>
      <c r="T32" s="138" t="s">
        <v>255</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Not started</v>
      </c>
      <c r="V32" s="146">
        <f>IF(T32="","",VALUE(LEFT(T32,SEARCH("/",T32)-1)))</f>
        <v>120</v>
      </c>
      <c r="W32" s="146">
        <f>IF(T32="","",VALUE(MID(T32,SEARCH("/",T32)+1,LEN(T32))))</f>
        <v>240</v>
      </c>
    </row>
    <row r="33" customFormat="false" ht="15" hidden="false" customHeight="false" outlineLevel="0" collapsed="false">
      <c r="A33" s="135" t="s">
        <v>256</v>
      </c>
      <c r="B33" s="135" t="s">
        <v>79</v>
      </c>
      <c r="C33" s="256" t="s">
        <v>40</v>
      </c>
      <c r="D33" s="135" t="s">
        <v>257</v>
      </c>
      <c r="E33" s="135" t="s">
        <v>258</v>
      </c>
      <c r="F33" s="135" t="s">
        <v>4</v>
      </c>
      <c r="G33" s="135" t="s">
        <v>4</v>
      </c>
      <c r="H33" s="135" t="s">
        <v>4</v>
      </c>
      <c r="I33" s="135" t="s">
        <v>4</v>
      </c>
      <c r="J33" s="135" t="s">
        <v>259</v>
      </c>
      <c r="K33" s="135" t="s">
        <v>95</v>
      </c>
      <c r="L33" s="135" t="s">
        <v>85</v>
      </c>
      <c r="M33" s="135" t="s">
        <v>260</v>
      </c>
      <c r="N33" s="135" t="s">
        <v>86</v>
      </c>
      <c r="O33" s="135" t="s">
        <v>261</v>
      </c>
      <c r="P33" s="135" t="s">
        <v>262</v>
      </c>
      <c r="Q33" s="135" t="s">
        <v>85</v>
      </c>
      <c r="R33" s="135" t="s">
        <v>263</v>
      </c>
      <c r="S33" s="135" t="s">
        <v>90</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264</v>
      </c>
      <c r="B34" s="135" t="s">
        <v>79</v>
      </c>
      <c r="C34" s="256" t="s">
        <v>40</v>
      </c>
      <c r="D34" s="135" t="s">
        <v>265</v>
      </c>
      <c r="E34" s="135" t="s">
        <v>266</v>
      </c>
      <c r="F34" s="135" t="s">
        <v>4</v>
      </c>
      <c r="G34" s="135" t="s">
        <v>4</v>
      </c>
      <c r="H34" s="135" t="s">
        <v>4</v>
      </c>
      <c r="I34" s="135" t="s">
        <v>4</v>
      </c>
      <c r="J34" s="135" t="s">
        <v>259</v>
      </c>
      <c r="K34" s="135" t="s">
        <v>95</v>
      </c>
      <c r="L34" s="135" t="s">
        <v>85</v>
      </c>
      <c r="M34" s="135" t="s">
        <v>260</v>
      </c>
      <c r="N34" s="135" t="s">
        <v>86</v>
      </c>
      <c r="O34" s="135" t="s">
        <v>267</v>
      </c>
      <c r="P34" s="135" t="s">
        <v>268</v>
      </c>
      <c r="Q34" s="135" t="s">
        <v>85</v>
      </c>
      <c r="R34" s="135" t="s">
        <v>269</v>
      </c>
      <c r="S34" s="135" t="s">
        <v>90</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270</v>
      </c>
      <c r="B35" s="135" t="s">
        <v>271</v>
      </c>
      <c r="C35" s="256" t="s">
        <v>40</v>
      </c>
      <c r="D35" s="135" t="s">
        <v>272</v>
      </c>
      <c r="E35" s="135" t="s">
        <v>273</v>
      </c>
      <c r="F35" s="135" t="s">
        <v>4</v>
      </c>
      <c r="G35" s="135" t="s">
        <v>274</v>
      </c>
      <c r="H35" s="135" t="s">
        <v>275</v>
      </c>
      <c r="I35" s="135" t="s">
        <v>276</v>
      </c>
      <c r="J35" s="135" t="s">
        <v>277</v>
      </c>
      <c r="K35" s="135" t="s">
        <v>278</v>
      </c>
      <c r="L35" s="135" t="s">
        <v>85</v>
      </c>
      <c r="M35" s="135" t="s">
        <v>279</v>
      </c>
      <c r="N35" s="135" t="s">
        <v>86</v>
      </c>
      <c r="O35" s="135" t="s">
        <v>280</v>
      </c>
      <c r="P35" s="135" t="s">
        <v>281</v>
      </c>
      <c r="Q35" s="135" t="s">
        <v>85</v>
      </c>
      <c r="R35" s="135" t="s">
        <v>282</v>
      </c>
      <c r="S35" s="135" t="s">
        <v>174</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283</v>
      </c>
      <c r="B36" s="135" t="s">
        <v>284</v>
      </c>
      <c r="C36" s="256" t="s">
        <v>40</v>
      </c>
      <c r="D36" s="135" t="s">
        <v>285</v>
      </c>
      <c r="E36" s="135" t="s">
        <v>286</v>
      </c>
      <c r="F36" s="135" t="s">
        <v>287</v>
      </c>
      <c r="G36" s="135" t="s">
        <v>288</v>
      </c>
      <c r="H36" s="135" t="s">
        <v>289</v>
      </c>
      <c r="I36" s="135" t="s">
        <v>290</v>
      </c>
      <c r="J36" s="135" t="s">
        <v>291</v>
      </c>
      <c r="K36" s="135" t="s">
        <v>292</v>
      </c>
      <c r="L36" s="135" t="s">
        <v>293</v>
      </c>
      <c r="M36" s="135" t="s">
        <v>96</v>
      </c>
      <c r="N36" s="135" t="s">
        <v>86</v>
      </c>
      <c r="O36" s="135" t="s">
        <v>294</v>
      </c>
      <c r="P36" s="135" t="s">
        <v>295</v>
      </c>
      <c r="Q36" s="135" t="s">
        <v>85</v>
      </c>
      <c r="R36" s="135" t="s">
        <v>296</v>
      </c>
      <c r="S36" s="135" t="s">
        <v>297</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298</v>
      </c>
      <c r="B37" s="135" t="s">
        <v>299</v>
      </c>
      <c r="C37" s="256" t="s">
        <v>40</v>
      </c>
      <c r="D37" s="135" t="s">
        <v>300</v>
      </c>
      <c r="E37" s="135" t="s">
        <v>301</v>
      </c>
      <c r="F37" s="135" t="s">
        <v>302</v>
      </c>
      <c r="G37" s="135" t="s">
        <v>303</v>
      </c>
      <c r="H37" s="135" t="s">
        <v>304</v>
      </c>
      <c r="I37" s="135" t="s">
        <v>305</v>
      </c>
      <c r="J37" s="135" t="s">
        <v>306</v>
      </c>
      <c r="K37" s="135" t="s">
        <v>307</v>
      </c>
      <c r="L37" s="135" t="s">
        <v>1</v>
      </c>
      <c r="M37" s="135" t="s">
        <v>1</v>
      </c>
      <c r="N37" s="135" t="s">
        <v>308</v>
      </c>
      <c r="O37" s="135" t="s">
        <v>309</v>
      </c>
      <c r="P37" s="135" t="s">
        <v>310</v>
      </c>
      <c r="Q37" s="135" t="s">
        <v>85</v>
      </c>
      <c r="R37" s="135" t="s">
        <v>311</v>
      </c>
      <c r="S37" s="135" t="s">
        <v>160</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5" hidden="false" customHeight="false" outlineLevel="0" collapsed="false">
      <c r="A38" s="135" t="s">
        <v>312</v>
      </c>
      <c r="B38" s="135" t="s">
        <v>313</v>
      </c>
      <c r="C38" s="256" t="s">
        <v>40</v>
      </c>
      <c r="D38" s="135" t="s">
        <v>314</v>
      </c>
      <c r="E38" s="135" t="s">
        <v>315</v>
      </c>
      <c r="F38" s="135" t="s">
        <v>316</v>
      </c>
      <c r="G38" s="135" t="s">
        <v>317</v>
      </c>
      <c r="H38" s="135" t="s">
        <v>318</v>
      </c>
      <c r="I38" s="135" t="s">
        <v>319</v>
      </c>
      <c r="J38" s="135" t="s">
        <v>320</v>
      </c>
      <c r="K38" s="135" t="s">
        <v>307</v>
      </c>
      <c r="L38" s="135" t="s">
        <v>1</v>
      </c>
      <c r="M38" s="135" t="s">
        <v>1</v>
      </c>
      <c r="N38" s="135" t="s">
        <v>308</v>
      </c>
      <c r="O38" s="135" t="s">
        <v>321</v>
      </c>
      <c r="P38" s="135" t="s">
        <v>322</v>
      </c>
      <c r="Q38" s="135" t="s">
        <v>85</v>
      </c>
      <c r="R38" s="135" t="s">
        <v>323</v>
      </c>
      <c r="S38" s="135" t="s">
        <v>174</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5" hidden="false" customHeight="false" outlineLevel="0" collapsed="false">
      <c r="A39" s="135" t="s">
        <v>324</v>
      </c>
      <c r="B39" s="135" t="s">
        <v>299</v>
      </c>
      <c r="C39" s="256" t="s">
        <v>40</v>
      </c>
      <c r="D39" s="135" t="s">
        <v>300</v>
      </c>
      <c r="E39" s="135" t="s">
        <v>325</v>
      </c>
      <c r="F39" s="135" t="s">
        <v>326</v>
      </c>
      <c r="G39" s="135" t="s">
        <v>327</v>
      </c>
      <c r="H39" s="135" t="s">
        <v>304</v>
      </c>
      <c r="I39" s="135" t="s">
        <v>328</v>
      </c>
      <c r="J39" s="135" t="s">
        <v>329</v>
      </c>
      <c r="K39" s="135" t="s">
        <v>307</v>
      </c>
      <c r="L39" s="135" t="s">
        <v>1</v>
      </c>
      <c r="M39" s="135" t="s">
        <v>1</v>
      </c>
      <c r="N39" s="135" t="s">
        <v>308</v>
      </c>
      <c r="O39" s="135" t="s">
        <v>330</v>
      </c>
      <c r="P39" s="135" t="s">
        <v>331</v>
      </c>
      <c r="Q39" s="135" t="s">
        <v>85</v>
      </c>
      <c r="R39" s="135" t="s">
        <v>332</v>
      </c>
      <c r="S39" s="135" t="s">
        <v>333</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5" hidden="false" customHeight="false" outlineLevel="0" collapsed="false">
      <c r="A40" s="135" t="s">
        <v>334</v>
      </c>
      <c r="B40" s="135" t="s">
        <v>335</v>
      </c>
      <c r="C40" s="256" t="s">
        <v>40</v>
      </c>
      <c r="D40" s="135" t="s">
        <v>336</v>
      </c>
      <c r="E40" s="135" t="s">
        <v>337</v>
      </c>
      <c r="F40" s="135" t="s">
        <v>4</v>
      </c>
      <c r="G40" s="135" t="s">
        <v>338</v>
      </c>
      <c r="H40" s="135" t="s">
        <v>4</v>
      </c>
      <c r="I40" s="135" t="s">
        <v>339</v>
      </c>
      <c r="J40" s="135" t="s">
        <v>340</v>
      </c>
      <c r="K40" s="135" t="s">
        <v>147</v>
      </c>
      <c r="L40" s="135" t="s">
        <v>1</v>
      </c>
      <c r="M40" s="135" t="s">
        <v>1</v>
      </c>
      <c r="N40" s="135" t="s">
        <v>170</v>
      </c>
      <c r="O40" s="135" t="s">
        <v>341</v>
      </c>
      <c r="P40" s="135" t="s">
        <v>342</v>
      </c>
      <c r="Q40" s="135" t="s">
        <v>85</v>
      </c>
      <c r="R40" s="135" t="s">
        <v>343</v>
      </c>
      <c r="S40" s="135" t="s">
        <v>344</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15" hidden="false" customHeight="false" outlineLevel="0" collapsed="false">
      <c r="A41" s="135" t="s">
        <v>345</v>
      </c>
      <c r="B41" s="135" t="s">
        <v>346</v>
      </c>
      <c r="C41" s="256" t="s">
        <v>40</v>
      </c>
      <c r="D41" s="135" t="s">
        <v>347</v>
      </c>
      <c r="E41" s="135" t="s">
        <v>348</v>
      </c>
      <c r="F41" s="135" t="s">
        <v>326</v>
      </c>
      <c r="G41" s="135" t="s">
        <v>349</v>
      </c>
      <c r="H41" s="135" t="s">
        <v>4</v>
      </c>
      <c r="I41" s="135" t="s">
        <v>350</v>
      </c>
      <c r="J41" s="135" t="s">
        <v>351</v>
      </c>
      <c r="K41" s="135" t="s">
        <v>352</v>
      </c>
      <c r="L41" s="135" t="s">
        <v>1</v>
      </c>
      <c r="M41" s="135" t="s">
        <v>1</v>
      </c>
      <c r="N41" s="135" t="s">
        <v>170</v>
      </c>
      <c r="O41" s="135" t="s">
        <v>353</v>
      </c>
      <c r="P41" s="135" t="s">
        <v>354</v>
      </c>
      <c r="Q41" s="135" t="s">
        <v>85</v>
      </c>
      <c r="R41" s="135" t="s">
        <v>355</v>
      </c>
      <c r="S41" s="135" t="s">
        <v>90</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15" hidden="false" customHeight="false" outlineLevel="0" collapsed="false">
      <c r="A42" s="135" t="s">
        <v>356</v>
      </c>
      <c r="B42" s="135" t="s">
        <v>299</v>
      </c>
      <c r="C42" s="256" t="s">
        <v>40</v>
      </c>
      <c r="D42" s="135" t="s">
        <v>357</v>
      </c>
      <c r="E42" s="135" t="s">
        <v>358</v>
      </c>
      <c r="F42" s="135" t="s">
        <v>359</v>
      </c>
      <c r="G42" s="135" t="s">
        <v>360</v>
      </c>
      <c r="H42" s="135" t="s">
        <v>361</v>
      </c>
      <c r="I42" s="135" t="s">
        <v>362</v>
      </c>
      <c r="J42" s="135" t="s">
        <v>363</v>
      </c>
      <c r="K42" s="135" t="s">
        <v>307</v>
      </c>
      <c r="L42" s="135" t="s">
        <v>1</v>
      </c>
      <c r="M42" s="135" t="s">
        <v>1</v>
      </c>
      <c r="N42" s="135" t="s">
        <v>308</v>
      </c>
      <c r="O42" s="135" t="s">
        <v>364</v>
      </c>
      <c r="P42" s="135" t="s">
        <v>365</v>
      </c>
      <c r="Q42" s="135" t="s">
        <v>85</v>
      </c>
      <c r="R42" s="135" t="s">
        <v>366</v>
      </c>
      <c r="S42" s="135" t="s">
        <v>367</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5" hidden="false" customHeight="false" outlineLevel="0" collapsed="false">
      <c r="A43" s="135" t="s">
        <v>368</v>
      </c>
      <c r="B43" s="135" t="s">
        <v>369</v>
      </c>
      <c r="C43" s="256" t="s">
        <v>40</v>
      </c>
      <c r="D43" s="135" t="s">
        <v>370</v>
      </c>
      <c r="E43" s="135" t="s">
        <v>371</v>
      </c>
      <c r="F43" s="135" t="s">
        <v>4</v>
      </c>
      <c r="G43" s="135" t="s">
        <v>372</v>
      </c>
      <c r="H43" s="135" t="s">
        <v>4</v>
      </c>
      <c r="I43" s="135" t="s">
        <v>373</v>
      </c>
      <c r="J43" s="135" t="s">
        <v>374</v>
      </c>
      <c r="K43" s="135" t="s">
        <v>375</v>
      </c>
      <c r="L43" s="135" t="s">
        <v>1</v>
      </c>
      <c r="M43" s="135" t="s">
        <v>1</v>
      </c>
      <c r="N43" s="135" t="s">
        <v>308</v>
      </c>
      <c r="O43" s="135" t="s">
        <v>376</v>
      </c>
      <c r="P43" s="135" t="s">
        <v>377</v>
      </c>
      <c r="Q43" s="135" t="s">
        <v>85</v>
      </c>
      <c r="R43" s="135" t="s">
        <v>378</v>
      </c>
      <c r="S43" s="135" t="s">
        <v>379</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5" hidden="false" customHeight="false" outlineLevel="0" collapsed="false">
      <c r="A44" s="135" t="s">
        <v>380</v>
      </c>
      <c r="B44" s="135" t="s">
        <v>381</v>
      </c>
      <c r="C44" s="256" t="s">
        <v>40</v>
      </c>
      <c r="D44" s="135" t="s">
        <v>382</v>
      </c>
      <c r="E44" s="135" t="s">
        <v>383</v>
      </c>
      <c r="F44" s="135" t="s">
        <v>384</v>
      </c>
      <c r="G44" s="135" t="s">
        <v>385</v>
      </c>
      <c r="H44" s="135" t="s">
        <v>386</v>
      </c>
      <c r="I44" s="135" t="s">
        <v>387</v>
      </c>
      <c r="J44" s="135" t="s">
        <v>388</v>
      </c>
      <c r="K44" s="135" t="s">
        <v>352</v>
      </c>
      <c r="L44" s="135" t="s">
        <v>1</v>
      </c>
      <c r="M44" s="135" t="s">
        <v>1</v>
      </c>
      <c r="N44" s="135" t="s">
        <v>308</v>
      </c>
      <c r="O44" s="135" t="s">
        <v>389</v>
      </c>
      <c r="P44" s="135" t="s">
        <v>390</v>
      </c>
      <c r="Q44" s="135" t="s">
        <v>85</v>
      </c>
      <c r="R44" s="135" t="s">
        <v>391</v>
      </c>
      <c r="S44" s="135" t="s">
        <v>297</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15" hidden="false" customHeight="false" outlineLevel="0" collapsed="false">
      <c r="A45" s="135" t="s">
        <v>392</v>
      </c>
      <c r="B45" s="135" t="s">
        <v>313</v>
      </c>
      <c r="C45" s="256" t="s">
        <v>40</v>
      </c>
      <c r="D45" s="135" t="s">
        <v>393</v>
      </c>
      <c r="E45" s="135" t="s">
        <v>394</v>
      </c>
      <c r="F45" s="135" t="s">
        <v>4</v>
      </c>
      <c r="G45" s="135" t="s">
        <v>395</v>
      </c>
      <c r="H45" s="135" t="s">
        <v>4</v>
      </c>
      <c r="I45" s="135" t="s">
        <v>4</v>
      </c>
      <c r="J45" s="135" t="s">
        <v>396</v>
      </c>
      <c r="K45" s="135" t="s">
        <v>352</v>
      </c>
      <c r="L45" s="135" t="s">
        <v>1</v>
      </c>
      <c r="M45" s="135" t="s">
        <v>1</v>
      </c>
      <c r="N45" s="135" t="s">
        <v>308</v>
      </c>
      <c r="O45" s="135" t="s">
        <v>397</v>
      </c>
      <c r="P45" s="135" t="s">
        <v>398</v>
      </c>
      <c r="Q45" s="135" t="s">
        <v>85</v>
      </c>
      <c r="R45" s="135" t="s">
        <v>399</v>
      </c>
      <c r="S45" s="135" t="s">
        <v>400</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15" hidden="false" customHeight="false" outlineLevel="0" collapsed="false">
      <c r="A46" s="135" t="s">
        <v>401</v>
      </c>
      <c r="B46" s="135" t="s">
        <v>218</v>
      </c>
      <c r="C46" s="256" t="s">
        <v>40</v>
      </c>
      <c r="D46" s="135" t="s">
        <v>402</v>
      </c>
      <c r="E46" s="135" t="s">
        <v>403</v>
      </c>
      <c r="F46" s="135" t="s">
        <v>404</v>
      </c>
      <c r="G46" s="135" t="s">
        <v>405</v>
      </c>
      <c r="H46" s="135" t="s">
        <v>406</v>
      </c>
      <c r="I46" s="135" t="s">
        <v>407</v>
      </c>
      <c r="J46" s="135" t="s">
        <v>408</v>
      </c>
      <c r="K46" s="135" t="s">
        <v>352</v>
      </c>
      <c r="L46" s="135" t="s">
        <v>1</v>
      </c>
      <c r="M46" s="135" t="s">
        <v>1</v>
      </c>
      <c r="N46" s="135" t="s">
        <v>409</v>
      </c>
      <c r="O46" s="135" t="s">
        <v>410</v>
      </c>
      <c r="P46" s="135" t="s">
        <v>411</v>
      </c>
      <c r="Q46" s="135" t="s">
        <v>85</v>
      </c>
      <c r="R46" s="135" t="s">
        <v>412</v>
      </c>
      <c r="S46" s="135" t="s">
        <v>174</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5" hidden="false" customHeight="false" outlineLevel="0" collapsed="false">
      <c r="A47" s="135" t="s">
        <v>413</v>
      </c>
      <c r="B47" s="135" t="s">
        <v>218</v>
      </c>
      <c r="C47" s="256" t="s">
        <v>40</v>
      </c>
      <c r="D47" s="135" t="s">
        <v>414</v>
      </c>
      <c r="E47" s="135" t="s">
        <v>415</v>
      </c>
      <c r="F47" s="135" t="s">
        <v>416</v>
      </c>
      <c r="G47" s="135" t="s">
        <v>417</v>
      </c>
      <c r="H47" s="135" t="s">
        <v>418</v>
      </c>
      <c r="I47" s="135" t="s">
        <v>419</v>
      </c>
      <c r="J47" s="135" t="s">
        <v>420</v>
      </c>
      <c r="K47" s="135" t="s">
        <v>421</v>
      </c>
      <c r="L47" s="135" t="s">
        <v>1</v>
      </c>
      <c r="M47" s="135" t="s">
        <v>1</v>
      </c>
      <c r="N47" s="135" t="s">
        <v>422</v>
      </c>
      <c r="O47" s="135" t="s">
        <v>423</v>
      </c>
      <c r="P47" s="135" t="s">
        <v>424</v>
      </c>
      <c r="Q47" s="135" t="s">
        <v>85</v>
      </c>
      <c r="R47" s="135" t="s">
        <v>425</v>
      </c>
      <c r="S47" s="135" t="s">
        <v>90</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5" hidden="false" customHeight="false" outlineLevel="0" collapsed="false">
      <c r="A48" s="135" t="s">
        <v>426</v>
      </c>
      <c r="B48" s="135" t="s">
        <v>299</v>
      </c>
      <c r="C48" s="256" t="s">
        <v>40</v>
      </c>
      <c r="D48" s="135" t="s">
        <v>427</v>
      </c>
      <c r="E48" s="135" t="s">
        <v>428</v>
      </c>
      <c r="F48" s="135" t="s">
        <v>429</v>
      </c>
      <c r="G48" s="135" t="s">
        <v>327</v>
      </c>
      <c r="H48" s="135" t="s">
        <v>304</v>
      </c>
      <c r="I48" s="135" t="s">
        <v>430</v>
      </c>
      <c r="J48" s="135" t="s">
        <v>431</v>
      </c>
      <c r="K48" s="135" t="s">
        <v>307</v>
      </c>
      <c r="L48" s="135" t="s">
        <v>1</v>
      </c>
      <c r="M48" s="135" t="s">
        <v>1</v>
      </c>
      <c r="N48" s="135" t="s">
        <v>308</v>
      </c>
      <c r="O48" s="135" t="s">
        <v>432</v>
      </c>
      <c r="P48" s="135" t="s">
        <v>433</v>
      </c>
      <c r="Q48" s="135" t="s">
        <v>85</v>
      </c>
      <c r="R48" s="135" t="s">
        <v>434</v>
      </c>
      <c r="S48" s="135" t="s">
        <v>435</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5" hidden="false" customHeight="false" outlineLevel="0" collapsed="false">
      <c r="A49" s="135" t="s">
        <v>436</v>
      </c>
      <c r="B49" s="135" t="s">
        <v>299</v>
      </c>
      <c r="C49" s="256" t="s">
        <v>40</v>
      </c>
      <c r="D49" s="135" t="s">
        <v>427</v>
      </c>
      <c r="E49" s="135" t="s">
        <v>437</v>
      </c>
      <c r="F49" s="135" t="s">
        <v>438</v>
      </c>
      <c r="G49" s="135" t="s">
        <v>439</v>
      </c>
      <c r="H49" s="135" t="s">
        <v>304</v>
      </c>
      <c r="I49" s="135" t="s">
        <v>440</v>
      </c>
      <c r="J49" s="135" t="s">
        <v>441</v>
      </c>
      <c r="K49" s="135" t="s">
        <v>442</v>
      </c>
      <c r="L49" s="135" t="s">
        <v>1</v>
      </c>
      <c r="M49" s="135" t="s">
        <v>1</v>
      </c>
      <c r="N49" s="135" t="s">
        <v>170</v>
      </c>
      <c r="O49" s="135" t="s">
        <v>443</v>
      </c>
      <c r="P49" s="135" t="s">
        <v>444</v>
      </c>
      <c r="Q49" s="135" t="s">
        <v>85</v>
      </c>
      <c r="R49" s="135" t="s">
        <v>445</v>
      </c>
      <c r="S49" s="135" t="s">
        <v>446</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15" hidden="false" customHeight="false" outlineLevel="0" collapsed="false">
      <c r="A50" s="135" t="s">
        <v>447</v>
      </c>
      <c r="B50" s="135" t="s">
        <v>299</v>
      </c>
      <c r="C50" s="256" t="s">
        <v>40</v>
      </c>
      <c r="D50" s="135" t="s">
        <v>427</v>
      </c>
      <c r="E50" s="135" t="s">
        <v>448</v>
      </c>
      <c r="F50" s="135" t="s">
        <v>449</v>
      </c>
      <c r="G50" s="135" t="s">
        <v>450</v>
      </c>
      <c r="H50" s="135" t="s">
        <v>304</v>
      </c>
      <c r="I50" s="135" t="s">
        <v>451</v>
      </c>
      <c r="J50" s="135" t="s">
        <v>452</v>
      </c>
      <c r="K50" s="135" t="s">
        <v>307</v>
      </c>
      <c r="L50" s="135" t="s">
        <v>1</v>
      </c>
      <c r="M50" s="135" t="s">
        <v>1</v>
      </c>
      <c r="N50" s="135" t="s">
        <v>204</v>
      </c>
      <c r="O50" s="135" t="s">
        <v>453</v>
      </c>
      <c r="P50" s="135" t="s">
        <v>454</v>
      </c>
      <c r="Q50" s="135" t="s">
        <v>85</v>
      </c>
      <c r="R50" s="135" t="s">
        <v>455</v>
      </c>
      <c r="S50" s="135" t="s">
        <v>367</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15" hidden="false" customHeight="false" outlineLevel="0" collapsed="false">
      <c r="A51" s="135" t="s">
        <v>456</v>
      </c>
      <c r="B51" s="135" t="s">
        <v>299</v>
      </c>
      <c r="C51" s="256" t="s">
        <v>40</v>
      </c>
      <c r="D51" s="135" t="s">
        <v>457</v>
      </c>
      <c r="E51" s="135" t="s">
        <v>458</v>
      </c>
      <c r="F51" s="135" t="s">
        <v>459</v>
      </c>
      <c r="G51" s="135" t="s">
        <v>460</v>
      </c>
      <c r="H51" s="135" t="s">
        <v>461</v>
      </c>
      <c r="I51" s="135" t="s">
        <v>462</v>
      </c>
      <c r="J51" s="135" t="s">
        <v>463</v>
      </c>
      <c r="K51" s="135" t="s">
        <v>307</v>
      </c>
      <c r="L51" s="135" t="s">
        <v>1</v>
      </c>
      <c r="M51" s="135" t="s">
        <v>1</v>
      </c>
      <c r="N51" s="135" t="s">
        <v>204</v>
      </c>
      <c r="O51" s="135" t="s">
        <v>464</v>
      </c>
      <c r="P51" s="135" t="s">
        <v>465</v>
      </c>
      <c r="Q51" s="135" t="s">
        <v>85</v>
      </c>
      <c r="R51" s="135" t="s">
        <v>466</v>
      </c>
      <c r="S51" s="135" t="s">
        <v>446</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15" hidden="false" customHeight="false" outlineLevel="0" collapsed="false">
      <c r="A52" s="135" t="s">
        <v>467</v>
      </c>
      <c r="B52" s="135" t="s">
        <v>299</v>
      </c>
      <c r="C52" s="256" t="s">
        <v>40</v>
      </c>
      <c r="D52" s="135" t="s">
        <v>468</v>
      </c>
      <c r="E52" s="135" t="s">
        <v>469</v>
      </c>
      <c r="F52" s="135" t="s">
        <v>4</v>
      </c>
      <c r="G52" s="135" t="s">
        <v>4</v>
      </c>
      <c r="H52" s="135" t="s">
        <v>4</v>
      </c>
      <c r="I52" s="135" t="s">
        <v>4</v>
      </c>
      <c r="J52" s="135" t="s">
        <v>470</v>
      </c>
      <c r="K52" s="135" t="s">
        <v>307</v>
      </c>
      <c r="L52" s="135" t="s">
        <v>1</v>
      </c>
      <c r="M52" s="135" t="s">
        <v>1</v>
      </c>
      <c r="N52" s="135" t="s">
        <v>204</v>
      </c>
      <c r="O52" s="135" t="s">
        <v>471</v>
      </c>
      <c r="P52" s="135" t="s">
        <v>472</v>
      </c>
      <c r="Q52" s="135" t="s">
        <v>85</v>
      </c>
      <c r="R52" s="135" t="s">
        <v>473</v>
      </c>
      <c r="S52" s="135" t="s">
        <v>474</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475</v>
      </c>
      <c r="B53" s="135" t="s">
        <v>299</v>
      </c>
      <c r="C53" s="256" t="s">
        <v>40</v>
      </c>
      <c r="D53" s="135" t="s">
        <v>476</v>
      </c>
      <c r="E53" s="135" t="s">
        <v>477</v>
      </c>
      <c r="F53" s="135" t="s">
        <v>478</v>
      </c>
      <c r="G53" s="135" t="s">
        <v>479</v>
      </c>
      <c r="H53" s="135" t="s">
        <v>480</v>
      </c>
      <c r="I53" s="135" t="s">
        <v>481</v>
      </c>
      <c r="J53" s="135" t="s">
        <v>482</v>
      </c>
      <c r="K53" s="135" t="s">
        <v>307</v>
      </c>
      <c r="L53" s="135" t="s">
        <v>1</v>
      </c>
      <c r="M53" s="135" t="s">
        <v>1</v>
      </c>
      <c r="N53" s="135" t="s">
        <v>204</v>
      </c>
      <c r="O53" s="135" t="s">
        <v>483</v>
      </c>
      <c r="P53" s="135" t="s">
        <v>484</v>
      </c>
      <c r="Q53" s="135" t="s">
        <v>85</v>
      </c>
      <c r="R53" s="135" t="s">
        <v>485</v>
      </c>
      <c r="S53" s="135" t="s">
        <v>367</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5" hidden="false" customHeight="false" outlineLevel="0" collapsed="false">
      <c r="A54" s="135" t="s">
        <v>486</v>
      </c>
      <c r="B54" s="135" t="s">
        <v>299</v>
      </c>
      <c r="C54" s="256" t="s">
        <v>40</v>
      </c>
      <c r="D54" s="135" t="s">
        <v>487</v>
      </c>
      <c r="E54" s="135" t="s">
        <v>488</v>
      </c>
      <c r="F54" s="135" t="s">
        <v>4</v>
      </c>
      <c r="G54" s="135" t="s">
        <v>4</v>
      </c>
      <c r="H54" s="135" t="s">
        <v>4</v>
      </c>
      <c r="I54" s="135" t="s">
        <v>4</v>
      </c>
      <c r="J54" s="135" t="s">
        <v>489</v>
      </c>
      <c r="K54" s="135" t="s">
        <v>490</v>
      </c>
      <c r="L54" s="135" t="s">
        <v>1</v>
      </c>
      <c r="M54" s="135" t="s">
        <v>1</v>
      </c>
      <c r="N54" s="135" t="s">
        <v>308</v>
      </c>
      <c r="O54" s="135" t="s">
        <v>491</v>
      </c>
      <c r="P54" s="135" t="s">
        <v>492</v>
      </c>
      <c r="Q54" s="135" t="s">
        <v>85</v>
      </c>
      <c r="R54" s="135" t="s">
        <v>493</v>
      </c>
      <c r="S54" s="135" t="s">
        <v>90</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5" hidden="false" customHeight="false" outlineLevel="0" collapsed="false">
      <c r="A55" s="135" t="s">
        <v>494</v>
      </c>
      <c r="B55" s="135" t="s">
        <v>299</v>
      </c>
      <c r="C55" s="256" t="s">
        <v>40</v>
      </c>
      <c r="D55" s="135" t="s">
        <v>476</v>
      </c>
      <c r="E55" s="135" t="s">
        <v>495</v>
      </c>
      <c r="F55" s="135" t="s">
        <v>496</v>
      </c>
      <c r="G55" s="135" t="s">
        <v>497</v>
      </c>
      <c r="H55" s="135" t="s">
        <v>498</v>
      </c>
      <c r="I55" s="135" t="s">
        <v>499</v>
      </c>
      <c r="J55" s="135" t="s">
        <v>500</v>
      </c>
      <c r="K55" s="135" t="s">
        <v>147</v>
      </c>
      <c r="L55" s="135" t="s">
        <v>1</v>
      </c>
      <c r="M55" s="135" t="s">
        <v>1</v>
      </c>
      <c r="N55" s="135" t="s">
        <v>308</v>
      </c>
      <c r="O55" s="135" t="s">
        <v>501</v>
      </c>
      <c r="P55" s="135" t="s">
        <v>502</v>
      </c>
      <c r="Q55" s="135" t="s">
        <v>85</v>
      </c>
      <c r="R55" s="135" t="s">
        <v>503</v>
      </c>
      <c r="S55" s="135" t="s">
        <v>90</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5" hidden="false" customHeight="false" outlineLevel="0" collapsed="false">
      <c r="A56" s="135" t="s">
        <v>504</v>
      </c>
      <c r="B56" s="135" t="s">
        <v>299</v>
      </c>
      <c r="C56" s="256" t="s">
        <v>40</v>
      </c>
      <c r="D56" s="135" t="s">
        <v>505</v>
      </c>
      <c r="E56" s="135" t="s">
        <v>506</v>
      </c>
      <c r="F56" s="135" t="s">
        <v>507</v>
      </c>
      <c r="G56" s="135" t="s">
        <v>508</v>
      </c>
      <c r="H56" s="135" t="s">
        <v>509</v>
      </c>
      <c r="I56" s="135" t="s">
        <v>510</v>
      </c>
      <c r="J56" s="135" t="s">
        <v>511</v>
      </c>
      <c r="K56" s="135" t="s">
        <v>352</v>
      </c>
      <c r="L56" s="135" t="s">
        <v>1</v>
      </c>
      <c r="M56" s="135" t="s">
        <v>1</v>
      </c>
      <c r="N56" s="135" t="s">
        <v>204</v>
      </c>
      <c r="O56" s="135" t="s">
        <v>512</v>
      </c>
      <c r="P56" s="135" t="s">
        <v>513</v>
      </c>
      <c r="Q56" s="135" t="s">
        <v>85</v>
      </c>
      <c r="R56" s="135" t="s">
        <v>514</v>
      </c>
      <c r="S56" s="135" t="s">
        <v>90</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515</v>
      </c>
      <c r="B57" s="135" t="s">
        <v>299</v>
      </c>
      <c r="C57" s="256" t="s">
        <v>40</v>
      </c>
      <c r="D57" s="135" t="s">
        <v>516</v>
      </c>
      <c r="E57" s="135" t="s">
        <v>517</v>
      </c>
      <c r="F57" s="135" t="s">
        <v>518</v>
      </c>
      <c r="G57" s="135" t="s">
        <v>519</v>
      </c>
      <c r="H57" s="135" t="s">
        <v>518</v>
      </c>
      <c r="I57" s="135" t="s">
        <v>520</v>
      </c>
      <c r="J57" s="135" t="s">
        <v>521</v>
      </c>
      <c r="K57" s="135" t="s">
        <v>421</v>
      </c>
      <c r="L57" s="135" t="s">
        <v>1</v>
      </c>
      <c r="M57" s="135" t="s">
        <v>1</v>
      </c>
      <c r="N57" s="135" t="s">
        <v>204</v>
      </c>
      <c r="O57" s="135" t="s">
        <v>522</v>
      </c>
      <c r="P57" s="135" t="s">
        <v>523</v>
      </c>
      <c r="Q57" s="135" t="s">
        <v>85</v>
      </c>
      <c r="R57" s="135" t="s">
        <v>524</v>
      </c>
      <c r="S57" s="135" t="s">
        <v>174</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525</v>
      </c>
      <c r="B58" s="135" t="s">
        <v>299</v>
      </c>
      <c r="C58" s="256" t="s">
        <v>40</v>
      </c>
      <c r="D58" s="135" t="s">
        <v>526</v>
      </c>
      <c r="E58" s="135" t="s">
        <v>527</v>
      </c>
      <c r="F58" s="135" t="s">
        <v>528</v>
      </c>
      <c r="G58" s="135" t="s">
        <v>529</v>
      </c>
      <c r="H58" s="135" t="s">
        <v>480</v>
      </c>
      <c r="I58" s="135" t="s">
        <v>499</v>
      </c>
      <c r="J58" s="135" t="s">
        <v>530</v>
      </c>
      <c r="K58" s="135" t="s">
        <v>147</v>
      </c>
      <c r="L58" s="135" t="s">
        <v>1</v>
      </c>
      <c r="M58" s="135" t="s">
        <v>1</v>
      </c>
      <c r="N58" s="135" t="s">
        <v>204</v>
      </c>
      <c r="O58" s="135" t="s">
        <v>531</v>
      </c>
      <c r="P58" s="135" t="s">
        <v>532</v>
      </c>
      <c r="Q58" s="135" t="s">
        <v>85</v>
      </c>
      <c r="R58" s="135" t="s">
        <v>533</v>
      </c>
      <c r="S58" s="135" t="s">
        <v>90</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534</v>
      </c>
      <c r="B59" s="135" t="s">
        <v>299</v>
      </c>
      <c r="C59" s="256" t="s">
        <v>40</v>
      </c>
      <c r="D59" s="135" t="s">
        <v>535</v>
      </c>
      <c r="E59" s="135" t="s">
        <v>536</v>
      </c>
      <c r="F59" s="135" t="s">
        <v>4</v>
      </c>
      <c r="G59" s="135" t="s">
        <v>537</v>
      </c>
      <c r="H59" s="135" t="s">
        <v>4</v>
      </c>
      <c r="I59" s="135" t="s">
        <v>538</v>
      </c>
      <c r="J59" s="135" t="s">
        <v>539</v>
      </c>
      <c r="K59" s="135" t="s">
        <v>540</v>
      </c>
      <c r="L59" s="135" t="s">
        <v>1</v>
      </c>
      <c r="M59" s="135" t="s">
        <v>1</v>
      </c>
      <c r="N59" s="135" t="s">
        <v>541</v>
      </c>
      <c r="O59" s="135" t="s">
        <v>542</v>
      </c>
      <c r="P59" s="135" t="s">
        <v>543</v>
      </c>
      <c r="Q59" s="135" t="s">
        <v>85</v>
      </c>
      <c r="R59" s="135" t="s">
        <v>544</v>
      </c>
      <c r="S59" s="135" t="s">
        <v>333</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5" hidden="false" customHeight="false" outlineLevel="0" collapsed="false">
      <c r="A60" s="135" t="s">
        <v>545</v>
      </c>
      <c r="B60" s="135" t="s">
        <v>299</v>
      </c>
      <c r="C60" s="256" t="s">
        <v>40</v>
      </c>
      <c r="D60" s="135" t="s">
        <v>535</v>
      </c>
      <c r="E60" s="135" t="s">
        <v>546</v>
      </c>
      <c r="F60" s="135" t="s">
        <v>547</v>
      </c>
      <c r="G60" s="135" t="s">
        <v>548</v>
      </c>
      <c r="H60" s="135" t="s">
        <v>549</v>
      </c>
      <c r="I60" s="135" t="s">
        <v>550</v>
      </c>
      <c r="J60" s="135" t="s">
        <v>551</v>
      </c>
      <c r="K60" s="135" t="s">
        <v>147</v>
      </c>
      <c r="L60" s="135" t="s">
        <v>1</v>
      </c>
      <c r="M60" s="135" t="s">
        <v>1</v>
      </c>
      <c r="N60" s="135" t="s">
        <v>541</v>
      </c>
      <c r="O60" s="135" t="s">
        <v>552</v>
      </c>
      <c r="P60" s="135" t="s">
        <v>553</v>
      </c>
      <c r="Q60" s="135" t="s">
        <v>85</v>
      </c>
      <c r="R60" s="135" t="s">
        <v>554</v>
      </c>
      <c r="S60" s="135" t="s">
        <v>446</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15" hidden="false" customHeight="false" outlineLevel="0" collapsed="false">
      <c r="A61" s="135" t="s">
        <v>555</v>
      </c>
      <c r="B61" s="135" t="s">
        <v>299</v>
      </c>
      <c r="C61" s="256" t="s">
        <v>40</v>
      </c>
      <c r="D61" s="135" t="s">
        <v>556</v>
      </c>
      <c r="E61" s="135" t="s">
        <v>557</v>
      </c>
      <c r="F61" s="135" t="s">
        <v>4</v>
      </c>
      <c r="G61" s="135" t="s">
        <v>558</v>
      </c>
      <c r="H61" s="135" t="s">
        <v>4</v>
      </c>
      <c r="I61" s="135" t="s">
        <v>4</v>
      </c>
      <c r="J61" s="135" t="s">
        <v>559</v>
      </c>
      <c r="K61" s="135" t="s">
        <v>147</v>
      </c>
      <c r="L61" s="135" t="s">
        <v>1</v>
      </c>
      <c r="M61" s="135" t="s">
        <v>1</v>
      </c>
      <c r="N61" s="135" t="s">
        <v>541</v>
      </c>
      <c r="O61" s="135" t="s">
        <v>560</v>
      </c>
      <c r="P61" s="135" t="s">
        <v>561</v>
      </c>
      <c r="Q61" s="135" t="s">
        <v>85</v>
      </c>
      <c r="R61" s="135" t="s">
        <v>562</v>
      </c>
      <c r="S61" s="135" t="s">
        <v>400</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5" hidden="false" customHeight="false" outlineLevel="0" collapsed="false">
      <c r="A62" s="135" t="s">
        <v>563</v>
      </c>
      <c r="B62" s="135" t="s">
        <v>299</v>
      </c>
      <c r="C62" s="256" t="s">
        <v>40</v>
      </c>
      <c r="D62" s="135" t="s">
        <v>564</v>
      </c>
      <c r="E62" s="135" t="s">
        <v>565</v>
      </c>
      <c r="F62" s="135" t="s">
        <v>4</v>
      </c>
      <c r="G62" s="135" t="s">
        <v>566</v>
      </c>
      <c r="H62" s="135" t="s">
        <v>4</v>
      </c>
      <c r="I62" s="135" t="s">
        <v>4</v>
      </c>
      <c r="J62" s="135" t="s">
        <v>567</v>
      </c>
      <c r="K62" s="135" t="s">
        <v>307</v>
      </c>
      <c r="L62" s="135" t="s">
        <v>1</v>
      </c>
      <c r="M62" s="135" t="s">
        <v>1</v>
      </c>
      <c r="N62" s="135" t="s">
        <v>541</v>
      </c>
      <c r="O62" s="135" t="s">
        <v>568</v>
      </c>
      <c r="P62" s="135" t="s">
        <v>569</v>
      </c>
      <c r="Q62" s="135" t="s">
        <v>85</v>
      </c>
      <c r="R62" s="135" t="s">
        <v>570</v>
      </c>
      <c r="S62" s="135" t="s">
        <v>367</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5" hidden="false" customHeight="false" outlineLevel="0" collapsed="false">
      <c r="A63" s="135" t="s">
        <v>571</v>
      </c>
      <c r="B63" s="135" t="s">
        <v>299</v>
      </c>
      <c r="C63" s="256" t="s">
        <v>40</v>
      </c>
      <c r="D63" s="135" t="s">
        <v>572</v>
      </c>
      <c r="E63" s="135" t="s">
        <v>573</v>
      </c>
      <c r="F63" s="135" t="s">
        <v>4</v>
      </c>
      <c r="G63" s="135" t="s">
        <v>574</v>
      </c>
      <c r="H63" s="135" t="s">
        <v>575</v>
      </c>
      <c r="I63" s="135" t="s">
        <v>4</v>
      </c>
      <c r="J63" s="135" t="s">
        <v>576</v>
      </c>
      <c r="K63" s="135" t="s">
        <v>85</v>
      </c>
      <c r="L63" s="135" t="s">
        <v>1</v>
      </c>
      <c r="M63" s="135" t="s">
        <v>1</v>
      </c>
      <c r="N63" s="135" t="s">
        <v>541</v>
      </c>
      <c r="O63" s="135" t="s">
        <v>577</v>
      </c>
      <c r="P63" s="135" t="s">
        <v>578</v>
      </c>
      <c r="Q63" s="135" t="s">
        <v>85</v>
      </c>
      <c r="R63" s="135" t="s">
        <v>579</v>
      </c>
      <c r="S63" s="135" t="s">
        <v>367</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5" hidden="false" customHeight="false" outlineLevel="0" collapsed="false">
      <c r="A64" s="135" t="s">
        <v>580</v>
      </c>
      <c r="B64" s="135" t="s">
        <v>299</v>
      </c>
      <c r="C64" s="256" t="s">
        <v>40</v>
      </c>
      <c r="D64" s="135" t="s">
        <v>572</v>
      </c>
      <c r="E64" s="135" t="s">
        <v>581</v>
      </c>
      <c r="F64" s="135" t="s">
        <v>4</v>
      </c>
      <c r="G64" s="135" t="s">
        <v>574</v>
      </c>
      <c r="H64" s="135" t="s">
        <v>4</v>
      </c>
      <c r="I64" s="135" t="s">
        <v>4</v>
      </c>
      <c r="J64" s="135" t="s">
        <v>582</v>
      </c>
      <c r="K64" s="135" t="s">
        <v>147</v>
      </c>
      <c r="L64" s="135" t="s">
        <v>1</v>
      </c>
      <c r="M64" s="135" t="s">
        <v>1</v>
      </c>
      <c r="N64" s="135" t="s">
        <v>541</v>
      </c>
      <c r="O64" s="135" t="s">
        <v>583</v>
      </c>
      <c r="P64" s="135" t="s">
        <v>584</v>
      </c>
      <c r="Q64" s="135" t="s">
        <v>85</v>
      </c>
      <c r="R64" s="135" t="s">
        <v>585</v>
      </c>
      <c r="S64" s="135" t="s">
        <v>586</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15" hidden="false" customHeight="false" outlineLevel="0" collapsed="false">
      <c r="A65" s="135" t="s">
        <v>587</v>
      </c>
      <c r="B65" s="135" t="s">
        <v>299</v>
      </c>
      <c r="C65" s="256" t="s">
        <v>40</v>
      </c>
      <c r="D65" s="135" t="s">
        <v>588</v>
      </c>
      <c r="E65" s="135" t="s">
        <v>589</v>
      </c>
      <c r="F65" s="135" t="s">
        <v>590</v>
      </c>
      <c r="G65" s="135" t="s">
        <v>591</v>
      </c>
      <c r="H65" s="135" t="s">
        <v>592</v>
      </c>
      <c r="I65" s="135" t="s">
        <v>593</v>
      </c>
      <c r="J65" s="135" t="s">
        <v>594</v>
      </c>
      <c r="K65" s="135" t="s">
        <v>147</v>
      </c>
      <c r="L65" s="135" t="s">
        <v>1</v>
      </c>
      <c r="M65" s="135" t="s">
        <v>1</v>
      </c>
      <c r="N65" s="135" t="s">
        <v>595</v>
      </c>
      <c r="O65" s="135" t="s">
        <v>596</v>
      </c>
      <c r="P65" s="135" t="s">
        <v>597</v>
      </c>
      <c r="Q65" s="135" t="s">
        <v>85</v>
      </c>
      <c r="R65" s="135" t="s">
        <v>598</v>
      </c>
      <c r="S65" s="135" t="s">
        <v>90</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5" hidden="false" customHeight="false" outlineLevel="0" collapsed="false">
      <c r="A66" s="135" t="s">
        <v>599</v>
      </c>
      <c r="B66" s="135" t="s">
        <v>299</v>
      </c>
      <c r="C66" s="256" t="s">
        <v>40</v>
      </c>
      <c r="D66" s="135" t="s">
        <v>600</v>
      </c>
      <c r="E66" s="135" t="s">
        <v>601</v>
      </c>
      <c r="F66" s="135" t="s">
        <v>602</v>
      </c>
      <c r="G66" s="135" t="s">
        <v>603</v>
      </c>
      <c r="H66" s="135" t="s">
        <v>304</v>
      </c>
      <c r="I66" s="135" t="s">
        <v>604</v>
      </c>
      <c r="J66" s="135" t="s">
        <v>605</v>
      </c>
      <c r="K66" s="135" t="s">
        <v>147</v>
      </c>
      <c r="L66" s="135" t="s">
        <v>1</v>
      </c>
      <c r="M66" s="135" t="s">
        <v>1</v>
      </c>
      <c r="N66" s="135" t="s">
        <v>606</v>
      </c>
      <c r="O66" s="135" t="s">
        <v>607</v>
      </c>
      <c r="P66" s="135" t="s">
        <v>608</v>
      </c>
      <c r="Q66" s="135" t="s">
        <v>85</v>
      </c>
      <c r="R66" s="135" t="s">
        <v>609</v>
      </c>
      <c r="S66" s="135" t="s">
        <v>435</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5" hidden="false" customHeight="false" outlineLevel="0" collapsed="false">
      <c r="A67" s="135" t="s">
        <v>610</v>
      </c>
      <c r="B67" s="135" t="s">
        <v>299</v>
      </c>
      <c r="C67" s="256" t="s">
        <v>40</v>
      </c>
      <c r="D67" s="135" t="s">
        <v>600</v>
      </c>
      <c r="E67" s="135" t="s">
        <v>611</v>
      </c>
      <c r="F67" s="135" t="s">
        <v>4</v>
      </c>
      <c r="G67" s="135" t="s">
        <v>612</v>
      </c>
      <c r="H67" s="135" t="s">
        <v>613</v>
      </c>
      <c r="I67" s="135" t="s">
        <v>614</v>
      </c>
      <c r="J67" s="135" t="s">
        <v>615</v>
      </c>
      <c r="K67" s="135" t="s">
        <v>147</v>
      </c>
      <c r="L67" s="135" t="s">
        <v>1</v>
      </c>
      <c r="M67" s="135" t="s">
        <v>1</v>
      </c>
      <c r="N67" s="135" t="s">
        <v>606</v>
      </c>
      <c r="O67" s="135" t="s">
        <v>616</v>
      </c>
      <c r="P67" s="135" t="s">
        <v>617</v>
      </c>
      <c r="Q67" s="135" t="s">
        <v>85</v>
      </c>
      <c r="R67" s="135" t="s">
        <v>618</v>
      </c>
      <c r="S67" s="135" t="s">
        <v>90</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5" hidden="false" customHeight="false" outlineLevel="0" collapsed="false">
      <c r="A68" s="135" t="s">
        <v>619</v>
      </c>
      <c r="B68" s="135" t="s">
        <v>299</v>
      </c>
      <c r="C68" s="256" t="s">
        <v>40</v>
      </c>
      <c r="D68" s="135" t="s">
        <v>620</v>
      </c>
      <c r="E68" s="135" t="s">
        <v>621</v>
      </c>
      <c r="F68" s="135" t="s">
        <v>4</v>
      </c>
      <c r="G68" s="135" t="s">
        <v>622</v>
      </c>
      <c r="H68" s="135" t="s">
        <v>4</v>
      </c>
      <c r="I68" s="135" t="s">
        <v>623</v>
      </c>
      <c r="J68" s="135" t="s">
        <v>624</v>
      </c>
      <c r="K68" s="135" t="s">
        <v>147</v>
      </c>
      <c r="L68" s="135" t="s">
        <v>1</v>
      </c>
      <c r="M68" s="135" t="s">
        <v>1</v>
      </c>
      <c r="N68" s="135" t="s">
        <v>606</v>
      </c>
      <c r="O68" s="135" t="s">
        <v>625</v>
      </c>
      <c r="P68" s="135" t="s">
        <v>626</v>
      </c>
      <c r="Q68" s="135" t="s">
        <v>85</v>
      </c>
      <c r="R68" s="135" t="s">
        <v>627</v>
      </c>
      <c r="S68" s="135" t="s">
        <v>90</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5" hidden="false" customHeight="false" outlineLevel="0" collapsed="false">
      <c r="A69" s="135" t="s">
        <v>628</v>
      </c>
      <c r="B69" s="135" t="s">
        <v>299</v>
      </c>
      <c r="C69" s="256" t="s">
        <v>40</v>
      </c>
      <c r="D69" s="135" t="s">
        <v>600</v>
      </c>
      <c r="E69" s="135" t="s">
        <v>629</v>
      </c>
      <c r="F69" s="135" t="s">
        <v>630</v>
      </c>
      <c r="G69" s="135" t="s">
        <v>4</v>
      </c>
      <c r="H69" s="135" t="s">
        <v>4</v>
      </c>
      <c r="I69" s="135" t="s">
        <v>4</v>
      </c>
      <c r="J69" s="135" t="s">
        <v>631</v>
      </c>
      <c r="K69" s="135" t="s">
        <v>147</v>
      </c>
      <c r="L69" s="135" t="s">
        <v>1</v>
      </c>
      <c r="M69" s="135" t="s">
        <v>1</v>
      </c>
      <c r="N69" s="135" t="s">
        <v>606</v>
      </c>
      <c r="O69" s="135" t="s">
        <v>632</v>
      </c>
      <c r="P69" s="135" t="s">
        <v>633</v>
      </c>
      <c r="Q69" s="135" t="s">
        <v>85</v>
      </c>
      <c r="R69" s="135" t="s">
        <v>634</v>
      </c>
      <c r="S69" s="135" t="s">
        <v>174</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15" hidden="false" customHeight="false" outlineLevel="0" collapsed="false">
      <c r="A70" s="135" t="s">
        <v>635</v>
      </c>
      <c r="B70" s="135" t="s">
        <v>299</v>
      </c>
      <c r="C70" s="256" t="s">
        <v>40</v>
      </c>
      <c r="D70" s="135" t="s">
        <v>636</v>
      </c>
      <c r="E70" s="135" t="s">
        <v>637</v>
      </c>
      <c r="F70" s="135" t="s">
        <v>638</v>
      </c>
      <c r="G70" s="135" t="s">
        <v>639</v>
      </c>
      <c r="H70" s="135" t="s">
        <v>640</v>
      </c>
      <c r="I70" s="135" t="s">
        <v>641</v>
      </c>
      <c r="J70" s="135" t="s">
        <v>642</v>
      </c>
      <c r="K70" s="135" t="s">
        <v>147</v>
      </c>
      <c r="L70" s="135" t="s">
        <v>1</v>
      </c>
      <c r="M70" s="135" t="s">
        <v>1</v>
      </c>
      <c r="N70" s="135" t="s">
        <v>606</v>
      </c>
      <c r="O70" s="135" t="s">
        <v>643</v>
      </c>
      <c r="P70" s="135" t="s">
        <v>644</v>
      </c>
      <c r="Q70" s="135" t="s">
        <v>85</v>
      </c>
      <c r="R70" s="135" t="s">
        <v>645</v>
      </c>
      <c r="S70" s="135" t="s">
        <v>90</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15" hidden="false" customHeight="false" outlineLevel="0" collapsed="false">
      <c r="A71" s="135" t="s">
        <v>646</v>
      </c>
      <c r="B71" s="135" t="s">
        <v>299</v>
      </c>
      <c r="C71" s="256" t="s">
        <v>40</v>
      </c>
      <c r="D71" s="135" t="s">
        <v>647</v>
      </c>
      <c r="E71" s="135" t="s">
        <v>648</v>
      </c>
      <c r="F71" s="135" t="s">
        <v>649</v>
      </c>
      <c r="G71" s="135" t="s">
        <v>650</v>
      </c>
      <c r="H71" s="135" t="s">
        <v>651</v>
      </c>
      <c r="I71" s="135" t="s">
        <v>652</v>
      </c>
      <c r="J71" s="135" t="s">
        <v>653</v>
      </c>
      <c r="K71" s="135" t="s">
        <v>654</v>
      </c>
      <c r="L71" s="135" t="s">
        <v>1</v>
      </c>
      <c r="M71" s="135" t="s">
        <v>1</v>
      </c>
      <c r="N71" s="135" t="s">
        <v>655</v>
      </c>
      <c r="O71" s="135" t="s">
        <v>656</v>
      </c>
      <c r="P71" s="135" t="s">
        <v>657</v>
      </c>
      <c r="Q71" s="135" t="s">
        <v>85</v>
      </c>
      <c r="R71" s="135" t="s">
        <v>658</v>
      </c>
      <c r="S71" s="135" t="s">
        <v>90</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5" hidden="false" customHeight="false" outlineLevel="0" collapsed="false">
      <c r="A72" s="135" t="s">
        <v>659</v>
      </c>
      <c r="B72" s="135" t="s">
        <v>299</v>
      </c>
      <c r="C72" s="256" t="s">
        <v>40</v>
      </c>
      <c r="D72" s="135" t="s">
        <v>660</v>
      </c>
      <c r="E72" s="135" t="s">
        <v>661</v>
      </c>
      <c r="F72" s="135" t="s">
        <v>4</v>
      </c>
      <c r="G72" s="135" t="s">
        <v>4</v>
      </c>
      <c r="H72" s="135" t="s">
        <v>662</v>
      </c>
      <c r="I72" s="135" t="s">
        <v>663</v>
      </c>
      <c r="J72" s="135" t="s">
        <v>664</v>
      </c>
      <c r="K72" s="135" t="s">
        <v>147</v>
      </c>
      <c r="L72" s="135" t="s">
        <v>1</v>
      </c>
      <c r="M72" s="135" t="s">
        <v>1</v>
      </c>
      <c r="N72" s="135" t="s">
        <v>655</v>
      </c>
      <c r="O72" s="135" t="s">
        <v>665</v>
      </c>
      <c r="P72" s="135" t="s">
        <v>666</v>
      </c>
      <c r="Q72" s="135" t="s">
        <v>85</v>
      </c>
      <c r="R72" s="135" t="s">
        <v>667</v>
      </c>
      <c r="S72" s="135" t="s">
        <v>90</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5" hidden="false" customHeight="false" outlineLevel="0" collapsed="false">
      <c r="A73" s="135" t="s">
        <v>668</v>
      </c>
      <c r="B73" s="135" t="s">
        <v>299</v>
      </c>
      <c r="C73" s="256" t="s">
        <v>40</v>
      </c>
      <c r="D73" s="135" t="s">
        <v>669</v>
      </c>
      <c r="E73" s="135" t="s">
        <v>670</v>
      </c>
      <c r="F73" s="135" t="s">
        <v>671</v>
      </c>
      <c r="G73" s="135" t="s">
        <v>672</v>
      </c>
      <c r="H73" s="135" t="s">
        <v>673</v>
      </c>
      <c r="I73" s="135" t="s">
        <v>674</v>
      </c>
      <c r="J73" s="135" t="s">
        <v>675</v>
      </c>
      <c r="K73" s="135" t="s">
        <v>147</v>
      </c>
      <c r="L73" s="135" t="s">
        <v>1</v>
      </c>
      <c r="M73" s="135" t="s">
        <v>1</v>
      </c>
      <c r="N73" s="135" t="s">
        <v>655</v>
      </c>
      <c r="O73" s="135" t="s">
        <v>676</v>
      </c>
      <c r="P73" s="135" t="s">
        <v>677</v>
      </c>
      <c r="Q73" s="135" t="s">
        <v>85</v>
      </c>
      <c r="R73" s="135" t="s">
        <v>678</v>
      </c>
      <c r="S73" s="135" t="s">
        <v>90</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5" hidden="false" customHeight="false" outlineLevel="0" collapsed="false">
      <c r="A74" s="135" t="s">
        <v>679</v>
      </c>
      <c r="B74" s="135" t="s">
        <v>299</v>
      </c>
      <c r="C74" s="256" t="s">
        <v>40</v>
      </c>
      <c r="D74" s="135" t="s">
        <v>680</v>
      </c>
      <c r="E74" s="135" t="s">
        <v>681</v>
      </c>
      <c r="F74" s="135" t="s">
        <v>682</v>
      </c>
      <c r="G74" s="135" t="s">
        <v>683</v>
      </c>
      <c r="H74" s="135" t="s">
        <v>684</v>
      </c>
      <c r="I74" s="135" t="s">
        <v>685</v>
      </c>
      <c r="J74" s="135" t="s">
        <v>686</v>
      </c>
      <c r="K74" s="135" t="s">
        <v>147</v>
      </c>
      <c r="L74" s="135" t="s">
        <v>1</v>
      </c>
      <c r="M74" s="135" t="s">
        <v>1</v>
      </c>
      <c r="N74" s="135" t="s">
        <v>170</v>
      </c>
      <c r="O74" s="135" t="s">
        <v>687</v>
      </c>
      <c r="P74" s="135" t="s">
        <v>688</v>
      </c>
      <c r="Q74" s="135" t="s">
        <v>85</v>
      </c>
      <c r="R74" s="135" t="s">
        <v>689</v>
      </c>
      <c r="S74" s="135" t="s">
        <v>90</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690</v>
      </c>
      <c r="B75" s="135" t="s">
        <v>299</v>
      </c>
      <c r="C75" s="256" t="s">
        <v>40</v>
      </c>
      <c r="D75" s="135" t="s">
        <v>691</v>
      </c>
      <c r="E75" s="135" t="s">
        <v>692</v>
      </c>
      <c r="F75" s="135" t="s">
        <v>4</v>
      </c>
      <c r="G75" s="135" t="s">
        <v>693</v>
      </c>
      <c r="H75" s="135" t="s">
        <v>4</v>
      </c>
      <c r="I75" s="135" t="s">
        <v>694</v>
      </c>
      <c r="J75" s="135" t="s">
        <v>695</v>
      </c>
      <c r="K75" s="135" t="s">
        <v>147</v>
      </c>
      <c r="L75" s="135" t="s">
        <v>1</v>
      </c>
      <c r="M75" s="135" t="s">
        <v>1</v>
      </c>
      <c r="N75" s="135" t="s">
        <v>170</v>
      </c>
      <c r="O75" s="135" t="s">
        <v>696</v>
      </c>
      <c r="P75" s="135" t="s">
        <v>697</v>
      </c>
      <c r="Q75" s="135" t="s">
        <v>85</v>
      </c>
      <c r="R75" s="135" t="s">
        <v>698</v>
      </c>
      <c r="S75" s="135" t="s">
        <v>90</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699</v>
      </c>
      <c r="B76" s="135" t="s">
        <v>299</v>
      </c>
      <c r="C76" s="256" t="s">
        <v>40</v>
      </c>
      <c r="D76" s="135" t="s">
        <v>700</v>
      </c>
      <c r="E76" s="135" t="s">
        <v>701</v>
      </c>
      <c r="F76" s="135" t="s">
        <v>4</v>
      </c>
      <c r="G76" s="135" t="s">
        <v>702</v>
      </c>
      <c r="H76" s="135" t="s">
        <v>4</v>
      </c>
      <c r="I76" s="135" t="s">
        <v>703</v>
      </c>
      <c r="J76" s="135" t="s">
        <v>704</v>
      </c>
      <c r="K76" s="135" t="s">
        <v>147</v>
      </c>
      <c r="L76" s="135" t="s">
        <v>1</v>
      </c>
      <c r="M76" s="135" t="s">
        <v>1</v>
      </c>
      <c r="N76" s="135" t="s">
        <v>606</v>
      </c>
      <c r="O76" s="135" t="s">
        <v>705</v>
      </c>
      <c r="P76" s="135" t="s">
        <v>706</v>
      </c>
      <c r="Q76" s="135" t="s">
        <v>85</v>
      </c>
      <c r="R76" s="135" t="s">
        <v>707</v>
      </c>
      <c r="S76" s="135" t="s">
        <v>90</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708</v>
      </c>
      <c r="B77" s="135" t="s">
        <v>709</v>
      </c>
      <c r="C77" s="256" t="s">
        <v>40</v>
      </c>
      <c r="D77" s="135" t="s">
        <v>710</v>
      </c>
      <c r="E77" s="135" t="s">
        <v>711</v>
      </c>
      <c r="F77" s="135" t="s">
        <v>712</v>
      </c>
      <c r="G77" s="135" t="s">
        <v>713</v>
      </c>
      <c r="H77" s="135" t="s">
        <v>714</v>
      </c>
      <c r="I77" s="135" t="s">
        <v>715</v>
      </c>
      <c r="J77" s="135" t="s">
        <v>716</v>
      </c>
      <c r="K77" s="135" t="s">
        <v>147</v>
      </c>
      <c r="L77" s="135" t="s">
        <v>1</v>
      </c>
      <c r="M77" s="135" t="s">
        <v>1</v>
      </c>
      <c r="N77" s="135" t="s">
        <v>170</v>
      </c>
      <c r="O77" s="135" t="s">
        <v>717</v>
      </c>
      <c r="P77" s="135" t="s">
        <v>718</v>
      </c>
      <c r="Q77" s="135" t="s">
        <v>85</v>
      </c>
      <c r="R77" s="135" t="s">
        <v>719</v>
      </c>
      <c r="S77" s="135" t="s">
        <v>90</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15" hidden="false" customHeight="false" outlineLevel="0" collapsed="false">
      <c r="A78" s="135" t="s">
        <v>720</v>
      </c>
      <c r="B78" s="135" t="s">
        <v>299</v>
      </c>
      <c r="C78" s="256" t="s">
        <v>40</v>
      </c>
      <c r="D78" s="135" t="s">
        <v>721</v>
      </c>
      <c r="E78" s="135" t="s">
        <v>722</v>
      </c>
      <c r="F78" s="135" t="s">
        <v>4</v>
      </c>
      <c r="G78" s="135" t="s">
        <v>723</v>
      </c>
      <c r="H78" s="135" t="s">
        <v>4</v>
      </c>
      <c r="I78" s="135" t="s">
        <v>724</v>
      </c>
      <c r="J78" s="135" t="s">
        <v>725</v>
      </c>
      <c r="K78" s="135" t="s">
        <v>147</v>
      </c>
      <c r="L78" s="135" t="s">
        <v>1</v>
      </c>
      <c r="M78" s="135" t="s">
        <v>1</v>
      </c>
      <c r="N78" s="135" t="s">
        <v>606</v>
      </c>
      <c r="O78" s="135" t="s">
        <v>726</v>
      </c>
      <c r="P78" s="135" t="s">
        <v>727</v>
      </c>
      <c r="Q78" s="135" t="s">
        <v>85</v>
      </c>
      <c r="R78" s="135" t="s">
        <v>728</v>
      </c>
      <c r="S78" s="135" t="s">
        <v>90</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729</v>
      </c>
      <c r="B79" s="135" t="s">
        <v>709</v>
      </c>
      <c r="C79" s="256" t="s">
        <v>40</v>
      </c>
      <c r="D79" s="135" t="s">
        <v>730</v>
      </c>
      <c r="E79" s="135" t="s">
        <v>731</v>
      </c>
      <c r="F79" s="135" t="s">
        <v>4</v>
      </c>
      <c r="G79" s="135" t="s">
        <v>732</v>
      </c>
      <c r="H79" s="135" t="s">
        <v>4</v>
      </c>
      <c r="I79" s="135" t="s">
        <v>733</v>
      </c>
      <c r="J79" s="135" t="s">
        <v>734</v>
      </c>
      <c r="K79" s="135" t="s">
        <v>147</v>
      </c>
      <c r="L79" s="135" t="s">
        <v>1</v>
      </c>
      <c r="M79" s="135" t="s">
        <v>1</v>
      </c>
      <c r="N79" s="135" t="s">
        <v>606</v>
      </c>
      <c r="O79" s="135" t="s">
        <v>735</v>
      </c>
      <c r="P79" s="135" t="s">
        <v>736</v>
      </c>
      <c r="Q79" s="135" t="s">
        <v>85</v>
      </c>
      <c r="R79" s="135" t="s">
        <v>737</v>
      </c>
      <c r="S79" s="135" t="s">
        <v>90</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738</v>
      </c>
      <c r="B80" s="135" t="s">
        <v>709</v>
      </c>
      <c r="C80" s="256" t="s">
        <v>40</v>
      </c>
      <c r="D80" s="135" t="s">
        <v>739</v>
      </c>
      <c r="E80" s="135" t="s">
        <v>740</v>
      </c>
      <c r="F80" s="135" t="s">
        <v>4</v>
      </c>
      <c r="G80" s="135" t="s">
        <v>741</v>
      </c>
      <c r="H80" s="135" t="s">
        <v>4</v>
      </c>
      <c r="I80" s="135" t="s">
        <v>742</v>
      </c>
      <c r="J80" s="135" t="s">
        <v>743</v>
      </c>
      <c r="K80" s="135" t="s">
        <v>85</v>
      </c>
      <c r="L80" s="135" t="s">
        <v>1</v>
      </c>
      <c r="M80" s="135" t="s">
        <v>1</v>
      </c>
      <c r="N80" s="135" t="s">
        <v>606</v>
      </c>
      <c r="O80" s="135" t="s">
        <v>744</v>
      </c>
      <c r="P80" s="135" t="s">
        <v>745</v>
      </c>
      <c r="Q80" s="135" t="s">
        <v>147</v>
      </c>
      <c r="R80" s="135" t="s">
        <v>746</v>
      </c>
      <c r="S80" s="135" t="s">
        <v>90</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747</v>
      </c>
      <c r="B81" s="135" t="s">
        <v>748</v>
      </c>
      <c r="C81" s="256" t="s">
        <v>40</v>
      </c>
      <c r="D81" s="135" t="s">
        <v>300</v>
      </c>
      <c r="E81" s="135" t="s">
        <v>749</v>
      </c>
      <c r="F81" s="135" t="s">
        <v>4</v>
      </c>
      <c r="G81" s="135" t="s">
        <v>4</v>
      </c>
      <c r="H81" s="135" t="s">
        <v>4</v>
      </c>
      <c r="I81" s="135" t="s">
        <v>4</v>
      </c>
      <c r="J81" s="135" t="s">
        <v>750</v>
      </c>
      <c r="K81" s="135" t="s">
        <v>751</v>
      </c>
      <c r="L81" s="135" t="s">
        <v>1</v>
      </c>
      <c r="M81" s="135" t="s">
        <v>1</v>
      </c>
      <c r="N81" s="135" t="s">
        <v>541</v>
      </c>
      <c r="O81" s="135" t="s">
        <v>752</v>
      </c>
      <c r="P81" s="135" t="s">
        <v>753</v>
      </c>
      <c r="Q81" s="135" t="s">
        <v>85</v>
      </c>
      <c r="R81" s="135" t="s">
        <v>754</v>
      </c>
      <c r="S81" s="135" t="s">
        <v>446</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15" hidden="false" customHeight="false" outlineLevel="0" collapsed="false">
      <c r="A82" s="135" t="s">
        <v>755</v>
      </c>
      <c r="B82" s="135" t="s">
        <v>218</v>
      </c>
      <c r="C82" s="256" t="s">
        <v>40</v>
      </c>
      <c r="D82" s="135" t="s">
        <v>756</v>
      </c>
      <c r="E82" s="135" t="s">
        <v>757</v>
      </c>
      <c r="F82" s="135" t="s">
        <v>4</v>
      </c>
      <c r="G82" s="135" t="s">
        <v>758</v>
      </c>
      <c r="H82" s="135" t="s">
        <v>4</v>
      </c>
      <c r="I82" s="135" t="s">
        <v>759</v>
      </c>
      <c r="J82" s="135" t="s">
        <v>760</v>
      </c>
      <c r="K82" s="135" t="s">
        <v>225</v>
      </c>
      <c r="L82" s="135" t="s">
        <v>1</v>
      </c>
      <c r="M82" s="135" t="s">
        <v>1</v>
      </c>
      <c r="N82" s="135" t="s">
        <v>422</v>
      </c>
      <c r="O82" s="135" t="s">
        <v>761</v>
      </c>
      <c r="P82" s="135" t="s">
        <v>762</v>
      </c>
      <c r="Q82" s="135" t="s">
        <v>85</v>
      </c>
      <c r="R82" s="135" t="s">
        <v>763</v>
      </c>
      <c r="S82" s="135" t="s">
        <v>764</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765</v>
      </c>
      <c r="B83" s="135" t="s">
        <v>232</v>
      </c>
      <c r="C83" s="256" t="s">
        <v>40</v>
      </c>
      <c r="D83" s="135" t="s">
        <v>766</v>
      </c>
      <c r="E83" s="135" t="s">
        <v>767</v>
      </c>
      <c r="F83" s="135" t="s">
        <v>768</v>
      </c>
      <c r="G83" s="135" t="s">
        <v>769</v>
      </c>
      <c r="H83" s="135" t="s">
        <v>770</v>
      </c>
      <c r="I83" s="135" t="s">
        <v>8</v>
      </c>
      <c r="J83" s="135" t="s">
        <v>771</v>
      </c>
      <c r="K83" s="135" t="s">
        <v>307</v>
      </c>
      <c r="L83" s="135" t="s">
        <v>1</v>
      </c>
      <c r="M83" s="135" t="s">
        <v>1</v>
      </c>
      <c r="N83" s="135" t="s">
        <v>308</v>
      </c>
      <c r="O83" s="135" t="s">
        <v>772</v>
      </c>
      <c r="P83" s="135" t="s">
        <v>773</v>
      </c>
      <c r="Q83" s="135" t="s">
        <v>85</v>
      </c>
      <c r="R83" s="135" t="s">
        <v>774</v>
      </c>
      <c r="S83" s="135" t="s">
        <v>775</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776</v>
      </c>
      <c r="B84" s="135" t="s">
        <v>777</v>
      </c>
      <c r="C84" s="256" t="s">
        <v>40</v>
      </c>
      <c r="D84" s="135" t="s">
        <v>63</v>
      </c>
      <c r="E84" s="135" t="s">
        <v>778</v>
      </c>
      <c r="F84" s="135" t="s">
        <v>779</v>
      </c>
      <c r="G84" s="135" t="s">
        <v>780</v>
      </c>
      <c r="H84" s="135" t="s">
        <v>770</v>
      </c>
      <c r="I84" s="135" t="s">
        <v>781</v>
      </c>
      <c r="J84" s="135" t="s">
        <v>782</v>
      </c>
      <c r="K84" s="135" t="s">
        <v>307</v>
      </c>
      <c r="L84" s="135" t="s">
        <v>1</v>
      </c>
      <c r="M84" s="135" t="s">
        <v>1</v>
      </c>
      <c r="N84" s="135" t="s">
        <v>308</v>
      </c>
      <c r="O84" s="135" t="s">
        <v>783</v>
      </c>
      <c r="P84" s="135" t="s">
        <v>784</v>
      </c>
      <c r="Q84" s="135" t="s">
        <v>85</v>
      </c>
      <c r="R84" s="135" t="s">
        <v>785</v>
      </c>
      <c r="S84" s="135" t="s">
        <v>474</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5" t="s">
        <v>786</v>
      </c>
      <c r="B85" s="135" t="s">
        <v>299</v>
      </c>
      <c r="C85" s="256" t="s">
        <v>40</v>
      </c>
      <c r="D85" s="135" t="s">
        <v>787</v>
      </c>
      <c r="E85" s="135" t="s">
        <v>788</v>
      </c>
      <c r="F85" s="135" t="s">
        <v>789</v>
      </c>
      <c r="G85" s="135" t="s">
        <v>790</v>
      </c>
      <c r="H85" s="135" t="s">
        <v>4</v>
      </c>
      <c r="I85" s="135" t="s">
        <v>791</v>
      </c>
      <c r="J85" s="135" t="s">
        <v>792</v>
      </c>
      <c r="K85" s="135" t="s">
        <v>147</v>
      </c>
      <c r="L85" s="135" t="s">
        <v>85</v>
      </c>
      <c r="M85" s="135" t="s">
        <v>793</v>
      </c>
      <c r="N85" s="135" t="s">
        <v>595</v>
      </c>
      <c r="O85" s="135" t="s">
        <v>794</v>
      </c>
      <c r="P85" s="135" t="s">
        <v>795</v>
      </c>
      <c r="Q85" s="135" t="s">
        <v>85</v>
      </c>
      <c r="R85" s="135" t="s">
        <v>796</v>
      </c>
      <c r="S85" s="135" t="s">
        <v>90</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f>IF(T85="","",VALUE(LEFT(T85,SEARCH("/",T85)-1)))</f>
        <v/>
      </c>
      <c r="W85" s="146">
        <f>IF(T85="","",VALUE(MID(T85,SEARCH("/",T85)+1,LEN(T85))))</f>
        <v/>
      </c>
    </row>
    <row r="86" customFormat="false" ht="15" hidden="false" customHeight="false" outlineLevel="0" collapsed="false">
      <c r="A86" s="135" t="s">
        <v>797</v>
      </c>
      <c r="B86" s="135" t="s">
        <v>101</v>
      </c>
      <c r="C86" s="256" t="s">
        <v>40</v>
      </c>
      <c r="D86" s="135" t="s">
        <v>798</v>
      </c>
      <c r="E86" s="135" t="s">
        <v>799</v>
      </c>
      <c r="F86" s="135" t="s">
        <v>4</v>
      </c>
      <c r="G86" s="135" t="s">
        <v>800</v>
      </c>
      <c r="H86" s="135" t="s">
        <v>4</v>
      </c>
      <c r="I86" s="135" t="s">
        <v>801</v>
      </c>
      <c r="J86" s="135" t="s">
        <v>802</v>
      </c>
      <c r="K86" s="135" t="s">
        <v>85</v>
      </c>
      <c r="L86" s="135" t="s">
        <v>85</v>
      </c>
      <c r="M86" s="135" t="s">
        <v>96</v>
      </c>
      <c r="N86" s="135" t="s">
        <v>106</v>
      </c>
      <c r="O86" s="135" t="s">
        <v>803</v>
      </c>
      <c r="P86" s="135" t="s">
        <v>804</v>
      </c>
      <c r="Q86" s="135" t="s">
        <v>85</v>
      </c>
      <c r="R86" s="135" t="s">
        <v>805</v>
      </c>
      <c r="S86" s="135" t="s">
        <v>806</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807</v>
      </c>
      <c r="B87" s="135" t="s">
        <v>101</v>
      </c>
      <c r="C87" s="256" t="s">
        <v>40</v>
      </c>
      <c r="D87" s="135" t="s">
        <v>808</v>
      </c>
      <c r="E87" s="135" t="s">
        <v>809</v>
      </c>
      <c r="F87" s="135" t="s">
        <v>4</v>
      </c>
      <c r="G87" s="135" t="s">
        <v>4</v>
      </c>
      <c r="H87" s="135" t="s">
        <v>4</v>
      </c>
      <c r="I87" s="135" t="s">
        <v>4</v>
      </c>
      <c r="J87" s="135" t="s">
        <v>810</v>
      </c>
      <c r="K87" s="135" t="s">
        <v>85</v>
      </c>
      <c r="L87" s="135" t="s">
        <v>85</v>
      </c>
      <c r="M87" s="135" t="s">
        <v>85</v>
      </c>
      <c r="N87" s="135" t="s">
        <v>116</v>
      </c>
      <c r="O87" s="135" t="s">
        <v>811</v>
      </c>
      <c r="P87" s="135" t="s">
        <v>812</v>
      </c>
      <c r="Q87" s="135" t="s">
        <v>85</v>
      </c>
      <c r="R87" s="135" t="s">
        <v>813</v>
      </c>
      <c r="S87" s="135" t="s">
        <v>814</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815</v>
      </c>
      <c r="B88" s="135" t="s">
        <v>299</v>
      </c>
      <c r="C88" s="257" t="s">
        <v>46</v>
      </c>
      <c r="D88" s="135" t="s">
        <v>46</v>
      </c>
      <c r="E88" s="135" t="s">
        <v>816</v>
      </c>
      <c r="F88" s="135" t="s">
        <v>817</v>
      </c>
      <c r="G88" s="135" t="s">
        <v>818</v>
      </c>
      <c r="H88" s="135" t="s">
        <v>640</v>
      </c>
      <c r="I88" s="135" t="s">
        <v>819</v>
      </c>
      <c r="J88" s="135" t="s">
        <v>820</v>
      </c>
      <c r="K88" s="135" t="s">
        <v>821</v>
      </c>
      <c r="L88" s="135" t="s">
        <v>1</v>
      </c>
      <c r="M88" s="135" t="s">
        <v>1</v>
      </c>
      <c r="N88" s="135" t="s">
        <v>213</v>
      </c>
      <c r="O88" s="135" t="s">
        <v>822</v>
      </c>
      <c r="P88" s="135" t="s">
        <v>823</v>
      </c>
      <c r="Q88" s="135" t="s">
        <v>85</v>
      </c>
      <c r="R88" s="135" t="s">
        <v>824</v>
      </c>
      <c r="S88" s="135" t="s">
        <v>333</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15" hidden="false" customHeight="false" outlineLevel="0" collapsed="false">
      <c r="A89" s="135" t="s">
        <v>825</v>
      </c>
      <c r="B89" s="135" t="s">
        <v>299</v>
      </c>
      <c r="C89" s="257" t="s">
        <v>46</v>
      </c>
      <c r="D89" s="135" t="s">
        <v>46</v>
      </c>
      <c r="E89" s="135" t="s">
        <v>826</v>
      </c>
      <c r="F89" s="135" t="s">
        <v>359</v>
      </c>
      <c r="G89" s="135" t="s">
        <v>827</v>
      </c>
      <c r="H89" s="135" t="s">
        <v>828</v>
      </c>
      <c r="I89" s="135" t="s">
        <v>829</v>
      </c>
      <c r="J89" s="135" t="s">
        <v>830</v>
      </c>
      <c r="K89" s="135" t="s">
        <v>147</v>
      </c>
      <c r="L89" s="135" t="s">
        <v>1</v>
      </c>
      <c r="M89" s="135" t="s">
        <v>1</v>
      </c>
      <c r="N89" s="135" t="s">
        <v>213</v>
      </c>
      <c r="O89" s="135" t="s">
        <v>831</v>
      </c>
      <c r="P89" s="135" t="s">
        <v>832</v>
      </c>
      <c r="Q89" s="135" t="s">
        <v>85</v>
      </c>
      <c r="R89" s="135" t="s">
        <v>833</v>
      </c>
      <c r="S89" s="135" t="s">
        <v>446</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15" hidden="false" customHeight="false" outlineLevel="0" collapsed="false">
      <c r="A90" s="135" t="s">
        <v>834</v>
      </c>
      <c r="B90" s="135" t="s">
        <v>299</v>
      </c>
      <c r="C90" s="257" t="s">
        <v>46</v>
      </c>
      <c r="D90" s="135" t="s">
        <v>46</v>
      </c>
      <c r="E90" s="135" t="s">
        <v>835</v>
      </c>
      <c r="F90" s="135" t="s">
        <v>836</v>
      </c>
      <c r="G90" s="135" t="s">
        <v>837</v>
      </c>
      <c r="H90" s="135" t="s">
        <v>838</v>
      </c>
      <c r="I90" s="135" t="s">
        <v>839</v>
      </c>
      <c r="J90" s="135" t="s">
        <v>840</v>
      </c>
      <c r="K90" s="135" t="s">
        <v>147</v>
      </c>
      <c r="L90" s="135" t="s">
        <v>1</v>
      </c>
      <c r="M90" s="135" t="s">
        <v>1</v>
      </c>
      <c r="N90" s="135" t="s">
        <v>213</v>
      </c>
      <c r="O90" s="135" t="s">
        <v>841</v>
      </c>
      <c r="P90" s="135" t="s">
        <v>842</v>
      </c>
      <c r="Q90" s="135" t="s">
        <v>85</v>
      </c>
      <c r="R90" s="135" t="s">
        <v>843</v>
      </c>
      <c r="S90" s="135" t="s">
        <v>174</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844</v>
      </c>
      <c r="B91" s="135" t="s">
        <v>845</v>
      </c>
      <c r="C91" s="257" t="s">
        <v>46</v>
      </c>
      <c r="D91" s="135" t="s">
        <v>846</v>
      </c>
      <c r="E91" s="135" t="s">
        <v>847</v>
      </c>
      <c r="F91" s="135" t="s">
        <v>848</v>
      </c>
      <c r="G91" s="135" t="s">
        <v>849</v>
      </c>
      <c r="H91" s="135" t="s">
        <v>4</v>
      </c>
      <c r="I91" s="135" t="s">
        <v>850</v>
      </c>
      <c r="J91" s="135" t="s">
        <v>851</v>
      </c>
      <c r="K91" s="135" t="s">
        <v>147</v>
      </c>
      <c r="L91" s="135" t="s">
        <v>1</v>
      </c>
      <c r="M91" s="135" t="s">
        <v>1</v>
      </c>
      <c r="N91" s="135" t="s">
        <v>852</v>
      </c>
      <c r="O91" s="135" t="s">
        <v>853</v>
      </c>
      <c r="P91" s="135" t="s">
        <v>854</v>
      </c>
      <c r="Q91" s="135" t="s">
        <v>85</v>
      </c>
      <c r="R91" s="135" t="s">
        <v>855</v>
      </c>
      <c r="S91" s="135" t="s">
        <v>297</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856</v>
      </c>
      <c r="B92" s="135" t="s">
        <v>845</v>
      </c>
      <c r="C92" s="257" t="s">
        <v>46</v>
      </c>
      <c r="D92" s="135" t="s">
        <v>857</v>
      </c>
      <c r="E92" s="135" t="s">
        <v>858</v>
      </c>
      <c r="F92" s="135" t="s">
        <v>859</v>
      </c>
      <c r="G92" s="135" t="s">
        <v>860</v>
      </c>
      <c r="H92" s="135" t="s">
        <v>4</v>
      </c>
      <c r="I92" s="135" t="s">
        <v>4</v>
      </c>
      <c r="J92" s="135" t="s">
        <v>861</v>
      </c>
      <c r="K92" s="135" t="s">
        <v>147</v>
      </c>
      <c r="L92" s="135" t="s">
        <v>1</v>
      </c>
      <c r="M92" s="135" t="s">
        <v>1</v>
      </c>
      <c r="N92" s="135" t="s">
        <v>852</v>
      </c>
      <c r="O92" s="135" t="s">
        <v>862</v>
      </c>
      <c r="P92" s="135" t="s">
        <v>863</v>
      </c>
      <c r="Q92" s="135" t="s">
        <v>85</v>
      </c>
      <c r="R92" s="135" t="s">
        <v>864</v>
      </c>
      <c r="S92" s="135" t="s">
        <v>174</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865</v>
      </c>
      <c r="B93" s="135" t="s">
        <v>845</v>
      </c>
      <c r="C93" s="257" t="s">
        <v>46</v>
      </c>
      <c r="D93" s="135" t="s">
        <v>866</v>
      </c>
      <c r="E93" s="135" t="s">
        <v>867</v>
      </c>
      <c r="F93" s="135" t="s">
        <v>868</v>
      </c>
      <c r="G93" s="135" t="s">
        <v>869</v>
      </c>
      <c r="H93" s="135" t="s">
        <v>4</v>
      </c>
      <c r="I93" s="135" t="s">
        <v>4</v>
      </c>
      <c r="J93" s="135" t="s">
        <v>870</v>
      </c>
      <c r="K93" s="135" t="s">
        <v>147</v>
      </c>
      <c r="L93" s="135" t="s">
        <v>1</v>
      </c>
      <c r="M93" s="135" t="s">
        <v>1</v>
      </c>
      <c r="N93" s="135" t="s">
        <v>852</v>
      </c>
      <c r="O93" s="135" t="s">
        <v>871</v>
      </c>
      <c r="P93" s="135" t="s">
        <v>872</v>
      </c>
      <c r="Q93" s="135" t="s">
        <v>85</v>
      </c>
      <c r="R93" s="135" t="s">
        <v>873</v>
      </c>
      <c r="S93" s="135" t="s">
        <v>874</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875</v>
      </c>
      <c r="B94" s="135" t="s">
        <v>845</v>
      </c>
      <c r="C94" s="257" t="s">
        <v>46</v>
      </c>
      <c r="D94" s="135" t="s">
        <v>876</v>
      </c>
      <c r="E94" s="135" t="s">
        <v>877</v>
      </c>
      <c r="F94" s="135" t="s">
        <v>878</v>
      </c>
      <c r="G94" s="135" t="s">
        <v>879</v>
      </c>
      <c r="H94" s="135" t="s">
        <v>4</v>
      </c>
      <c r="I94" s="135" t="s">
        <v>4</v>
      </c>
      <c r="J94" s="135" t="s">
        <v>880</v>
      </c>
      <c r="K94" s="135" t="s">
        <v>147</v>
      </c>
      <c r="L94" s="135" t="s">
        <v>4</v>
      </c>
      <c r="M94" s="135" t="s">
        <v>793</v>
      </c>
      <c r="N94" s="135" t="s">
        <v>881</v>
      </c>
      <c r="O94" s="135" t="s">
        <v>882</v>
      </c>
      <c r="P94" s="135" t="s">
        <v>883</v>
      </c>
      <c r="Q94" s="135" t="s">
        <v>85</v>
      </c>
      <c r="R94" s="135" t="s">
        <v>884</v>
      </c>
      <c r="S94" s="135" t="s">
        <v>90</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885</v>
      </c>
      <c r="B95" s="135" t="s">
        <v>845</v>
      </c>
      <c r="C95" s="257" t="s">
        <v>46</v>
      </c>
      <c r="D95" s="135" t="s">
        <v>886</v>
      </c>
      <c r="E95" s="135" t="s">
        <v>887</v>
      </c>
      <c r="F95" s="135" t="s">
        <v>888</v>
      </c>
      <c r="G95" s="135" t="s">
        <v>889</v>
      </c>
      <c r="H95" s="135" t="s">
        <v>4</v>
      </c>
      <c r="I95" s="135" t="s">
        <v>890</v>
      </c>
      <c r="J95" s="135" t="s">
        <v>891</v>
      </c>
      <c r="K95" s="135" t="s">
        <v>147</v>
      </c>
      <c r="L95" s="135" t="s">
        <v>4</v>
      </c>
      <c r="M95" s="135" t="s">
        <v>793</v>
      </c>
      <c r="N95" s="135" t="s">
        <v>881</v>
      </c>
      <c r="O95" s="135" t="s">
        <v>892</v>
      </c>
      <c r="P95" s="135" t="s">
        <v>893</v>
      </c>
      <c r="Q95" s="135" t="s">
        <v>85</v>
      </c>
      <c r="R95" s="135" t="s">
        <v>894</v>
      </c>
      <c r="S95" s="135" t="s">
        <v>90</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895</v>
      </c>
      <c r="B96" s="135" t="s">
        <v>845</v>
      </c>
      <c r="C96" s="257" t="s">
        <v>46</v>
      </c>
      <c r="D96" s="135" t="s">
        <v>896</v>
      </c>
      <c r="E96" s="135" t="s">
        <v>897</v>
      </c>
      <c r="F96" s="135" t="s">
        <v>4</v>
      </c>
      <c r="G96" s="135" t="s">
        <v>898</v>
      </c>
      <c r="H96" s="135" t="s">
        <v>4</v>
      </c>
      <c r="I96" s="135" t="s">
        <v>4</v>
      </c>
      <c r="J96" s="135" t="s">
        <v>899</v>
      </c>
      <c r="K96" s="135" t="s">
        <v>147</v>
      </c>
      <c r="L96" s="135" t="s">
        <v>4</v>
      </c>
      <c r="M96" s="135" t="s">
        <v>793</v>
      </c>
      <c r="N96" s="135" t="s">
        <v>881</v>
      </c>
      <c r="O96" s="135" t="s">
        <v>900</v>
      </c>
      <c r="P96" s="135" t="s">
        <v>901</v>
      </c>
      <c r="Q96" s="135" t="s">
        <v>85</v>
      </c>
      <c r="R96" s="135" t="s">
        <v>902</v>
      </c>
      <c r="S96" s="135" t="s">
        <v>90</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903</v>
      </c>
      <c r="B97" s="135" t="s">
        <v>904</v>
      </c>
      <c r="C97" s="257" t="s">
        <v>46</v>
      </c>
      <c r="D97" s="135" t="s">
        <v>905</v>
      </c>
      <c r="E97" s="135" t="s">
        <v>906</v>
      </c>
      <c r="F97" s="135" t="s">
        <v>907</v>
      </c>
      <c r="G97" s="135" t="s">
        <v>908</v>
      </c>
      <c r="H97" s="135" t="s">
        <v>909</v>
      </c>
      <c r="I97" s="135" t="s">
        <v>910</v>
      </c>
      <c r="J97" s="135" t="s">
        <v>911</v>
      </c>
      <c r="K97" s="135" t="s">
        <v>912</v>
      </c>
      <c r="L97" s="135" t="s">
        <v>1</v>
      </c>
      <c r="M97" s="135" t="s">
        <v>1</v>
      </c>
      <c r="N97" s="135" t="s">
        <v>913</v>
      </c>
      <c r="O97" s="135" t="s">
        <v>914</v>
      </c>
      <c r="P97" s="135" t="s">
        <v>915</v>
      </c>
      <c r="Q97" s="135" t="s">
        <v>85</v>
      </c>
      <c r="R97" s="135" t="s">
        <v>916</v>
      </c>
      <c r="S97" s="135" t="s">
        <v>90</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917</v>
      </c>
      <c r="B98" s="135" t="s">
        <v>904</v>
      </c>
      <c r="C98" s="257" t="s">
        <v>46</v>
      </c>
      <c r="D98" s="135" t="s">
        <v>918</v>
      </c>
      <c r="E98" s="135" t="s">
        <v>919</v>
      </c>
      <c r="F98" s="135" t="s">
        <v>920</v>
      </c>
      <c r="G98" s="135" t="s">
        <v>921</v>
      </c>
      <c r="H98" s="135" t="s">
        <v>4</v>
      </c>
      <c r="I98" s="135" t="s">
        <v>4</v>
      </c>
      <c r="J98" s="135" t="s">
        <v>922</v>
      </c>
      <c r="K98" s="135" t="s">
        <v>147</v>
      </c>
      <c r="L98" s="135" t="s">
        <v>85</v>
      </c>
      <c r="M98" s="135" t="s">
        <v>923</v>
      </c>
      <c r="N98" s="135" t="s">
        <v>148</v>
      </c>
      <c r="O98" s="135" t="s">
        <v>924</v>
      </c>
      <c r="P98" s="135" t="s">
        <v>925</v>
      </c>
      <c r="Q98" s="135" t="s">
        <v>85</v>
      </c>
      <c r="R98" s="135" t="s">
        <v>926</v>
      </c>
      <c r="S98" s="135" t="s">
        <v>90</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5" t="s">
        <v>927</v>
      </c>
      <c r="B99" s="135" t="s">
        <v>904</v>
      </c>
      <c r="C99" s="257" t="s">
        <v>46</v>
      </c>
      <c r="D99" s="135" t="s">
        <v>928</v>
      </c>
      <c r="E99" s="135" t="s">
        <v>929</v>
      </c>
      <c r="F99" s="135" t="s">
        <v>920</v>
      </c>
      <c r="G99" s="135" t="s">
        <v>930</v>
      </c>
      <c r="H99" s="135" t="s">
        <v>4</v>
      </c>
      <c r="I99" s="135" t="s">
        <v>4</v>
      </c>
      <c r="J99" s="135" t="s">
        <v>931</v>
      </c>
      <c r="K99" s="135" t="s">
        <v>147</v>
      </c>
      <c r="L99" s="135" t="s">
        <v>85</v>
      </c>
      <c r="M99" s="135" t="s">
        <v>923</v>
      </c>
      <c r="N99" s="135" t="s">
        <v>148</v>
      </c>
      <c r="O99" s="135" t="s">
        <v>932</v>
      </c>
      <c r="P99" s="135" t="s">
        <v>933</v>
      </c>
      <c r="Q99" s="135" t="s">
        <v>85</v>
      </c>
      <c r="R99" s="135" t="s">
        <v>934</v>
      </c>
      <c r="S99" s="135" t="s">
        <v>90</v>
      </c>
      <c r="T99" s="135" t="s">
        <v>1</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Done</v>
      </c>
      <c r="V99" s="146">
        <f>IF(T99="","",VALUE(LEFT(T99,SEARCH("/",T99)-1)))</f>
        <v/>
      </c>
      <c r="W99" s="146">
        <f>IF(T99="","",VALUE(MID(T99,SEARCH("/",T99)+1,LEN(T99))))</f>
        <v/>
      </c>
    </row>
    <row r="100" customFormat="false" ht="15" hidden="false" customHeight="false" outlineLevel="0" collapsed="false">
      <c r="A100" s="135" t="s">
        <v>935</v>
      </c>
      <c r="B100" s="135" t="s">
        <v>904</v>
      </c>
      <c r="C100" s="257" t="s">
        <v>46</v>
      </c>
      <c r="D100" s="135" t="s">
        <v>936</v>
      </c>
      <c r="E100" s="135" t="s">
        <v>937</v>
      </c>
      <c r="F100" s="135" t="s">
        <v>938</v>
      </c>
      <c r="G100" s="135" t="s">
        <v>939</v>
      </c>
      <c r="H100" s="135" t="s">
        <v>4</v>
      </c>
      <c r="I100" s="135" t="s">
        <v>940</v>
      </c>
      <c r="J100" s="135" t="s">
        <v>941</v>
      </c>
      <c r="K100" s="135" t="s">
        <v>147</v>
      </c>
      <c r="L100" s="135" t="s">
        <v>1</v>
      </c>
      <c r="M100" s="135" t="s">
        <v>1</v>
      </c>
      <c r="N100" s="135" t="s">
        <v>148</v>
      </c>
      <c r="O100" s="135" t="s">
        <v>942</v>
      </c>
      <c r="P100" s="135" t="s">
        <v>943</v>
      </c>
      <c r="Q100" s="135" t="s">
        <v>85</v>
      </c>
      <c r="R100" s="135" t="s">
        <v>944</v>
      </c>
      <c r="S100" s="135" t="s">
        <v>90</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f>IF(T100="","",VALUE(LEFT(T100,SEARCH("/",T100)-1)))</f>
        <v/>
      </c>
      <c r="W100" s="146">
        <f>IF(T100="","",VALUE(MID(T100,SEARCH("/",T100)+1,LEN(T100))))</f>
        <v/>
      </c>
    </row>
    <row r="101" customFormat="false" ht="15" hidden="false" customHeight="false" outlineLevel="0" collapsed="false">
      <c r="A101" s="135" t="s">
        <v>945</v>
      </c>
      <c r="B101" s="135" t="s">
        <v>904</v>
      </c>
      <c r="C101" s="257" t="s">
        <v>46</v>
      </c>
      <c r="D101" s="135" t="s">
        <v>946</v>
      </c>
      <c r="E101" s="135" t="s">
        <v>947</v>
      </c>
      <c r="F101" s="135" t="s">
        <v>948</v>
      </c>
      <c r="G101" s="135" t="s">
        <v>949</v>
      </c>
      <c r="H101" s="135" t="s">
        <v>4</v>
      </c>
      <c r="I101" s="135" t="s">
        <v>950</v>
      </c>
      <c r="J101" s="135" t="s">
        <v>951</v>
      </c>
      <c r="K101" s="135" t="s">
        <v>147</v>
      </c>
      <c r="L101" s="135" t="s">
        <v>85</v>
      </c>
      <c r="M101" s="135" t="s">
        <v>923</v>
      </c>
      <c r="N101" s="135" t="s">
        <v>148</v>
      </c>
      <c r="O101" s="135" t="s">
        <v>952</v>
      </c>
      <c r="P101" s="135" t="s">
        <v>953</v>
      </c>
      <c r="Q101" s="135" t="s">
        <v>85</v>
      </c>
      <c r="R101" s="135" t="s">
        <v>954</v>
      </c>
      <c r="S101" s="135" t="s">
        <v>174</v>
      </c>
      <c r="T101" s="135" t="s">
        <v>1</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Done</v>
      </c>
      <c r="V101" s="146">
        <f>IF(T101="","",VALUE(LEFT(T101,SEARCH("/",T101)-1)))</f>
        <v/>
      </c>
      <c r="W101" s="146">
        <f>IF(T101="","",VALUE(MID(T101,SEARCH("/",T101)+1,LEN(T101))))</f>
        <v/>
      </c>
    </row>
    <row r="102" customFormat="false" ht="15" hidden="false" customHeight="false" outlineLevel="0" collapsed="false">
      <c r="A102" s="135" t="s">
        <v>955</v>
      </c>
      <c r="B102" s="135" t="s">
        <v>232</v>
      </c>
      <c r="C102" s="257" t="s">
        <v>46</v>
      </c>
      <c r="D102" s="135" t="s">
        <v>956</v>
      </c>
      <c r="E102" s="135" t="s">
        <v>957</v>
      </c>
      <c r="F102" s="135" t="s">
        <v>4</v>
      </c>
      <c r="G102" s="135" t="s">
        <v>958</v>
      </c>
      <c r="H102" s="135" t="s">
        <v>4</v>
      </c>
      <c r="I102" s="135" t="s">
        <v>8</v>
      </c>
      <c r="J102" s="135" t="s">
        <v>959</v>
      </c>
      <c r="K102" s="135" t="s">
        <v>147</v>
      </c>
      <c r="L102" s="135" t="s">
        <v>85</v>
      </c>
      <c r="M102" s="135" t="s">
        <v>923</v>
      </c>
      <c r="N102" s="135" t="s">
        <v>148</v>
      </c>
      <c r="O102" s="135" t="s">
        <v>960</v>
      </c>
      <c r="P102" s="135" t="s">
        <v>961</v>
      </c>
      <c r="Q102" s="135" t="s">
        <v>85</v>
      </c>
      <c r="R102" s="135" t="s">
        <v>962</v>
      </c>
      <c r="S102" s="135" t="s">
        <v>120</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963</v>
      </c>
      <c r="B103" s="135" t="s">
        <v>299</v>
      </c>
      <c r="C103" s="258" t="s">
        <v>52</v>
      </c>
      <c r="D103" s="135" t="s">
        <v>964</v>
      </c>
      <c r="E103" s="135" t="s">
        <v>965</v>
      </c>
      <c r="F103" s="135" t="s">
        <v>966</v>
      </c>
      <c r="G103" s="135" t="s">
        <v>967</v>
      </c>
      <c r="H103" s="135" t="s">
        <v>4</v>
      </c>
      <c r="I103" s="135" t="s">
        <v>968</v>
      </c>
      <c r="J103" s="135" t="s">
        <v>969</v>
      </c>
      <c r="K103" s="135" t="s">
        <v>970</v>
      </c>
      <c r="L103" s="135" t="s">
        <v>1</v>
      </c>
      <c r="M103" s="135" t="s">
        <v>1</v>
      </c>
      <c r="N103" s="135" t="s">
        <v>541</v>
      </c>
      <c r="O103" s="135" t="s">
        <v>971</v>
      </c>
      <c r="P103" s="135" t="s">
        <v>972</v>
      </c>
      <c r="Q103" s="135" t="s">
        <v>85</v>
      </c>
      <c r="R103" s="135" t="s">
        <v>973</v>
      </c>
      <c r="S103" s="135" t="s">
        <v>90</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974</v>
      </c>
      <c r="B104" s="135" t="s">
        <v>975</v>
      </c>
      <c r="C104" s="258" t="s">
        <v>52</v>
      </c>
      <c r="D104" s="135" t="s">
        <v>976</v>
      </c>
      <c r="E104" s="135" t="s">
        <v>977</v>
      </c>
      <c r="F104" s="135" t="s">
        <v>978</v>
      </c>
      <c r="G104" s="135" t="s">
        <v>979</v>
      </c>
      <c r="H104" s="135" t="s">
        <v>4</v>
      </c>
      <c r="I104" s="135" t="s">
        <v>980</v>
      </c>
      <c r="J104" s="135" t="s">
        <v>981</v>
      </c>
      <c r="K104" s="135" t="s">
        <v>147</v>
      </c>
      <c r="L104" s="135" t="s">
        <v>85</v>
      </c>
      <c r="M104" s="135" t="s">
        <v>923</v>
      </c>
      <c r="N104" s="135" t="s">
        <v>148</v>
      </c>
      <c r="O104" s="135" t="s">
        <v>982</v>
      </c>
      <c r="P104" s="135" t="s">
        <v>983</v>
      </c>
      <c r="Q104" s="135" t="s">
        <v>85</v>
      </c>
      <c r="R104" s="135" t="s">
        <v>984</v>
      </c>
      <c r="S104" s="135" t="s">
        <v>90</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5" t="s">
        <v>985</v>
      </c>
      <c r="B105" s="135" t="s">
        <v>975</v>
      </c>
      <c r="C105" s="258" t="s">
        <v>52</v>
      </c>
      <c r="D105" s="135" t="s">
        <v>986</v>
      </c>
      <c r="E105" s="135" t="s">
        <v>987</v>
      </c>
      <c r="F105" s="135" t="s">
        <v>988</v>
      </c>
      <c r="G105" s="135" t="s">
        <v>989</v>
      </c>
      <c r="H105" s="135" t="s">
        <v>4</v>
      </c>
      <c r="I105" s="135" t="s">
        <v>4</v>
      </c>
      <c r="J105" s="135" t="s">
        <v>990</v>
      </c>
      <c r="K105" s="135" t="s">
        <v>147</v>
      </c>
      <c r="L105" s="135" t="s">
        <v>85</v>
      </c>
      <c r="M105" s="135" t="s">
        <v>923</v>
      </c>
      <c r="N105" s="135" t="s">
        <v>148</v>
      </c>
      <c r="O105" s="135" t="s">
        <v>991</v>
      </c>
      <c r="P105" s="135" t="s">
        <v>992</v>
      </c>
      <c r="Q105" s="135" t="s">
        <v>85</v>
      </c>
      <c r="R105" s="135" t="s">
        <v>993</v>
      </c>
      <c r="S105" s="135" t="s">
        <v>174</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f>IF(T105="","",VALUE(LEFT(T105,SEARCH("/",T105)-1)))</f>
        <v/>
      </c>
      <c r="W105" s="146">
        <f>IF(T105="","",VALUE(MID(T105,SEARCH("/",T105)+1,LEN(T105))))</f>
        <v/>
      </c>
    </row>
    <row r="106" customFormat="false" ht="15" hidden="false" customHeight="false" outlineLevel="0" collapsed="false">
      <c r="A106" s="135" t="s">
        <v>994</v>
      </c>
      <c r="B106" s="135" t="s">
        <v>975</v>
      </c>
      <c r="C106" s="258" t="s">
        <v>52</v>
      </c>
      <c r="D106" s="135" t="s">
        <v>995</v>
      </c>
      <c r="E106" s="135" t="s">
        <v>996</v>
      </c>
      <c r="F106" s="135" t="s">
        <v>997</v>
      </c>
      <c r="G106" s="135" t="s">
        <v>998</v>
      </c>
      <c r="H106" s="135" t="s">
        <v>4</v>
      </c>
      <c r="I106" s="135" t="s">
        <v>4</v>
      </c>
      <c r="J106" s="135" t="s">
        <v>999</v>
      </c>
      <c r="K106" s="135" t="s">
        <v>147</v>
      </c>
      <c r="L106" s="135" t="s">
        <v>85</v>
      </c>
      <c r="M106" s="135" t="s">
        <v>923</v>
      </c>
      <c r="N106" s="135" t="s">
        <v>148</v>
      </c>
      <c r="O106" s="135" t="s">
        <v>1000</v>
      </c>
      <c r="P106" s="135" t="s">
        <v>1001</v>
      </c>
      <c r="Q106" s="135" t="s">
        <v>85</v>
      </c>
      <c r="R106" s="135" t="s">
        <v>1002</v>
      </c>
      <c r="S106" s="135" t="s">
        <v>446</v>
      </c>
      <c r="T106" s="135" t="s">
        <v>1</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Done</v>
      </c>
      <c r="V106" s="146">
        <f>IF(T106="","",VALUE(LEFT(T106,SEARCH("/",T106)-1)))</f>
        <v/>
      </c>
      <c r="W106" s="146">
        <f>IF(T106="","",VALUE(MID(T106,SEARCH("/",T106)+1,LEN(T106))))</f>
        <v/>
      </c>
    </row>
    <row r="107" customFormat="false" ht="15" hidden="false" customHeight="false" outlineLevel="0" collapsed="false">
      <c r="A107" s="135" t="s">
        <v>1003</v>
      </c>
      <c r="B107" s="135" t="s">
        <v>975</v>
      </c>
      <c r="C107" s="258" t="s">
        <v>52</v>
      </c>
      <c r="D107" s="135" t="s">
        <v>1004</v>
      </c>
      <c r="E107" s="135" t="s">
        <v>1005</v>
      </c>
      <c r="F107" s="135" t="s">
        <v>1006</v>
      </c>
      <c r="G107" s="135" t="s">
        <v>1007</v>
      </c>
      <c r="H107" s="135" t="s">
        <v>4</v>
      </c>
      <c r="I107" s="135" t="s">
        <v>4</v>
      </c>
      <c r="J107" s="135" t="s">
        <v>1008</v>
      </c>
      <c r="K107" s="135" t="s">
        <v>147</v>
      </c>
      <c r="L107" s="135" t="s">
        <v>85</v>
      </c>
      <c r="M107" s="135" t="s">
        <v>923</v>
      </c>
      <c r="N107" s="135" t="s">
        <v>148</v>
      </c>
      <c r="O107" s="135" t="s">
        <v>1009</v>
      </c>
      <c r="P107" s="135" t="s">
        <v>1010</v>
      </c>
      <c r="Q107" s="135" t="s">
        <v>85</v>
      </c>
      <c r="R107" s="135" t="s">
        <v>1011</v>
      </c>
      <c r="S107" s="135" t="s">
        <v>446</v>
      </c>
      <c r="T107" s="135" t="s">
        <v>1</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Done</v>
      </c>
      <c r="V107" s="146">
        <f>IF(T107="","",VALUE(LEFT(T107,SEARCH("/",T107)-1)))</f>
        <v/>
      </c>
      <c r="W107" s="146">
        <f>IF(T107="","",VALUE(MID(T107,SEARCH("/",T107)+1,LEN(T107))))</f>
        <v/>
      </c>
    </row>
    <row r="108" customFormat="false" ht="15" hidden="false" customHeight="false" outlineLevel="0" collapsed="false">
      <c r="A108" s="135" t="s">
        <v>1012</v>
      </c>
      <c r="B108" s="135" t="s">
        <v>777</v>
      </c>
      <c r="C108" s="258" t="s">
        <v>52</v>
      </c>
      <c r="D108" s="135" t="s">
        <v>63</v>
      </c>
      <c r="E108" s="135" t="s">
        <v>1013</v>
      </c>
      <c r="F108" s="135" t="s">
        <v>1014</v>
      </c>
      <c r="G108" s="135" t="s">
        <v>1015</v>
      </c>
      <c r="H108" s="135" t="s">
        <v>4</v>
      </c>
      <c r="I108" s="135" t="s">
        <v>1016</v>
      </c>
      <c r="J108" s="135" t="s">
        <v>1017</v>
      </c>
      <c r="K108" s="135" t="s">
        <v>307</v>
      </c>
      <c r="L108" s="135" t="s">
        <v>1</v>
      </c>
      <c r="M108" s="135" t="s">
        <v>1</v>
      </c>
      <c r="N108" s="135" t="s">
        <v>541</v>
      </c>
      <c r="O108" s="135" t="s">
        <v>1018</v>
      </c>
      <c r="P108" s="135" t="s">
        <v>1019</v>
      </c>
      <c r="Q108" s="135" t="s">
        <v>85</v>
      </c>
      <c r="R108" s="135" t="s">
        <v>1020</v>
      </c>
      <c r="S108" s="135" t="s">
        <v>1021</v>
      </c>
      <c r="T108" s="135" t="s">
        <v>1</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Done</v>
      </c>
      <c r="V108" s="146">
        <f>IF(T108="","",VALUE(LEFT(T108,SEARCH("/",T108)-1)))</f>
        <v/>
      </c>
      <c r="W108" s="146">
        <f>IF(T108="","",VALUE(MID(T108,SEARCH("/",T108)+1,LEN(T108))))</f>
        <v/>
      </c>
    </row>
    <row r="109" customFormat="false" ht="15" hidden="false" customHeight="false" outlineLevel="0" collapsed="false">
      <c r="A109" s="135" t="s">
        <v>1022</v>
      </c>
      <c r="B109" s="135" t="s">
        <v>904</v>
      </c>
      <c r="C109" s="259" t="s">
        <v>26</v>
      </c>
      <c r="D109" s="135" t="s">
        <v>1023</v>
      </c>
      <c r="E109" s="135" t="s">
        <v>1024</v>
      </c>
      <c r="F109" s="135" t="s">
        <v>1025</v>
      </c>
      <c r="G109" s="135" t="s">
        <v>1026</v>
      </c>
      <c r="H109" s="135" t="s">
        <v>4</v>
      </c>
      <c r="I109" s="135" t="s">
        <v>4</v>
      </c>
      <c r="J109" s="135" t="s">
        <v>1027</v>
      </c>
      <c r="K109" s="135" t="s">
        <v>147</v>
      </c>
      <c r="L109" s="135" t="s">
        <v>85</v>
      </c>
      <c r="M109" s="135" t="s">
        <v>1028</v>
      </c>
      <c r="N109" s="135" t="s">
        <v>1029</v>
      </c>
      <c r="O109" s="135" t="s">
        <v>1030</v>
      </c>
      <c r="P109" s="135" t="s">
        <v>1031</v>
      </c>
      <c r="Q109" s="135" t="s">
        <v>85</v>
      </c>
      <c r="R109" s="135" t="s">
        <v>1032</v>
      </c>
      <c r="S109" s="135" t="s">
        <v>174</v>
      </c>
      <c r="T109" s="135" t="s">
        <v>1</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Done</v>
      </c>
      <c r="V109" s="146">
        <f>IF(T109="","",VALUE(LEFT(T109,SEARCH("/",T109)-1)))</f>
        <v/>
      </c>
      <c r="W109" s="146">
        <f>IF(T109="","",VALUE(MID(T109,SEARCH("/",T109)+1,LEN(T109))))</f>
        <v/>
      </c>
    </row>
    <row r="110" customFormat="false" ht="15" hidden="false" customHeight="false" outlineLevel="0" collapsed="false">
      <c r="A110" s="135" t="s">
        <v>1033</v>
      </c>
      <c r="B110" s="135" t="s">
        <v>904</v>
      </c>
      <c r="C110" s="259" t="s">
        <v>26</v>
      </c>
      <c r="D110" s="135" t="s">
        <v>1034</v>
      </c>
      <c r="E110" s="135" t="s">
        <v>1035</v>
      </c>
      <c r="F110" s="135" t="s">
        <v>1036</v>
      </c>
      <c r="G110" s="135" t="s">
        <v>1037</v>
      </c>
      <c r="H110" s="135" t="s">
        <v>1038</v>
      </c>
      <c r="I110" s="135" t="s">
        <v>1039</v>
      </c>
      <c r="J110" s="135" t="s">
        <v>1040</v>
      </c>
      <c r="K110" s="135" t="s">
        <v>147</v>
      </c>
      <c r="L110" s="135" t="s">
        <v>85</v>
      </c>
      <c r="M110" s="135" t="s">
        <v>1028</v>
      </c>
      <c r="N110" s="135" t="s">
        <v>1029</v>
      </c>
      <c r="O110" s="135" t="s">
        <v>1041</v>
      </c>
      <c r="P110" s="135" t="s">
        <v>1042</v>
      </c>
      <c r="Q110" s="135" t="s">
        <v>85</v>
      </c>
      <c r="R110" s="135" t="s">
        <v>1043</v>
      </c>
      <c r="S110" s="135" t="s">
        <v>446</v>
      </c>
      <c r="T110" s="135" t="s">
        <v>1</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Done</v>
      </c>
      <c r="V110" s="146">
        <f>IF(T110="","",VALUE(LEFT(T110,SEARCH("/",T110)-1)))</f>
        <v/>
      </c>
      <c r="W110" s="146">
        <f>IF(T110="","",VALUE(MID(T110,SEARCH("/",T110)+1,LEN(T110))))</f>
        <v/>
      </c>
    </row>
    <row r="111" customFormat="false" ht="15" hidden="false" customHeight="false" outlineLevel="0" collapsed="false">
      <c r="A111" s="135" t="s">
        <v>1044</v>
      </c>
      <c r="B111" s="135" t="s">
        <v>218</v>
      </c>
      <c r="C111" s="259" t="s">
        <v>26</v>
      </c>
      <c r="D111" s="135" t="s">
        <v>1045</v>
      </c>
      <c r="E111" s="135" t="s">
        <v>1046</v>
      </c>
      <c r="F111" s="135" t="s">
        <v>1047</v>
      </c>
      <c r="G111" s="135" t="s">
        <v>1048</v>
      </c>
      <c r="H111" s="135" t="s">
        <v>4</v>
      </c>
      <c r="I111" s="135" t="s">
        <v>1049</v>
      </c>
      <c r="J111" s="135" t="s">
        <v>1050</v>
      </c>
      <c r="K111" s="135" t="s">
        <v>147</v>
      </c>
      <c r="L111" s="135" t="s">
        <v>85</v>
      </c>
      <c r="M111" s="135" t="s">
        <v>1028</v>
      </c>
      <c r="N111" s="135" t="s">
        <v>1029</v>
      </c>
      <c r="O111" s="135" t="s">
        <v>1051</v>
      </c>
      <c r="P111" s="135" t="s">
        <v>1052</v>
      </c>
      <c r="Q111" s="135" t="s">
        <v>85</v>
      </c>
      <c r="R111" s="135" t="s">
        <v>1053</v>
      </c>
      <c r="S111" s="135" t="s">
        <v>367</v>
      </c>
      <c r="T111" s="135" t="s">
        <v>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Done</v>
      </c>
      <c r="V111" s="146">
        <f>IF(T111="","",VALUE(LEFT(T111,SEARCH("/",T111)-1)))</f>
        <v/>
      </c>
      <c r="W111" s="146">
        <f>IF(T111="","",VALUE(MID(T111,SEARCH("/",T111)+1,LEN(T111))))</f>
        <v/>
      </c>
    </row>
    <row r="112" customFormat="false" ht="15" hidden="false" customHeight="false" outlineLevel="0" collapsed="false">
      <c r="A112" s="135" t="s">
        <v>1054</v>
      </c>
      <c r="B112" s="135" t="s">
        <v>218</v>
      </c>
      <c r="C112" s="259" t="s">
        <v>26</v>
      </c>
      <c r="D112" s="135" t="s">
        <v>1055</v>
      </c>
      <c r="E112" s="135" t="s">
        <v>1056</v>
      </c>
      <c r="F112" s="135" t="s">
        <v>1057</v>
      </c>
      <c r="G112" s="135" t="s">
        <v>1058</v>
      </c>
      <c r="H112" s="135" t="s">
        <v>4</v>
      </c>
      <c r="I112" s="135" t="s">
        <v>1059</v>
      </c>
      <c r="J112" s="135" t="s">
        <v>1060</v>
      </c>
      <c r="K112" s="135" t="s">
        <v>147</v>
      </c>
      <c r="L112" s="135" t="s">
        <v>1</v>
      </c>
      <c r="M112" s="135" t="s">
        <v>1</v>
      </c>
      <c r="N112" s="135" t="s">
        <v>1061</v>
      </c>
      <c r="O112" s="135" t="s">
        <v>1062</v>
      </c>
      <c r="P112" s="135" t="s">
        <v>1063</v>
      </c>
      <c r="Q112" s="135" t="s">
        <v>85</v>
      </c>
      <c r="R112" s="135" t="s">
        <v>1064</v>
      </c>
      <c r="S112" s="135" t="s">
        <v>1065</v>
      </c>
      <c r="T112" s="135" t="s">
        <v>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V112" s="146">
        <f>IF(T112="","",VALUE(LEFT(T112,SEARCH("/",T112)-1)))</f>
        <v/>
      </c>
      <c r="W112" s="146">
        <f>IF(T112="","",VALUE(MID(T112,SEARCH("/",T112)+1,LEN(T112))))</f>
        <v/>
      </c>
    </row>
    <row r="113" customFormat="false" ht="15" hidden="false" customHeight="false" outlineLevel="0" collapsed="false">
      <c r="A113" s="135" t="s">
        <v>1066</v>
      </c>
      <c r="B113" s="135" t="s">
        <v>299</v>
      </c>
      <c r="C113" s="259" t="s">
        <v>26</v>
      </c>
      <c r="D113" s="135" t="s">
        <v>1067</v>
      </c>
      <c r="E113" s="135" t="s">
        <v>1068</v>
      </c>
      <c r="F113" s="135" t="s">
        <v>1069</v>
      </c>
      <c r="G113" s="135" t="s">
        <v>1070</v>
      </c>
      <c r="H113" s="135" t="s">
        <v>1071</v>
      </c>
      <c r="I113" s="135" t="s">
        <v>1072</v>
      </c>
      <c r="J113" s="135" t="s">
        <v>1073</v>
      </c>
      <c r="K113" s="135" t="s">
        <v>147</v>
      </c>
      <c r="L113" s="135" t="s">
        <v>1</v>
      </c>
      <c r="M113" s="135" t="s">
        <v>1</v>
      </c>
      <c r="N113" s="135" t="s">
        <v>1074</v>
      </c>
      <c r="O113" s="135" t="s">
        <v>1075</v>
      </c>
      <c r="P113" s="135" t="s">
        <v>1076</v>
      </c>
      <c r="Q113" s="135" t="s">
        <v>85</v>
      </c>
      <c r="R113" s="135" t="s">
        <v>1077</v>
      </c>
      <c r="S113" s="135" t="s">
        <v>90</v>
      </c>
      <c r="T113" s="135" t="s">
        <v>1</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Done</v>
      </c>
      <c r="V113" s="146">
        <f>IF(T113="","",VALUE(LEFT(T113,SEARCH("/",T113)-1)))</f>
        <v/>
      </c>
      <c r="W113" s="146">
        <f>IF(T113="","",VALUE(MID(T113,SEARCH("/",T113)+1,LEN(T113))))</f>
        <v/>
      </c>
    </row>
    <row r="114" customFormat="false" ht="15" hidden="false" customHeight="false" outlineLevel="0" collapsed="false">
      <c r="A114" s="135" t="s">
        <v>1078</v>
      </c>
      <c r="B114" s="135" t="s">
        <v>1079</v>
      </c>
      <c r="C114" s="259" t="s">
        <v>26</v>
      </c>
      <c r="D114" s="135" t="s">
        <v>1080</v>
      </c>
      <c r="E114" s="135" t="s">
        <v>1081</v>
      </c>
      <c r="F114" s="135" t="s">
        <v>1082</v>
      </c>
      <c r="G114" s="135" t="s">
        <v>1083</v>
      </c>
      <c r="H114" s="135" t="s">
        <v>4</v>
      </c>
      <c r="I114" s="135" t="s">
        <v>1084</v>
      </c>
      <c r="J114" s="135" t="s">
        <v>1085</v>
      </c>
      <c r="K114" s="135" t="s">
        <v>147</v>
      </c>
      <c r="L114" s="135" t="s">
        <v>1</v>
      </c>
      <c r="M114" s="135" t="s">
        <v>1</v>
      </c>
      <c r="N114" s="135" t="s">
        <v>1061</v>
      </c>
      <c r="O114" s="135" t="s">
        <v>1086</v>
      </c>
      <c r="P114" s="135" t="s">
        <v>1087</v>
      </c>
      <c r="Q114" s="135" t="s">
        <v>85</v>
      </c>
      <c r="R114" s="135" t="s">
        <v>1088</v>
      </c>
      <c r="S114" s="135" t="s">
        <v>174</v>
      </c>
      <c r="T114" s="135" t="s">
        <v>1</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Done</v>
      </c>
      <c r="V114" s="146">
        <f>IF(T114="","",VALUE(LEFT(T114,SEARCH("/",T114)-1)))</f>
        <v/>
      </c>
      <c r="W114" s="146">
        <f>IF(T114="","",VALUE(MID(T114,SEARCH("/",T114)+1,LEN(T114))))</f>
        <v/>
      </c>
    </row>
    <row r="115" customFormat="false" ht="15" hidden="false" customHeight="false" outlineLevel="0" collapsed="false">
      <c r="A115" s="135" t="s">
        <v>1089</v>
      </c>
      <c r="B115" s="135" t="s">
        <v>218</v>
      </c>
      <c r="C115" s="259" t="s">
        <v>26</v>
      </c>
      <c r="D115" s="135" t="s">
        <v>1090</v>
      </c>
      <c r="E115" s="135" t="s">
        <v>1091</v>
      </c>
      <c r="F115" s="135" t="s">
        <v>1092</v>
      </c>
      <c r="G115" s="135" t="s">
        <v>1093</v>
      </c>
      <c r="H115" s="135" t="s">
        <v>4</v>
      </c>
      <c r="I115" s="135" t="s">
        <v>1094</v>
      </c>
      <c r="J115" s="135" t="s">
        <v>1095</v>
      </c>
      <c r="K115" s="135" t="s">
        <v>147</v>
      </c>
      <c r="L115" s="135" t="s">
        <v>85</v>
      </c>
      <c r="M115" s="135" t="s">
        <v>85</v>
      </c>
      <c r="N115" s="135" t="s">
        <v>1096</v>
      </c>
      <c r="O115" s="135" t="s">
        <v>1097</v>
      </c>
      <c r="P115" s="135" t="s">
        <v>1098</v>
      </c>
      <c r="Q115" s="135" t="s">
        <v>85</v>
      </c>
      <c r="R115" s="135" t="s">
        <v>1099</v>
      </c>
      <c r="S115" s="135" t="s">
        <v>367</v>
      </c>
      <c r="T115" s="135" t="s">
        <v>1</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Done</v>
      </c>
      <c r="V115" s="146">
        <f>IF(T115="","",VALUE(LEFT(T115,SEARCH("/",T115)-1)))</f>
        <v/>
      </c>
      <c r="W115" s="146">
        <f>IF(T115="","",VALUE(MID(T115,SEARCH("/",T115)+1,LEN(T115))))</f>
        <v/>
      </c>
    </row>
    <row r="116" customFormat="false" ht="15" hidden="false" customHeight="false" outlineLevel="0" collapsed="false">
      <c r="A116" s="135" t="s">
        <v>1100</v>
      </c>
      <c r="B116" s="135" t="s">
        <v>122</v>
      </c>
      <c r="C116" s="531" t="s">
        <v>32</v>
      </c>
      <c r="D116" s="135" t="s">
        <v>1101</v>
      </c>
      <c r="E116" s="135" t="s">
        <v>1102</v>
      </c>
      <c r="F116" s="135" t="s">
        <v>125</v>
      </c>
      <c r="G116" s="135" t="s">
        <v>126</v>
      </c>
      <c r="H116" s="135" t="s">
        <v>127</v>
      </c>
      <c r="I116" s="135" t="s">
        <v>128</v>
      </c>
      <c r="J116" s="135" t="s">
        <v>1103</v>
      </c>
      <c r="K116" s="135" t="s">
        <v>1104</v>
      </c>
      <c r="L116" s="135" t="s">
        <v>1105</v>
      </c>
      <c r="M116" s="135" t="s">
        <v>96</v>
      </c>
      <c r="N116" s="135" t="s">
        <v>250</v>
      </c>
      <c r="O116" s="135" t="s">
        <v>1106</v>
      </c>
      <c r="P116" s="135" t="s">
        <v>1107</v>
      </c>
      <c r="Q116" s="135" t="s">
        <v>85</v>
      </c>
      <c r="R116" s="135" t="s">
        <v>1108</v>
      </c>
      <c r="S116" s="135" t="s">
        <v>474</v>
      </c>
      <c r="T116" s="135" t="s">
        <v>1</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Done</v>
      </c>
      <c r="V116" s="146">
        <f>IF(T116="","",VALUE(LEFT(T116,SEARCH("/",T116)-1)))</f>
        <v/>
      </c>
      <c r="W116" s="146">
        <f>IF(T116="","",VALUE(MID(T116,SEARCH("/",T116)+1,LEN(T116))))</f>
        <v/>
      </c>
    </row>
    <row r="117" customFormat="false" ht="15" hidden="false" customHeight="false" outlineLevel="0" collapsed="false">
      <c r="A117" s="135" t="s">
        <v>1109</v>
      </c>
      <c r="B117" s="135" t="s">
        <v>122</v>
      </c>
      <c r="C117" s="531" t="s">
        <v>32</v>
      </c>
      <c r="D117" s="135" t="s">
        <v>1110</v>
      </c>
      <c r="E117" s="135" t="s">
        <v>1111</v>
      </c>
      <c r="F117" s="135" t="s">
        <v>125</v>
      </c>
      <c r="G117" s="135" t="s">
        <v>126</v>
      </c>
      <c r="H117" s="135" t="s">
        <v>127</v>
      </c>
      <c r="I117" s="135" t="s">
        <v>128</v>
      </c>
      <c r="J117" s="135" t="s">
        <v>1112</v>
      </c>
      <c r="K117" s="135" t="s">
        <v>1113</v>
      </c>
      <c r="L117" s="135" t="s">
        <v>1114</v>
      </c>
      <c r="M117" s="135" t="s">
        <v>96</v>
      </c>
      <c r="N117" s="135" t="s">
        <v>132</v>
      </c>
      <c r="O117" s="135" t="s">
        <v>1115</v>
      </c>
      <c r="P117" s="135" t="s">
        <v>1116</v>
      </c>
      <c r="Q117" s="135" t="s">
        <v>85</v>
      </c>
      <c r="R117" s="135" t="s">
        <v>1117</v>
      </c>
      <c r="S117" s="135" t="s">
        <v>435</v>
      </c>
      <c r="T117" s="135" t="s">
        <v>1</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Done</v>
      </c>
      <c r="V117" s="146">
        <f>IF(T117="","",VALUE(LEFT(T117,SEARCH("/",T117)-1)))</f>
        <v/>
      </c>
      <c r="W117" s="146">
        <f>IF(T117="","",VALUE(MID(T117,SEARCH("/",T117)+1,LEN(T117))))</f>
        <v/>
      </c>
    </row>
    <row r="118" customFormat="false" ht="15" hidden="false" customHeight="false" outlineLevel="0" collapsed="false">
      <c r="A118" s="135" t="s">
        <v>1118</v>
      </c>
      <c r="B118" s="135" t="s">
        <v>299</v>
      </c>
      <c r="C118" s="261" t="s">
        <v>37</v>
      </c>
      <c r="D118" s="135" t="s">
        <v>1119</v>
      </c>
      <c r="E118" s="135" t="s">
        <v>1120</v>
      </c>
      <c r="F118" s="135" t="s">
        <v>4</v>
      </c>
      <c r="G118" s="135" t="s">
        <v>4</v>
      </c>
      <c r="H118" s="135" t="s">
        <v>4</v>
      </c>
      <c r="I118" s="135" t="s">
        <v>4</v>
      </c>
      <c r="J118" s="135" t="s">
        <v>1121</v>
      </c>
      <c r="K118" s="135" t="s">
        <v>821</v>
      </c>
      <c r="L118" s="135" t="s">
        <v>1</v>
      </c>
      <c r="M118" s="135" t="s">
        <v>1</v>
      </c>
      <c r="N118" s="135" t="s">
        <v>541</v>
      </c>
      <c r="O118" s="135" t="s">
        <v>1122</v>
      </c>
      <c r="P118" s="135" t="s">
        <v>1123</v>
      </c>
      <c r="Q118" s="135" t="s">
        <v>85</v>
      </c>
      <c r="R118" s="135" t="s">
        <v>1124</v>
      </c>
      <c r="S118" s="135" t="s">
        <v>367</v>
      </c>
      <c r="T118" s="135" t="s">
        <v>1</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Done</v>
      </c>
      <c r="V118" s="146">
        <f>IF(T118="","",VALUE(LEFT(T118,SEARCH("/",T118)-1)))</f>
        <v/>
      </c>
      <c r="W118" s="146">
        <f>IF(T118="","",VALUE(MID(T118,SEARCH("/",T118)+1,LEN(T118))))</f>
        <v/>
      </c>
    </row>
    <row r="119" customFormat="false" ht="15" hidden="false" customHeight="false" outlineLevel="0" collapsed="false">
      <c r="A119" s="135" t="s">
        <v>1125</v>
      </c>
      <c r="B119" s="135" t="s">
        <v>299</v>
      </c>
      <c r="C119" s="261" t="s">
        <v>37</v>
      </c>
      <c r="D119" s="135" t="s">
        <v>1126</v>
      </c>
      <c r="E119" s="135" t="s">
        <v>1127</v>
      </c>
      <c r="F119" s="135" t="s">
        <v>4</v>
      </c>
      <c r="G119" s="135" t="s">
        <v>4</v>
      </c>
      <c r="H119" s="135" t="s">
        <v>4</v>
      </c>
      <c r="I119" s="135" t="s">
        <v>4</v>
      </c>
      <c r="J119" s="135" t="s">
        <v>1128</v>
      </c>
      <c r="K119" s="135" t="s">
        <v>821</v>
      </c>
      <c r="L119" s="135" t="s">
        <v>1</v>
      </c>
      <c r="M119" s="135" t="s">
        <v>1</v>
      </c>
      <c r="N119" s="135" t="s">
        <v>541</v>
      </c>
      <c r="O119" s="135" t="s">
        <v>1129</v>
      </c>
      <c r="P119" s="135" t="s">
        <v>1130</v>
      </c>
      <c r="Q119" s="135" t="s">
        <v>85</v>
      </c>
      <c r="R119" s="135" t="s">
        <v>1131</v>
      </c>
      <c r="S119" s="135" t="s">
        <v>435</v>
      </c>
      <c r="T119" s="135" t="s">
        <v>1</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Done</v>
      </c>
      <c r="V119" s="146">
        <f>IF(T119="","",VALUE(LEFT(T119,SEARCH("/",T119)-1)))</f>
        <v/>
      </c>
      <c r="W119" s="146">
        <f>IF(T119="","",VALUE(MID(T119,SEARCH("/",T119)+1,LEN(T119))))</f>
        <v/>
      </c>
    </row>
    <row r="120" customFormat="false" ht="15" hidden="false" customHeight="false" outlineLevel="0" collapsed="false">
      <c r="A120" s="135" t="s">
        <v>1132</v>
      </c>
      <c r="B120" s="135" t="s">
        <v>218</v>
      </c>
      <c r="C120" s="261" t="s">
        <v>37</v>
      </c>
      <c r="D120" s="135" t="s">
        <v>1133</v>
      </c>
      <c r="E120" s="135" t="s">
        <v>1134</v>
      </c>
      <c r="F120" s="135" t="s">
        <v>1135</v>
      </c>
      <c r="G120" s="135" t="s">
        <v>1136</v>
      </c>
      <c r="H120" s="135" t="s">
        <v>4</v>
      </c>
      <c r="I120" s="135" t="s">
        <v>4</v>
      </c>
      <c r="J120" s="135" t="s">
        <v>1137</v>
      </c>
      <c r="K120" s="135" t="s">
        <v>147</v>
      </c>
      <c r="L120" s="135" t="s">
        <v>85</v>
      </c>
      <c r="M120" s="135" t="s">
        <v>85</v>
      </c>
      <c r="N120" s="135" t="s">
        <v>1096</v>
      </c>
      <c r="O120" s="135" t="s">
        <v>1138</v>
      </c>
      <c r="P120" s="135" t="s">
        <v>1139</v>
      </c>
      <c r="Q120" s="135" t="s">
        <v>85</v>
      </c>
      <c r="R120" s="135" t="s">
        <v>1140</v>
      </c>
      <c r="S120" s="135" t="s">
        <v>1141</v>
      </c>
      <c r="T120" s="135" t="s">
        <v>1</v>
      </c>
      <c r="U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Done</v>
      </c>
      <c r="V120" s="146">
        <f>IF(T120="","",VALUE(LEFT(T120,SEARCH("/",T120)-1)))</f>
        <v/>
      </c>
      <c r="W120" s="146">
        <f>IF(T120="","",VALUE(MID(T120,SEARCH("/",T120)+1,LEN(T120))))</f>
        <v/>
      </c>
    </row>
    <row r="121" customFormat="false" ht="15" hidden="false" customHeight="false" outlineLevel="0" collapsed="false">
      <c r="A121" s="135" t="s">
        <v>1142</v>
      </c>
      <c r="B121" s="135" t="s">
        <v>218</v>
      </c>
      <c r="C121" s="255" t="s">
        <v>43</v>
      </c>
      <c r="D121" s="135" t="s">
        <v>1143</v>
      </c>
      <c r="E121" s="135" t="s">
        <v>1144</v>
      </c>
      <c r="F121" s="135" t="s">
        <v>1145</v>
      </c>
      <c r="G121" s="135" t="s">
        <v>1146</v>
      </c>
      <c r="H121" s="135" t="s">
        <v>4</v>
      </c>
      <c r="I121" s="135" t="s">
        <v>1147</v>
      </c>
      <c r="J121" s="135" t="s">
        <v>1148</v>
      </c>
      <c r="K121" s="135" t="s">
        <v>1149</v>
      </c>
      <c r="L121" s="135" t="s">
        <v>1</v>
      </c>
      <c r="M121" s="135" t="s">
        <v>1</v>
      </c>
      <c r="N121" s="135" t="s">
        <v>1150</v>
      </c>
      <c r="O121" s="135" t="s">
        <v>1151</v>
      </c>
      <c r="P121" s="135" t="s">
        <v>1152</v>
      </c>
      <c r="Q121" s="135" t="s">
        <v>85</v>
      </c>
      <c r="R121" s="135" t="s">
        <v>1153</v>
      </c>
      <c r="S121" s="135" t="s">
        <v>174</v>
      </c>
      <c r="T121" s="135" t="s">
        <v>1</v>
      </c>
      <c r="U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Done</v>
      </c>
      <c r="V121" s="146">
        <f>IF(T121="","",VALUE(LEFT(T121,SEARCH("/",T121)-1)))</f>
        <v/>
      </c>
      <c r="W121" s="146">
        <f>IF(T121="","",VALUE(MID(T121,SEARCH("/",T121)+1,LEN(T121))))</f>
        <v/>
      </c>
    </row>
    <row r="122" customFormat="false" ht="15" hidden="false" customHeight="false" outlineLevel="0" collapsed="false">
      <c r="A122" s="135" t="s">
        <v>1154</v>
      </c>
      <c r="B122" s="135" t="s">
        <v>218</v>
      </c>
      <c r="C122" s="255" t="s">
        <v>43</v>
      </c>
      <c r="D122" s="135" t="s">
        <v>1155</v>
      </c>
      <c r="E122" s="135" t="s">
        <v>1156</v>
      </c>
      <c r="F122" s="135" t="s">
        <v>1157</v>
      </c>
      <c r="G122" s="135" t="s">
        <v>1158</v>
      </c>
      <c r="H122" s="135" t="s">
        <v>1159</v>
      </c>
      <c r="I122" s="135" t="s">
        <v>1160</v>
      </c>
      <c r="J122" s="135" t="s">
        <v>1161</v>
      </c>
      <c r="K122" s="135" t="s">
        <v>85</v>
      </c>
      <c r="L122" s="135" t="s">
        <v>1</v>
      </c>
      <c r="M122" s="135" t="s">
        <v>1</v>
      </c>
      <c r="N122" s="135" t="s">
        <v>1150</v>
      </c>
      <c r="O122" s="135" t="s">
        <v>1162</v>
      </c>
      <c r="P122" s="135" t="s">
        <v>1163</v>
      </c>
      <c r="Q122" s="135" t="s">
        <v>85</v>
      </c>
      <c r="R122" s="135" t="s">
        <v>1164</v>
      </c>
      <c r="S122" s="135" t="s">
        <v>379</v>
      </c>
      <c r="T122" s="135" t="s">
        <v>1</v>
      </c>
      <c r="U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Done</v>
      </c>
      <c r="V122" s="146">
        <f>IF(T122="","",VALUE(LEFT(T122,SEARCH("/",T122)-1)))</f>
        <v/>
      </c>
      <c r="W122" s="146">
        <f>IF(T122="","",VALUE(MID(T122,SEARCH("/",T122)+1,LEN(T122))))</f>
        <v/>
      </c>
    </row>
    <row r="123" customFormat="false" ht="15" hidden="false" customHeight="false" outlineLevel="0" collapsed="false">
      <c r="A123" s="135" t="s">
        <v>1165</v>
      </c>
      <c r="B123" s="135" t="s">
        <v>232</v>
      </c>
      <c r="C123" s="255" t="s">
        <v>43</v>
      </c>
      <c r="D123" s="135" t="s">
        <v>1166</v>
      </c>
      <c r="E123" s="135" t="s">
        <v>1167</v>
      </c>
      <c r="F123" s="135" t="s">
        <v>4</v>
      </c>
      <c r="G123" s="135" t="s">
        <v>1168</v>
      </c>
      <c r="H123" s="135" t="s">
        <v>4</v>
      </c>
      <c r="I123" s="135" t="s">
        <v>8</v>
      </c>
      <c r="J123" s="135" t="s">
        <v>1169</v>
      </c>
      <c r="K123" s="135" t="s">
        <v>85</v>
      </c>
      <c r="L123" s="135" t="s">
        <v>1</v>
      </c>
      <c r="M123" s="135" t="s">
        <v>1</v>
      </c>
      <c r="N123" s="135" t="s">
        <v>1150</v>
      </c>
      <c r="O123" s="135" t="s">
        <v>1170</v>
      </c>
      <c r="P123" s="135" t="s">
        <v>1171</v>
      </c>
      <c r="Q123" s="135" t="s">
        <v>85</v>
      </c>
      <c r="R123" s="135" t="s">
        <v>1172</v>
      </c>
      <c r="S123" s="135" t="s">
        <v>120</v>
      </c>
      <c r="T123" s="135" t="s">
        <v>1</v>
      </c>
      <c r="U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Done</v>
      </c>
      <c r="V123" s="146">
        <f>IF(T123="","",VALUE(LEFT(T123,SEARCH("/",T123)-1)))</f>
        <v/>
      </c>
      <c r="W123" s="146">
        <f>IF(T123="","",VALUE(MID(T123,SEARCH("/",T123)+1,LEN(T123))))</f>
        <v/>
      </c>
    </row>
    <row r="124" customFormat="false" ht="15" hidden="false" customHeight="false" outlineLevel="0" collapsed="false">
      <c r="A124" s="135" t="s">
        <v>1173</v>
      </c>
      <c r="B124" s="135" t="s">
        <v>218</v>
      </c>
      <c r="C124" s="255" t="s">
        <v>43</v>
      </c>
      <c r="D124" s="135" t="s">
        <v>1174</v>
      </c>
      <c r="E124" s="135" t="s">
        <v>1175</v>
      </c>
      <c r="F124" s="135" t="s">
        <v>1176</v>
      </c>
      <c r="G124" s="135" t="s">
        <v>1177</v>
      </c>
      <c r="H124" s="135" t="s">
        <v>4</v>
      </c>
      <c r="I124" s="135" t="s">
        <v>1178</v>
      </c>
      <c r="J124" s="135" t="s">
        <v>1179</v>
      </c>
      <c r="K124" s="135" t="s">
        <v>85</v>
      </c>
      <c r="L124" s="135" t="s">
        <v>1</v>
      </c>
      <c r="M124" s="135" t="s">
        <v>1</v>
      </c>
      <c r="N124" s="135" t="s">
        <v>1150</v>
      </c>
      <c r="O124" s="135" t="s">
        <v>1180</v>
      </c>
      <c r="P124" s="135" t="s">
        <v>1181</v>
      </c>
      <c r="Q124" s="135" t="s">
        <v>85</v>
      </c>
      <c r="R124" s="135" t="s">
        <v>1182</v>
      </c>
      <c r="S124" s="135" t="s">
        <v>446</v>
      </c>
      <c r="T124" s="135" t="s">
        <v>1</v>
      </c>
      <c r="U124" s="146" t="str">
        <f>IF(OR(ISNUMBER(SEARCH("FAIL",K124&amp;" "&amp;Q124)),ISNUMBER(SEARCH("CLEAN RETEST REQUIRED",K124&amp;" "&amp;Q124))),"Failed",IF(OR(ISNUMBER(SEARCH("NOT RUN",K124&amp;" "&amp;Q124)),ISNUMBER(SEARCH("NOT IMPLEMENTED",K124&amp;" "&amp;Q124))),"Not started",IF(OR(ISNUMBER(SEARCH("PARTIAL",K124&amp;" "&amp;Q124)),ISNUMBER(SEARCH("PENDING",K124&amp;" "&amp;Q124)),ISNUMBER(SEARCH("IN PROGRESS",K124&amp;" "&amp;Q124)),ISNUMBER(SEARCH("OPEN",K124&amp;" "&amp;Q124)),ISNUMBER(SEARCH("RETEST REQUIRED",K124&amp;" "&amp;Q124)),ISNUMBER(SEARCH("IMPLEMENTATION UPDATED",K124&amp;" "&amp;Q124)),ISNUMBER(SEARCH("REQUIRED EVERY SESSION",K124&amp;" "&amp;Q124))),"Pending",IF(OR(Q124="PASS",ISNUMBER(SEARCH("PASS",K124&amp;" "&amp;Q124))),"Done","Pending"))))</f>
        <v>Done</v>
      </c>
      <c r="V124" s="146">
        <f>IF(T124="","",VALUE(LEFT(T124,SEARCH("/",T124)-1)))</f>
        <v/>
      </c>
      <c r="W124" s="146">
        <f>IF(T124="","",VALUE(MID(T124,SEARCH("/",T124)+1,LEN(T124))))</f>
        <v/>
      </c>
    </row>
    <row r="125" customFormat="false" ht="15" hidden="false" customHeight="false" outlineLevel="0" collapsed="false">
      <c r="A125" s="135" t="s">
        <v>1183</v>
      </c>
      <c r="B125" s="135" t="s">
        <v>218</v>
      </c>
      <c r="C125" s="255" t="s">
        <v>43</v>
      </c>
      <c r="D125" s="135" t="s">
        <v>1184</v>
      </c>
      <c r="E125" s="135" t="s">
        <v>1185</v>
      </c>
      <c r="F125" s="135" t="s">
        <v>1186</v>
      </c>
      <c r="G125" s="135" t="s">
        <v>1187</v>
      </c>
      <c r="H125" s="135" t="s">
        <v>4</v>
      </c>
      <c r="I125" s="135" t="s">
        <v>1188</v>
      </c>
      <c r="J125" s="135" t="s">
        <v>1189</v>
      </c>
      <c r="K125" s="135" t="s">
        <v>1190</v>
      </c>
      <c r="L125" s="135" t="s">
        <v>1</v>
      </c>
      <c r="M125" s="135" t="s">
        <v>1</v>
      </c>
      <c r="N125" s="135" t="s">
        <v>1150</v>
      </c>
      <c r="O125" s="135" t="s">
        <v>1191</v>
      </c>
      <c r="P125" s="135" t="s">
        <v>1192</v>
      </c>
      <c r="Q125" s="135" t="s">
        <v>85</v>
      </c>
      <c r="R125" s="135" t="s">
        <v>1193</v>
      </c>
      <c r="S125" s="135" t="s">
        <v>90</v>
      </c>
      <c r="T125" s="135" t="s">
        <v>1</v>
      </c>
      <c r="U125" s="146" t="str">
        <f>IF(OR(ISNUMBER(SEARCH("FAIL",K125&amp;" "&amp;Q125)),ISNUMBER(SEARCH("CLEAN RETEST REQUIRED",K125&amp;" "&amp;Q125))),"Failed",IF(OR(ISNUMBER(SEARCH("NOT RUN",K125&amp;" "&amp;Q125)),ISNUMBER(SEARCH("NOT IMPLEMENTED",K125&amp;" "&amp;Q125))),"Not started",IF(OR(ISNUMBER(SEARCH("PARTIAL",K125&amp;" "&amp;Q125)),ISNUMBER(SEARCH("PENDING",K125&amp;" "&amp;Q125)),ISNUMBER(SEARCH("IN PROGRESS",K125&amp;" "&amp;Q125)),ISNUMBER(SEARCH("OPEN",K125&amp;" "&amp;Q125)),ISNUMBER(SEARCH("RETEST REQUIRED",K125&amp;" "&amp;Q125)),ISNUMBER(SEARCH("IMPLEMENTATION UPDATED",K125&amp;" "&amp;Q125)),ISNUMBER(SEARCH("REQUIRED EVERY SESSION",K125&amp;" "&amp;Q125))),"Pending",IF(OR(Q125="PASS",ISNUMBER(SEARCH("PASS",K125&amp;" "&amp;Q125))),"Done","Pending"))))</f>
        <v>Done</v>
      </c>
      <c r="V125" s="146">
        <f>IF(T125="","",VALUE(LEFT(T125,SEARCH("/",T125)-1)))</f>
        <v/>
      </c>
      <c r="W125" s="146">
        <f>IF(T125="","",VALUE(MID(T125,SEARCH("/",T125)+1,LEN(T125))))</f>
        <v/>
      </c>
    </row>
    <row r="126" customFormat="false" ht="15" hidden="false" customHeight="false" outlineLevel="0" collapsed="false">
      <c r="A126" s="135" t="s">
        <v>1194</v>
      </c>
      <c r="B126" s="135" t="s">
        <v>1195</v>
      </c>
      <c r="C126" s="255" t="s">
        <v>43</v>
      </c>
      <c r="D126" s="135" t="s">
        <v>1196</v>
      </c>
      <c r="E126" s="135" t="s">
        <v>1197</v>
      </c>
      <c r="F126" s="135" t="s">
        <v>4</v>
      </c>
      <c r="G126" s="135" t="s">
        <v>4</v>
      </c>
      <c r="H126" s="135" t="s">
        <v>4</v>
      </c>
      <c r="I126" s="135" t="s">
        <v>1198</v>
      </c>
      <c r="J126" s="135" t="s">
        <v>1199</v>
      </c>
      <c r="K126" s="135" t="s">
        <v>1200</v>
      </c>
      <c r="L126" s="135" t="s">
        <v>1</v>
      </c>
      <c r="M126" s="135" t="s">
        <v>1</v>
      </c>
      <c r="N126" s="135" t="s">
        <v>1201</v>
      </c>
      <c r="O126" s="135" t="s">
        <v>1202</v>
      </c>
      <c r="P126" s="135" t="s">
        <v>1203</v>
      </c>
      <c r="Q126" s="135" t="s">
        <v>85</v>
      </c>
      <c r="R126" s="135" t="s">
        <v>1204</v>
      </c>
      <c r="S126" s="135" t="s">
        <v>1205</v>
      </c>
      <c r="T126" s="135" t="s">
        <v>1</v>
      </c>
      <c r="U126" s="146" t="str">
        <f>IF(OR(ISNUMBER(SEARCH("FAIL",K126&amp;" "&amp;Q126)),ISNUMBER(SEARCH("CLEAN RETEST REQUIRED",K126&amp;" "&amp;Q126))),"Failed",IF(OR(ISNUMBER(SEARCH("NOT RUN",K126&amp;" "&amp;Q126)),ISNUMBER(SEARCH("NOT IMPLEMENTED",K126&amp;" "&amp;Q126))),"Not started",IF(OR(ISNUMBER(SEARCH("PARTIAL",K126&amp;" "&amp;Q126)),ISNUMBER(SEARCH("PENDING",K126&amp;" "&amp;Q126)),ISNUMBER(SEARCH("IN PROGRESS",K126&amp;" "&amp;Q126)),ISNUMBER(SEARCH("OPEN",K126&amp;" "&amp;Q126)),ISNUMBER(SEARCH("RETEST REQUIRED",K126&amp;" "&amp;Q126)),ISNUMBER(SEARCH("IMPLEMENTATION UPDATED",K126&amp;" "&amp;Q126)),ISNUMBER(SEARCH("REQUIRED EVERY SESSION",K126&amp;" "&amp;Q126))),"Pending",IF(OR(Q126="PASS",ISNUMBER(SEARCH("PASS",K126&amp;" "&amp;Q126))),"Done","Pending"))))</f>
        <v>Done</v>
      </c>
      <c r="V126" s="146">
        <f>IF(T126="","",VALUE(LEFT(T126,SEARCH("/",T126)-1)))</f>
        <v/>
      </c>
      <c r="W126" s="146">
        <f>IF(T126="","",VALUE(MID(T126,SEARCH("/",T126)+1,LEN(T126))))</f>
        <v/>
      </c>
    </row>
    <row r="127" customFormat="false" ht="15" hidden="false" customHeight="false" outlineLevel="0" collapsed="false">
      <c r="A127" s="135" t="s">
        <v>1206</v>
      </c>
      <c r="B127" s="135" t="s">
        <v>1207</v>
      </c>
      <c r="C127" s="263" t="s">
        <v>49</v>
      </c>
      <c r="D127" s="135" t="s">
        <v>63</v>
      </c>
      <c r="E127" s="135" t="s">
        <v>1208</v>
      </c>
      <c r="F127" s="135" t="s">
        <v>1209</v>
      </c>
      <c r="G127" s="135" t="s">
        <v>4</v>
      </c>
      <c r="H127" s="135" t="s">
        <v>4</v>
      </c>
      <c r="I127" s="135" t="s">
        <v>4</v>
      </c>
      <c r="J127" s="135" t="s">
        <v>4</v>
      </c>
      <c r="K127" s="135" t="s">
        <v>821</v>
      </c>
      <c r="L127" s="135" t="s">
        <v>1</v>
      </c>
      <c r="M127" s="135" t="s">
        <v>1</v>
      </c>
      <c r="N127" s="135" t="s">
        <v>308</v>
      </c>
      <c r="O127" s="135" t="s">
        <v>1210</v>
      </c>
      <c r="P127" s="135" t="s">
        <v>1211</v>
      </c>
      <c r="Q127" s="135" t="s">
        <v>85</v>
      </c>
      <c r="R127" s="135" t="s">
        <v>1212</v>
      </c>
      <c r="S127" s="135" t="s">
        <v>1213</v>
      </c>
      <c r="T127" s="135" t="s">
        <v>1</v>
      </c>
      <c r="U127" s="146" t="str">
        <f>IF(OR(ISNUMBER(SEARCH("FAIL",K127&amp;" "&amp;Q127)),ISNUMBER(SEARCH("CLEAN RETEST REQUIRED",K127&amp;" "&amp;Q127))),"Failed",IF(OR(ISNUMBER(SEARCH("NOT RUN",K127&amp;" "&amp;Q127)),ISNUMBER(SEARCH("NOT IMPLEMENTED",K127&amp;" "&amp;Q127))),"Not started",IF(OR(ISNUMBER(SEARCH("PARTIAL",K127&amp;" "&amp;Q127)),ISNUMBER(SEARCH("PENDING",K127&amp;" "&amp;Q127)),ISNUMBER(SEARCH("IN PROGRESS",K127&amp;" "&amp;Q127)),ISNUMBER(SEARCH("OPEN",K127&amp;" "&amp;Q127)),ISNUMBER(SEARCH("RETEST REQUIRED",K127&amp;" "&amp;Q127)),ISNUMBER(SEARCH("IMPLEMENTATION UPDATED",K127&amp;" "&amp;Q127)),ISNUMBER(SEARCH("REQUIRED EVERY SESSION",K127&amp;" "&amp;Q127))),"Pending",IF(OR(Q127="PASS",ISNUMBER(SEARCH("PASS",K127&amp;" "&amp;Q127))),"Done","Pending"))))</f>
        <v>Done</v>
      </c>
      <c r="V127" s="146">
        <f>IF(T127="","",VALUE(LEFT(T127,SEARCH("/",T127)-1)))</f>
        <v/>
      </c>
      <c r="W127" s="146">
        <f>IF(T127="","",VALUE(MID(T127,SEARCH("/",T127)+1,LEN(T127))))</f>
        <v/>
      </c>
    </row>
    <row r="128" customFormat="false" ht="15" hidden="false" customHeight="false" outlineLevel="0" collapsed="false">
      <c r="A128" s="135" t="s">
        <v>1214</v>
      </c>
      <c r="B128" s="135" t="s">
        <v>218</v>
      </c>
      <c r="C128" s="263" t="s">
        <v>49</v>
      </c>
      <c r="D128" s="135" t="s">
        <v>1215</v>
      </c>
      <c r="E128" s="135" t="s">
        <v>1216</v>
      </c>
      <c r="F128" s="135" t="s">
        <v>1217</v>
      </c>
      <c r="G128" s="135" t="s">
        <v>1218</v>
      </c>
      <c r="H128" s="135" t="s">
        <v>1219</v>
      </c>
      <c r="I128" s="135" t="s">
        <v>1220</v>
      </c>
      <c r="J128" s="135" t="s">
        <v>1221</v>
      </c>
      <c r="K128" s="135" t="s">
        <v>147</v>
      </c>
      <c r="L128" s="135" t="s">
        <v>1</v>
      </c>
      <c r="M128" s="135" t="s">
        <v>1</v>
      </c>
      <c r="N128" s="135" t="s">
        <v>1222</v>
      </c>
      <c r="O128" s="135" t="s">
        <v>1223</v>
      </c>
      <c r="P128" s="135" t="s">
        <v>1224</v>
      </c>
      <c r="Q128" s="135" t="s">
        <v>85</v>
      </c>
      <c r="R128" s="135" t="s">
        <v>1225</v>
      </c>
      <c r="S128" s="135" t="s">
        <v>367</v>
      </c>
      <c r="T128" s="135" t="s">
        <v>1</v>
      </c>
      <c r="U128" s="146" t="str">
        <f>IF(OR(ISNUMBER(SEARCH("FAIL",K128&amp;" "&amp;Q128)),ISNUMBER(SEARCH("CLEAN RETEST REQUIRED",K128&amp;" "&amp;Q128))),"Failed",IF(OR(ISNUMBER(SEARCH("NOT RUN",K128&amp;" "&amp;Q128)),ISNUMBER(SEARCH("NOT IMPLEMENTED",K128&amp;" "&amp;Q128))),"Not started",IF(OR(ISNUMBER(SEARCH("PARTIAL",K128&amp;" "&amp;Q128)),ISNUMBER(SEARCH("PENDING",K128&amp;" "&amp;Q128)),ISNUMBER(SEARCH("IN PROGRESS",K128&amp;" "&amp;Q128)),ISNUMBER(SEARCH("OPEN",K128&amp;" "&amp;Q128)),ISNUMBER(SEARCH("RETEST REQUIRED",K128&amp;" "&amp;Q128)),ISNUMBER(SEARCH("IMPLEMENTATION UPDATED",K128&amp;" "&amp;Q128)),ISNUMBER(SEARCH("REQUIRED EVERY SESSION",K128&amp;" "&amp;Q128))),"Pending",IF(OR(Q128="PASS",ISNUMBER(SEARCH("PASS",K128&amp;" "&amp;Q128))),"Done","Pending"))))</f>
        <v>Done</v>
      </c>
      <c r="V128" s="146">
        <f>IF(T128="","",VALUE(LEFT(T128,SEARCH("/",T128)-1)))</f>
        <v/>
      </c>
      <c r="W128" s="146">
        <f>IF(T128="","",VALUE(MID(T128,SEARCH("/",T128)+1,LEN(T128))))</f>
        <v/>
      </c>
    </row>
    <row r="129" customFormat="false" ht="15" hidden="false" customHeight="false" outlineLevel="0" collapsed="false">
      <c r="A129" s="135" t="s">
        <v>1226</v>
      </c>
      <c r="B129" s="135" t="s">
        <v>218</v>
      </c>
      <c r="C129" s="263" t="s">
        <v>49</v>
      </c>
      <c r="D129" s="135" t="s">
        <v>1227</v>
      </c>
      <c r="E129" s="135" t="s">
        <v>1228</v>
      </c>
      <c r="F129" s="135" t="s">
        <v>1229</v>
      </c>
      <c r="G129" s="135" t="s">
        <v>1230</v>
      </c>
      <c r="H129" s="135" t="s">
        <v>1231</v>
      </c>
      <c r="I129" s="135" t="s">
        <v>1232</v>
      </c>
      <c r="J129" s="135" t="s">
        <v>1233</v>
      </c>
      <c r="K129" s="135" t="s">
        <v>147</v>
      </c>
      <c r="L129" s="135" t="s">
        <v>1</v>
      </c>
      <c r="M129" s="135" t="s">
        <v>1</v>
      </c>
      <c r="N129" s="135" t="s">
        <v>1222</v>
      </c>
      <c r="O129" s="135" t="s">
        <v>1234</v>
      </c>
      <c r="P129" s="135" t="s">
        <v>1235</v>
      </c>
      <c r="Q129" s="135" t="s">
        <v>85</v>
      </c>
      <c r="R129" s="135" t="s">
        <v>1236</v>
      </c>
      <c r="S129" s="135" t="s">
        <v>1237</v>
      </c>
      <c r="T129" s="135" t="s">
        <v>1</v>
      </c>
      <c r="U129" s="146" t="str">
        <f>IF(OR(ISNUMBER(SEARCH("FAIL",K129&amp;" "&amp;Q129)),ISNUMBER(SEARCH("CLEAN RETEST REQUIRED",K129&amp;" "&amp;Q129))),"Failed",IF(OR(ISNUMBER(SEARCH("NOT RUN",K129&amp;" "&amp;Q129)),ISNUMBER(SEARCH("NOT IMPLEMENTED",K129&amp;" "&amp;Q129))),"Not started",IF(OR(ISNUMBER(SEARCH("PARTIAL",K129&amp;" "&amp;Q129)),ISNUMBER(SEARCH("PENDING",K129&amp;" "&amp;Q129)),ISNUMBER(SEARCH("IN PROGRESS",K129&amp;" "&amp;Q129)),ISNUMBER(SEARCH("OPEN",K129&amp;" "&amp;Q129)),ISNUMBER(SEARCH("RETEST REQUIRED",K129&amp;" "&amp;Q129)),ISNUMBER(SEARCH("IMPLEMENTATION UPDATED",K129&amp;" "&amp;Q129)),ISNUMBER(SEARCH("REQUIRED EVERY SESSION",K129&amp;" "&amp;Q129))),"Pending",IF(OR(Q129="PASS",ISNUMBER(SEARCH("PASS",K129&amp;" "&amp;Q129))),"Done","Pending"))))</f>
        <v>Done</v>
      </c>
      <c r="V129" s="146">
        <f>IF(T129="","",VALUE(LEFT(T129,SEARCH("/",T129)-1)))</f>
        <v/>
      </c>
      <c r="W129" s="146">
        <f>IF(T129="","",VALUE(MID(T129,SEARCH("/",T129)+1,LEN(T129))))</f>
        <v/>
      </c>
    </row>
    <row r="130" customFormat="false" ht="15" hidden="false" customHeight="false" outlineLevel="0" collapsed="false">
      <c r="A130" s="135" t="s">
        <v>1238</v>
      </c>
      <c r="B130" s="135" t="s">
        <v>218</v>
      </c>
      <c r="C130" s="263" t="s">
        <v>49</v>
      </c>
      <c r="D130" s="135" t="s">
        <v>1239</v>
      </c>
      <c r="E130" s="135" t="s">
        <v>1240</v>
      </c>
      <c r="F130" s="135" t="s">
        <v>1241</v>
      </c>
      <c r="G130" s="135" t="s">
        <v>1242</v>
      </c>
      <c r="H130" s="135" t="s">
        <v>1243</v>
      </c>
      <c r="I130" s="135" t="s">
        <v>1244</v>
      </c>
      <c r="J130" s="135" t="s">
        <v>1245</v>
      </c>
      <c r="K130" s="135" t="s">
        <v>85</v>
      </c>
      <c r="L130" s="135" t="s">
        <v>1</v>
      </c>
      <c r="M130" s="135" t="s">
        <v>1</v>
      </c>
      <c r="N130" s="135" t="s">
        <v>1222</v>
      </c>
      <c r="O130" s="135" t="s">
        <v>1246</v>
      </c>
      <c r="P130" s="135" t="s">
        <v>1247</v>
      </c>
      <c r="Q130" s="135" t="s">
        <v>85</v>
      </c>
      <c r="R130" s="135" t="s">
        <v>1248</v>
      </c>
      <c r="S130" s="135" t="s">
        <v>1249</v>
      </c>
      <c r="T130" s="135" t="s">
        <v>1</v>
      </c>
      <c r="U130" s="146" t="str">
        <f>IF(OR(ISNUMBER(SEARCH("FAIL",K130&amp;" "&amp;Q130)),ISNUMBER(SEARCH("CLEAN RETEST REQUIRED",K130&amp;" "&amp;Q130))),"Failed",IF(OR(ISNUMBER(SEARCH("NOT RUN",K130&amp;" "&amp;Q130)),ISNUMBER(SEARCH("NOT IMPLEMENTED",K130&amp;" "&amp;Q130))),"Not started",IF(OR(ISNUMBER(SEARCH("PARTIAL",K130&amp;" "&amp;Q130)),ISNUMBER(SEARCH("PENDING",K130&amp;" "&amp;Q130)),ISNUMBER(SEARCH("IN PROGRESS",K130&amp;" "&amp;Q130)),ISNUMBER(SEARCH("OPEN",K130&amp;" "&amp;Q130)),ISNUMBER(SEARCH("RETEST REQUIRED",K130&amp;" "&amp;Q130)),ISNUMBER(SEARCH("IMPLEMENTATION UPDATED",K130&amp;" "&amp;Q130)),ISNUMBER(SEARCH("REQUIRED EVERY SESSION",K130&amp;" "&amp;Q130))),"Pending",IF(OR(Q130="PASS",ISNUMBER(SEARCH("PASS",K130&amp;" "&amp;Q130))),"Done","Pending"))))</f>
        <v>Done</v>
      </c>
      <c r="V130" s="146">
        <f>IF(T130="","",VALUE(LEFT(T130,SEARCH("/",T130)-1)))</f>
        <v/>
      </c>
      <c r="W130" s="146">
        <f>IF(T130="","",VALUE(MID(T130,SEARCH("/",T130)+1,LEN(T130))))</f>
        <v/>
      </c>
    </row>
    <row r="131" customFormat="false" ht="15" hidden="false" customHeight="false" outlineLevel="0" collapsed="false">
      <c r="A131" s="135" t="s">
        <v>1250</v>
      </c>
      <c r="B131" s="135" t="s">
        <v>218</v>
      </c>
      <c r="C131" s="243" t="s">
        <v>54</v>
      </c>
      <c r="D131" s="135" t="s">
        <v>1251</v>
      </c>
      <c r="E131" s="135" t="s">
        <v>1252</v>
      </c>
      <c r="F131" s="135" t="s">
        <v>4</v>
      </c>
      <c r="G131" s="135" t="s">
        <v>1253</v>
      </c>
      <c r="H131" s="135" t="s">
        <v>4</v>
      </c>
      <c r="I131" s="135" t="s">
        <v>1254</v>
      </c>
      <c r="J131" s="135" t="s">
        <v>1255</v>
      </c>
      <c r="K131" s="135" t="s">
        <v>147</v>
      </c>
      <c r="L131" s="135" t="s">
        <v>1</v>
      </c>
      <c r="M131" s="135" t="s">
        <v>1</v>
      </c>
      <c r="N131" s="135" t="s">
        <v>1222</v>
      </c>
      <c r="O131" s="135" t="s">
        <v>1256</v>
      </c>
      <c r="P131" s="135" t="s">
        <v>1257</v>
      </c>
      <c r="Q131" s="135" t="s">
        <v>85</v>
      </c>
      <c r="R131" s="135" t="s">
        <v>1258</v>
      </c>
      <c r="S131" s="135" t="s">
        <v>90</v>
      </c>
      <c r="T131" s="135" t="s">
        <v>1</v>
      </c>
      <c r="U131" s="146" t="str">
        <f>IF(OR(ISNUMBER(SEARCH("FAIL",K131&amp;" "&amp;Q131)),ISNUMBER(SEARCH("CLEAN RETEST REQUIRED",K131&amp;" "&amp;Q131))),"Failed",IF(OR(ISNUMBER(SEARCH("NOT RUN",K131&amp;" "&amp;Q131)),ISNUMBER(SEARCH("NOT IMPLEMENTED",K131&amp;" "&amp;Q131))),"Not started",IF(OR(ISNUMBER(SEARCH("PARTIAL",K131&amp;" "&amp;Q131)),ISNUMBER(SEARCH("PENDING",K131&amp;" "&amp;Q131)),ISNUMBER(SEARCH("IN PROGRESS",K131&amp;" "&amp;Q131)),ISNUMBER(SEARCH("OPEN",K131&amp;" "&amp;Q131)),ISNUMBER(SEARCH("RETEST REQUIRED",K131&amp;" "&amp;Q131)),ISNUMBER(SEARCH("IMPLEMENTATION UPDATED",K131&amp;" "&amp;Q131)),ISNUMBER(SEARCH("REQUIRED EVERY SESSION",K131&amp;" "&amp;Q131))),"Pending",IF(OR(Q131="PASS",ISNUMBER(SEARCH("PASS",K131&amp;" "&amp;Q131))),"Done","Pending"))))</f>
        <v>Done</v>
      </c>
      <c r="V131" s="146">
        <f>IF(T131="","",VALUE(LEFT(T131,SEARCH("/",T131)-1)))</f>
        <v/>
      </c>
      <c r="W131" s="146">
        <f>IF(T131="","",VALUE(MID(T131,SEARCH("/",T131)+1,LEN(T131))))</f>
        <v/>
      </c>
    </row>
    <row r="132" customFormat="false" ht="15" hidden="false" customHeight="false" outlineLevel="0" collapsed="false">
      <c r="A132" s="135" t="s">
        <v>1259</v>
      </c>
      <c r="B132" s="135" t="s">
        <v>218</v>
      </c>
      <c r="C132" s="243" t="s">
        <v>54</v>
      </c>
      <c r="D132" s="135" t="s">
        <v>1260</v>
      </c>
      <c r="E132" s="135" t="s">
        <v>1261</v>
      </c>
      <c r="F132" s="135" t="s">
        <v>1262</v>
      </c>
      <c r="G132" s="135" t="s">
        <v>1263</v>
      </c>
      <c r="H132" s="135" t="s">
        <v>1264</v>
      </c>
      <c r="I132" s="135" t="s">
        <v>1265</v>
      </c>
      <c r="J132" s="135" t="s">
        <v>1266</v>
      </c>
      <c r="K132" s="135" t="s">
        <v>85</v>
      </c>
      <c r="L132" s="135" t="s">
        <v>85</v>
      </c>
      <c r="M132" s="135" t="s">
        <v>1</v>
      </c>
      <c r="N132" s="135" t="s">
        <v>1222</v>
      </c>
      <c r="O132" s="135" t="s">
        <v>1267</v>
      </c>
      <c r="P132" s="135" t="s">
        <v>1268</v>
      </c>
      <c r="Q132" s="135" t="s">
        <v>85</v>
      </c>
      <c r="R132" s="135" t="s">
        <v>1269</v>
      </c>
      <c r="S132" s="135" t="s">
        <v>90</v>
      </c>
      <c r="T132" s="135" t="s">
        <v>1</v>
      </c>
      <c r="U132" s="146" t="str">
        <f>IF(OR(ISNUMBER(SEARCH("FAIL",K132&amp;" "&amp;Q132)),ISNUMBER(SEARCH("CLEAN RETEST REQUIRED",K132&amp;" "&amp;Q132))),"Failed",IF(OR(ISNUMBER(SEARCH("NOT RUN",K132&amp;" "&amp;Q132)),ISNUMBER(SEARCH("NOT IMPLEMENTED",K132&amp;" "&amp;Q132))),"Not started",IF(OR(ISNUMBER(SEARCH("PARTIAL",K132&amp;" "&amp;Q132)),ISNUMBER(SEARCH("PENDING",K132&amp;" "&amp;Q132)),ISNUMBER(SEARCH("IN PROGRESS",K132&amp;" "&amp;Q132)),ISNUMBER(SEARCH("OPEN",K132&amp;" "&amp;Q132)),ISNUMBER(SEARCH("RETEST REQUIRED",K132&amp;" "&amp;Q132)),ISNUMBER(SEARCH("IMPLEMENTATION UPDATED",K132&amp;" "&amp;Q132)),ISNUMBER(SEARCH("REQUIRED EVERY SESSION",K132&amp;" "&amp;Q132))),"Pending",IF(OR(Q132="PASS",ISNUMBER(SEARCH("PASS",K132&amp;" "&amp;Q132))),"Done","Pending"))))</f>
        <v>Done</v>
      </c>
      <c r="V132" s="146">
        <f>IF(T132="","",VALUE(LEFT(T132,SEARCH("/",T132)-1)))</f>
        <v/>
      </c>
      <c r="W132" s="146">
        <f>IF(T132="","",VALUE(MID(T132,SEARCH("/",T132)+1,LEN(T132))))</f>
        <v/>
      </c>
    </row>
    <row r="133" customFormat="false" ht="15" hidden="false" customHeight="false" outlineLevel="0" collapsed="false">
      <c r="A133" s="135" t="s">
        <v>1270</v>
      </c>
      <c r="B133" s="135" t="s">
        <v>218</v>
      </c>
      <c r="C133" s="243" t="s">
        <v>54</v>
      </c>
      <c r="D133" s="135" t="s">
        <v>1271</v>
      </c>
      <c r="E133" s="135" t="s">
        <v>1272</v>
      </c>
      <c r="F133" s="135" t="s">
        <v>4</v>
      </c>
      <c r="G133" s="135" t="s">
        <v>1273</v>
      </c>
      <c r="H133" s="135" t="s">
        <v>4</v>
      </c>
      <c r="I133" s="135" t="s">
        <v>1274</v>
      </c>
      <c r="J133" s="135" t="s">
        <v>1275</v>
      </c>
      <c r="K133" s="135" t="s">
        <v>147</v>
      </c>
      <c r="L133" s="135" t="s">
        <v>1</v>
      </c>
      <c r="M133" s="135" t="s">
        <v>1</v>
      </c>
      <c r="N133" s="135" t="s">
        <v>1222</v>
      </c>
      <c r="O133" s="135" t="s">
        <v>1276</v>
      </c>
      <c r="P133" s="135" t="s">
        <v>1277</v>
      </c>
      <c r="Q133" s="135" t="s">
        <v>85</v>
      </c>
      <c r="R133" s="135" t="s">
        <v>1278</v>
      </c>
      <c r="S133" s="135" t="s">
        <v>174</v>
      </c>
      <c r="T133" s="135" t="s">
        <v>1</v>
      </c>
      <c r="U133" s="146" t="str">
        <f>IF(OR(ISNUMBER(SEARCH("FAIL",K133&amp;" "&amp;Q133)),ISNUMBER(SEARCH("CLEAN RETEST REQUIRED",K133&amp;" "&amp;Q133))),"Failed",IF(OR(ISNUMBER(SEARCH("NOT RUN",K133&amp;" "&amp;Q133)),ISNUMBER(SEARCH("NOT IMPLEMENTED",K133&amp;" "&amp;Q133))),"Not started",IF(OR(ISNUMBER(SEARCH("PARTIAL",K133&amp;" "&amp;Q133)),ISNUMBER(SEARCH("PENDING",K133&amp;" "&amp;Q133)),ISNUMBER(SEARCH("IN PROGRESS",K133&amp;" "&amp;Q133)),ISNUMBER(SEARCH("OPEN",K133&amp;" "&amp;Q133)),ISNUMBER(SEARCH("RETEST REQUIRED",K133&amp;" "&amp;Q133)),ISNUMBER(SEARCH("IMPLEMENTATION UPDATED",K133&amp;" "&amp;Q133)),ISNUMBER(SEARCH("REQUIRED EVERY SESSION",K133&amp;" "&amp;Q133))),"Pending",IF(OR(Q133="PASS",ISNUMBER(SEARCH("PASS",K133&amp;" "&amp;Q133))),"Done","Pending"))))</f>
        <v>Done</v>
      </c>
      <c r="V133" s="146">
        <f>IF(T133="","",VALUE(LEFT(T133,SEARCH("/",T133)-1)))</f>
        <v/>
      </c>
      <c r="W133" s="146">
        <f>IF(T133="","",VALUE(MID(T133,SEARCH("/",T133)+1,LEN(T133))))</f>
        <v/>
      </c>
    </row>
    <row r="134" customFormat="false" ht="15" hidden="false" customHeight="false" outlineLevel="0" collapsed="false">
      <c r="A134" s="135" t="s">
        <v>1279</v>
      </c>
      <c r="B134" s="135" t="s">
        <v>218</v>
      </c>
      <c r="C134" s="243" t="s">
        <v>54</v>
      </c>
      <c r="D134" s="135" t="s">
        <v>1280</v>
      </c>
      <c r="E134" s="135" t="s">
        <v>1281</v>
      </c>
      <c r="F134" s="135" t="s">
        <v>1282</v>
      </c>
      <c r="G134" s="135" t="s">
        <v>1283</v>
      </c>
      <c r="H134" s="135" t="s">
        <v>4</v>
      </c>
      <c r="I134" s="135" t="s">
        <v>1284</v>
      </c>
      <c r="J134" s="135" t="s">
        <v>1285</v>
      </c>
      <c r="K134" s="135" t="s">
        <v>85</v>
      </c>
      <c r="L134" s="135" t="s">
        <v>85</v>
      </c>
      <c r="M134" s="135" t="s">
        <v>1</v>
      </c>
      <c r="N134" s="135" t="s">
        <v>1222</v>
      </c>
      <c r="O134" s="135" t="s">
        <v>1286</v>
      </c>
      <c r="P134" s="135" t="s">
        <v>1287</v>
      </c>
      <c r="Q134" s="135" t="s">
        <v>85</v>
      </c>
      <c r="R134" s="135" t="s">
        <v>1288</v>
      </c>
      <c r="S134" s="135" t="s">
        <v>1141</v>
      </c>
      <c r="T134" s="135" t="s">
        <v>1</v>
      </c>
      <c r="U134" s="146" t="str">
        <f>IF(OR(ISNUMBER(SEARCH("FAIL",K134&amp;" "&amp;Q134)),ISNUMBER(SEARCH("CLEAN RETEST REQUIRED",K134&amp;" "&amp;Q134))),"Failed",IF(OR(ISNUMBER(SEARCH("NOT RUN",K134&amp;" "&amp;Q134)),ISNUMBER(SEARCH("NOT IMPLEMENTED",K134&amp;" "&amp;Q134))),"Not started",IF(OR(ISNUMBER(SEARCH("PARTIAL",K134&amp;" "&amp;Q134)),ISNUMBER(SEARCH("PENDING",K134&amp;" "&amp;Q134)),ISNUMBER(SEARCH("IN PROGRESS",K134&amp;" "&amp;Q134)),ISNUMBER(SEARCH("OPEN",K134&amp;" "&amp;Q134)),ISNUMBER(SEARCH("RETEST REQUIRED",K134&amp;" "&amp;Q134)),ISNUMBER(SEARCH("IMPLEMENTATION UPDATED",K134&amp;" "&amp;Q134)),ISNUMBER(SEARCH("REQUIRED EVERY SESSION",K134&amp;" "&amp;Q134))),"Pending",IF(OR(Q134="PASS",ISNUMBER(SEARCH("PASS",K134&amp;" "&amp;Q134))),"Done","Pending"))))</f>
        <v>Done</v>
      </c>
      <c r="V134" s="146">
        <f>IF(T134="","",VALUE(LEFT(T134,SEARCH("/",T134)-1)))</f>
        <v/>
      </c>
      <c r="W134" s="146">
        <f>IF(T134="","",VALUE(MID(T134,SEARCH("/",T134)+1,LEN(T134))))</f>
        <v/>
      </c>
    </row>
    <row r="135" customFormat="false" ht="15" hidden="false" customHeight="false" outlineLevel="0" collapsed="false">
      <c r="A135" s="135" t="s">
        <v>1289</v>
      </c>
      <c r="B135" s="135" t="s">
        <v>101</v>
      </c>
      <c r="C135" s="243" t="s">
        <v>54</v>
      </c>
      <c r="D135" s="135" t="s">
        <v>1290</v>
      </c>
      <c r="E135" s="135" t="s">
        <v>1291</v>
      </c>
      <c r="F135" s="135" t="s">
        <v>4</v>
      </c>
      <c r="G135" s="135" t="s">
        <v>1292</v>
      </c>
      <c r="H135" s="135" t="s">
        <v>4</v>
      </c>
      <c r="I135" s="135" t="s">
        <v>1293</v>
      </c>
      <c r="J135" s="135" t="s">
        <v>1294</v>
      </c>
      <c r="K135" s="135" t="s">
        <v>85</v>
      </c>
      <c r="L135" s="135" t="s">
        <v>85</v>
      </c>
      <c r="M135" s="135" t="s">
        <v>96</v>
      </c>
      <c r="N135" s="135" t="s">
        <v>106</v>
      </c>
      <c r="O135" s="135" t="s">
        <v>1295</v>
      </c>
      <c r="P135" s="135" t="s">
        <v>1296</v>
      </c>
      <c r="Q135" s="135" t="s">
        <v>85</v>
      </c>
      <c r="R135" s="135" t="s">
        <v>1297</v>
      </c>
      <c r="S135" s="135" t="s">
        <v>1298</v>
      </c>
      <c r="T135" s="135" t="s">
        <v>1</v>
      </c>
      <c r="U135" s="146" t="str">
        <f>IF(OR(ISNUMBER(SEARCH("FAIL",K135&amp;" "&amp;Q135)),ISNUMBER(SEARCH("CLEAN RETEST REQUIRED",K135&amp;" "&amp;Q135))),"Failed",IF(OR(ISNUMBER(SEARCH("NOT RUN",K135&amp;" "&amp;Q135)),ISNUMBER(SEARCH("NOT IMPLEMENTED",K135&amp;" "&amp;Q135))),"Not started",IF(OR(ISNUMBER(SEARCH("PARTIAL",K135&amp;" "&amp;Q135)),ISNUMBER(SEARCH("PENDING",K135&amp;" "&amp;Q135)),ISNUMBER(SEARCH("IN PROGRESS",K135&amp;" "&amp;Q135)),ISNUMBER(SEARCH("OPEN",K135&amp;" "&amp;Q135)),ISNUMBER(SEARCH("RETEST REQUIRED",K135&amp;" "&amp;Q135)),ISNUMBER(SEARCH("IMPLEMENTATION UPDATED",K135&amp;" "&amp;Q135)),ISNUMBER(SEARCH("REQUIRED EVERY SESSION",K135&amp;" "&amp;Q135))),"Pending",IF(OR(Q135="PASS",ISNUMBER(SEARCH("PASS",K135&amp;" "&amp;Q135))),"Done","Pending"))))</f>
        <v>Done</v>
      </c>
      <c r="V135" s="146">
        <f>IF(T135="","",VALUE(LEFT(T135,SEARCH("/",T135)-1)))</f>
        <v/>
      </c>
      <c r="W135" s="146">
        <f>IF(T135="","",VALUE(MID(T135,SEARCH("/",T135)+1,LEN(T135))))</f>
        <v/>
      </c>
    </row>
  </sheetData>
  <mergeCells count="32">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B13"/>
    <mergeCell ref="D13:E13"/>
    <mergeCell ref="F13:G13"/>
    <mergeCell ref="I13:J13"/>
    <mergeCell ref="A14:T14"/>
    <mergeCell ref="L15:M15"/>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