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<sst xmlns="http://schemas.openxmlformats.org/spreadsheetml/2006/main" count="3152" uniqueCount="1779">
  <si>
    <t>EFFECT / SCOPE MARKERS</t>
  </si>
  <si>
    <t/>
  </si>
  <si>
    <t>Total</t>
  </si>
  <si>
    <t>188</t>
  </si>
  <si>
    <t>X</t>
  </si>
  <si>
    <t>No expected effect — An unchanged X cell is PASS</t>
  </si>
  <si>
    <t>Done</t>
  </si>
  <si>
    <t>42 (22%)</t>
  </si>
  <si>
    <t>DELTA</t>
  </si>
  <si>
    <t>Required direct effect — Record before/after count and direction</t>
  </si>
  <si>
    <t>Pending</t>
  </si>
  <si>
    <t>20</t>
  </si>
  <si>
    <t>INDIRECT</t>
  </si>
  <si>
    <t>Conditional effect — State the condition and prove it occurred</t>
  </si>
  <si>
    <t>Not started</t>
  </si>
  <si>
    <t>126</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</si>
  <si>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</si>
  <si>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</si>
  <si>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</si>
  <si>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</si>
  <si>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</si>
  <si>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</si>
  <si>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</si>
  <si>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132</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</si>
  <si>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</si>
  <si>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</si>
  <si>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</si>
  <si>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</si>
  <si>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</si>
  <si>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</si>
  <si>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</si>
  <si>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</si>
  <si>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</si>
  <si>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</si>
  <si>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</si>
  <si>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</si>
  <si>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</si>
  <si>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</si>
  <si>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</si>
  <si>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</si>
  <si>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</si>
  <si>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</si>
  <si>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</si>
  <si>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</si>
  <si>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</si>
  <si>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</si>
  <si>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</si>
  <si>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</si>
  <si>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</si>
  <si>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</si>
  <si>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</si>
  <si>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</si>
  <si>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</si>
  <si>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</si>
  <si>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</si>
  <si>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</si>
  <si>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</si>
  <si>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</si>
  <si>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</si>
  <si>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</si>
  <si>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</si>
  <si>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</si>
  <si>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</si>
  <si>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</si>
  <si>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</si>
  <si>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</si>
  <si>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</si>
  <si>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</si>
  <si>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</si>
  <si>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</si>
  <si>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</si>
  <si>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</si>
  <si>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</si>
  <si>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</si>
  <si>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</si>
  <si>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</si>
  <si>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</si>
  <si>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</si>
  <si>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</si>
  <si>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</si>
  <si>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</si>
  <si>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</si>
  <si>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</si>
  <si>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</si>
  <si>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</si>
  <si>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</si>
  <si>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</si>
  <si>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</si>
  <si>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</si>
  <si>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</si>
  <si>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</si>
  <si>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</si>
  <si>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</si>
  <si>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</si>
  <si>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</si>
  <si>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</si>
  <si>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</si>
  <si>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</si>
  <si>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</si>
  <si>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</si>
  <si>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</si>
  <si>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</si>
  <si>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</si>
  <si>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</si>
  <si>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</si>
  <si>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</si>
  <si>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</si>
  <si>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</si>
  <si>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</si>
  <si>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</si>
  <si>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</si>
  <si>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</si>
  <si>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</si>
  <si>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</si>
  <si>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</si>
  <si>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</si>
  <si>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</si>
  <si>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</si>
  <si>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</si>
  <si>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</si>
  <si>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</si>
  <si>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</si>
  <si>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</si>
  <si>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</si>
  <si>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</si>
  <si>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</si>
  <si>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</si>
  <si>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</si>
  <si>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</si>
  <si>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</si>
  <si>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</si>
  <si>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</si>
  <si>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</si>
  <si>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</si>
  <si>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</si>
  <si>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</si>
  <si>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</si>
  <si>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</si>
  <si>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</si>
  <si>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</si>
  <si>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</si>
  <si>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</si>
  <si>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</si>
  <si>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</si>
  <si>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</si>
  <si>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</si>
  <si>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</si>
  <si>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</si>
  <si>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</si>
  <si>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</si>
  <si>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</si>
  <si>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</si>
  <si>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</si>
  <si>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</si>
  <si>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</si>
  <si>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</si>
  <si>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</si>
  <si>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</si>
  <si>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</si>
  <si>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</si>
  <si>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</si>
  <si>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</si>
  <si>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</si>
  <si>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</si>
  <si>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</si>
  <si>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</si>
  <si>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</si>
  <si>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</si>
  <si>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</si>
  <si>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</si>
  <si>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</si>
  <si>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</si>
  <si>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</si>
  <si>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</si>
  <si>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</si>
  <si>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</si>
  <si>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</si>
  <si>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</si>
  <si>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</si>
  <si>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</si>
  <si>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</si>
  <si>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</si>
  <si>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</si>
  <si>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</si>
  <si>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</si>
  <si>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</si>
  <si>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</si>
  <si>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</si>
  <si>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</si>
  <si>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</si>
  <si>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</si>
  <si>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</si>
  <si>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</si>
  <si>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</si>
  <si>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</si>
  <si>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</si>
  <si>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</si>
  <si>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</si>
  <si>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</si>
  <si>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</si>
  <si>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</si>
  <si>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</si>
  <si>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</si>
  <si>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</si>
  <si>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</si>
  <si>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</si>
  <si>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</si>
  <si>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</si>
  <si>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</si>
  <si>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</si>
  <si>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</si>
  <si>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</si>
  <si>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</si>
  <si>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</si>
  <si>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</si>
  <si>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</si>
  <si>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</si>
  <si>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</si>
  <si>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</si>
  <si>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</si>
  <si>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</si>
  <si>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</si>
  <si>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</si>
  <si>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</si>
  <si>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</si>
  <si>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</si>
  <si>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</si>
  <si>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</si>
  <si>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</si>
  <si>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</si>
  <si>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</si>
  <si>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</si>
  <si>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</si>
  <si>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</si>
  <si>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</si>
  <si>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</si>
  <si>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</si>
  <si>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</si>
  <si>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</si>
  <si>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</si>
  <si>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</si>
  <si>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</si>
  <si>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</si>
  <si>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</si>
  <si>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</si>
  <si>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</si>
  <si>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</si>
  <si>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</si>
  <si>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</si>
  <si>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</si>
  <si>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</si>
  <si>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</si>
  <si>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</si>
  <si>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</si>
  <si>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</si>
  <si>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</si>
  <si>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</si>
  <si>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</si>
  <si>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</si>
  <si>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</si>
  <si>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</si>
  <si>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</si>
  <si>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</si>
  <si>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</si>
  <si>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</si>
  <si>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</si>
  <si>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</si>
  <si>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</si>
  <si>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</si>
  <si>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</si>
  <si>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</si>
  <si>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</si>
  <si>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</si>
  <si>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</si>
  <si>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</si>
  <si>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</si>
  <si>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</si>
  <si>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</si>
  <si>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</si>
  <si>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</si>
  <si>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</si>
  <si>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</si>
  <si>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</si>
  <si>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</si>
  <si>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</si>
  <si>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</si>
  <si>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</si>
  <si>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</si>
  <si>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</si>
  <si>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</si>
  <si>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</si>
  <si>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</si>
  <si>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</si>
  <si>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</si>
  <si>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</si>
  <si>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</si>
  <si>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</si>
  <si>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</si>
  <si>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</si>
  <si>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</si>
  <si>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</si>
  <si>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</si>
  <si>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</si>
  <si>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</si>
  <si>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</si>
  <si>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</si>
  <si>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</si>
  <si>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</si>
  <si>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</si>
  <si>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</si>
  <si>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</si>
  <si>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</si>
  <si>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</si>
  <si>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</si>
  <si>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</si>
  <si>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</si>
  <si>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</si>
  <si>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</si>
  <si>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</si>
  <si>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</si>
  <si>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</si>
  <si>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</si>
  <si>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</si>
  <si>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</si>
  <si>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</si>
  <si>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</si>
  <si>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</si>
  <si>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</si>
  <si>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</si>
  <si>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</si>
  <si>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</si>
  <si>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</si>
  <si>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</si>
  <si>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</si>
  <si>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</si>
  <si>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</si>
  <si>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</si>
  <si>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</si>
  <si>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</si>
  <si>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</si>
  <si>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</si>
  <si>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</si>
  <si>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</si>
  <si>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</si>
  <si>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</si>
  <si>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</si>
  <si>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</si>
  <si>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</si>
  <si>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</si>
  <si>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</si>
  <si>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</si>
  <si>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</si>
  <si>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</si>
  <si>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</si>
  <si>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</si>
  <si>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</si>
  <si>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</si>
  <si>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</si>
  <si>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</si>
  <si>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</si>
  <si>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</si>
  <si>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</si>
  <si>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</si>
  <si>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</si>
  <si>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</si>
  <si>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</si>
  <si>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</si>
  <si>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</si>
  <si>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</si>
  <si>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</si>
  <si>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</si>
  <si>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</si>
  <si>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</si>
  <si>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</si>
  <si>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</si>
  <si>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</si>
  <si>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</si>
  <si>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</si>
  <si>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</si>
  <si>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</si>
  <si>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</si>
  <si>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</si>
  <si>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</si>
  <si>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</si>
  <si>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</si>
  <si>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</si>
  <si>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</si>
  <si>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</si>
  <si>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</si>
  <si>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</si>
  <si>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</si>
  <si>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</si>
  <si>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</si>
  <si>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</si>
  <si>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</si>
  <si>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</si>
  <si>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</si>
  <si>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</si>
  <si>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</si>
  <si>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</si>
  <si>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</si>
  <si>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</si>
  <si>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</si>
  <si>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</si>
  <si>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</si>
  <si>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</si>
  <si>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</si>
  <si>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</si>
  <si>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</si>
  <si>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</si>
  <si>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</si>
  <si>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</si>
  <si>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</si>
  <si>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</si>
  <si>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</si>
  <si>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</si>
  <si>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</si>
  <si>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</si>
  <si>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</si>
  <si>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</si>
  <si>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</si>
  <si>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</si>
  <si>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</si>
  <si>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</si>
  <si>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</si>
  <si>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</si>
  <si>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</si>
  <si>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</si>
  <si>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</si>
  <si>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</si>
  <si>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</si>
  <si>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</si>
  <si>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</si>
  <si>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</si>
  <si>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</si>
  <si>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</si>
  <si>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</si>
  <si>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</si>
  <si>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</si>
  <si>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</si>
  <si>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</si>
  <si>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</si>
  <si>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</si>
  <si>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</si>
  <si>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</si>
  <si>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</si>
  <si>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</si>
  <si>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</si>
  <si>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</si>
  <si>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</si>
  <si>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</si>
  <si>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</si>
  <si>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</si>
  <si>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</si>
  <si>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</si>
  <si>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</si>
  <si>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</si>
  <si>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</si>
  <si>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</si>
  <si>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</si>
  <si>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</si>
  <si>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</si>
  <si>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</si>
  <si>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</si>
  <si>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</si>
  <si>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</si>
  <si>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</si>
  <si>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</si>
  <si>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</si>
  <si>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</si>
  <si>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</si>
  <si>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</si>
  <si>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</si>
  <si>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</si>
  <si>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</si>
  <si>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</si>
  <si>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</si>
  <si>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</si>
  <si>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</si>
  <si>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</si>
  <si>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</si>
  <si>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</si>
  <si>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</si>
  <si>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</si>
  <si>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</si>
  <si>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</si>
  <si>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</si>
  <si>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</si>
  <si>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</si>
  <si>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</si>
  <si>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</si>
  <si>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</si>
  <si>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</si>
  <si>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</si>
  <si>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</si>
  <si>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</si>
  <si>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</si>
  <si>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</si>
  <si>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</si>
  <si>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</si>
  <si>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</si>
  <si>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</si>
  <si>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</si>
  <si>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</si>
  <si>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</si>
  <si>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</si>
  <si>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</si>
  <si>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</si>
  <si>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</si>
  <si>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</si>
  <si>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</si>
  <si>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</si>
  <si>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</si>
  <si>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</si>
  <si>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</si>
  <si>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</si>
  <si>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</si>
  <si>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</si>
  <si>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</si>
  <si>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</si>
  <si>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</si>
  <si>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</si>
  <si>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</si>
  <si>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</si>
  <si>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</si>
  <si>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</si>
  <si>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</si>
  <si>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</si>
  <si>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</si>
  <si>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</si>
  <si>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</si>
  <si>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</si>
  <si>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</si>
  <si>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</si>
  <si>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</si>
  <si>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</si>
  <si>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</si>
  <si>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</si>
  <si>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</si>
  <si>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</si>
  <si>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</si>
  <si>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</si>
  <si>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</si>
  <si>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</si>
  <si>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</si>
  <si>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</si>
  <si>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</si>
  <si>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</si>
  <si>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</si>
  <si>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</si>
  <si>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</si>
  <si>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</si>
  <si>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</si>
  <si>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</si>
  <si>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</si>
  <si>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</si>
  <si>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</si>
  <si>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</si>
  <si>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</si>
  <si>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</si>
  <si>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</si>
  <si>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</si>
  <si>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</si>
  <si>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</si>
  <si>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</si>
  <si>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</si>
  <si>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</si>
  <si>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</si>
  <si>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</si>
  <si>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</si>
  <si>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</si>
  <si>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</si>
  <si>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</si>
  <si>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</si>
  <si>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</si>
  <si>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</si>
  <si>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</si>
  <si>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</si>
  <si>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</si>
  <si>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</si>
  <si>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</si>
  <si>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</si>
  <si>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</si>
  <si>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</si>
  <si>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</si>
  <si>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</si>
  <si>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</si>
  <si>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</si>
  <si>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</si>
  <si>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</si>
  <si>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</si>
  <si>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</si>
  <si>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</si>
  <si>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</si>
  <si>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</si>
  <si>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</si>
  <si>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</si>
  <si>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</si>
  <si>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</si>
  <si>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</si>
  <si>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</si>
  <si>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</si>
  <si>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</si>
  <si>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</si>
  <si>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</si>
  <si>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</si>
  <si>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</si>
  <si>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</si>
  <si>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</si>
  <si>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</si>
  <si>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</si>
  <si>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</si>
  <si>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</si>
  <si>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</si>
  <si>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</si>
  <si>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</si>
  <si>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</si>
  <si>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</si>
  <si>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</si>
  <si>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</si>
  <si>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</si>
  <si>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</si>
  <si>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</si>
  <si>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</si>
  <si>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</si>
  <si>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</si>
  <si>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</si>
  <si>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</si>
  <si>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</si>
  <si>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</si>
  <si>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</si>
  <si>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</si>
  <si>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</si>
  <si>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</si>
  <si>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</si>
  <si>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</si>
  <si>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</si>
  <si>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</si>
  <si>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</si>
  <si>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</si>
  <si>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</si>
  <si>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</si>
  <si>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</si>
  <si>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</si>
  <si>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</si>
  <si>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</si>
  <si>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</si>
  <si>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</si>
  <si>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</si>
  <si>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</si>
  <si>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</si>
  <si>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</si>
  <si>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</si>
  <si>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</si>
  <si>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</si>
  <si>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</si>
  <si>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</si>
  <si>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</si>
  <si>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</si>
  <si>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</si>
  <si>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</si>
  <si>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</si>
  <si>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</si>
  <si>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</si>
  <si>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</si>
  <si>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</si>
  <si>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</si>
  <si>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</si>
  <si>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</si>
  <si>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</si>
  <si>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</si>
  <si>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</si>
  <si>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</si>
  <si>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</si>
  <si>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</si>
  <si>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</si>
  <si>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</si>
  <si>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</si>
  <si>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</si>
  <si>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</si>
  <si>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</si>
  <si>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</si>
  <si>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</si>
  <si>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</si>
  <si>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</si>
  <si>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</si>
  <si>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</si>
  <si>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</si>
  <si>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</si>
  <si>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</si>
  <si>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</si>
  <si>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</si>
  <si>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</si>
  <si>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</si>
  <si>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</si>
  <si>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</si>
  <si>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</si>
  <si>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</si>
  <si>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</si>
  <si>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</si>
  <si>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</si>
  <si>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</si>
  <si>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</si>
  <si>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</si>
  <si>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</si>
  <si>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</si>
  <si>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</si>
  <si>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</si>
  <si>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</si>
  <si>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</si>
  <si>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</si>
  <si>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</si>
  <si>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</si>
  <si>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</si>
  <si>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</si>
  <si>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</si>
  <si>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</si>
  <si>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</si>
  <si>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</si>
  <si>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</si>
  <si>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</si>
  <si>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</si>
  <si>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</si>
  <si>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</si>
  <si>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</si>
  <si>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</si>
  <si>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</si>
  <si>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</si>
  <si>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</si>
  <si>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</si>
  <si>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</si>
  <si>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</si>
  <si>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</si>
  <si>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</si>
  <si>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</si>
  <si>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</si>
  <si>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</si>
  <si>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</si>
  <si>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</si>
  <si>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</si>
  <si>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</si>
  <si>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</si>
  <si>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</si>
  <si>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</si>
  <si>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</si>
  <si>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</si>
  <si>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</si>
  <si>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</si>
  <si>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</si>
  <si>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</si>
  <si>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</si>
  <si>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</si>
  <si>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</si>
  <si>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</si>
  <si>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</si>
  <si>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</si>
  <si>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</si>
  <si>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</si>
  <si>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</si>
  <si>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</si>
  <si>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</si>
  <si>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</si>
  <si>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</si>
  <si>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</si>
  <si>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</si>
  <si>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</si>
  <si>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</si>
  <si>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</si>
  <si>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</si>
  <si>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</si>
  <si>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</si>
  <si>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</si>
  <si>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</si>
  <si>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</si>
  <si>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</si>
  <si>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</si>
  <si>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</si>
  <si>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</si>
  <si>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</si>
  <si>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</si>
  <si>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</si>
  <si>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</si>
  <si>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</si>
  <si>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</si>
  <si>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</si>
  <si>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</si>
  <si>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</si>
  <si>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</si>
  <si>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</si>
  <si>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</si>
  <si>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</si>
  <si>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</si>
  <si>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</si>
  <si>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</si>
  <si>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</si>
  <si>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</si>
  <si>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</si>
  <si>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</si>
  <si>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</si>
  <si>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</si>
  <si>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</si>
  <si>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</si>
  <si>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</si>
  <si>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</si>
  <si>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</si>
  <si>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</si>
  <si>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</si>
  <si>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</si>
  <si>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</si>
  <si>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</si>
  <si>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</si>
  <si>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</si>
  <si>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</si>
  <si>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</si>
  <si>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</si>
  <si>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</si>
  <si>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</si>
  <si>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</si>
  <si>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</si>
  <si>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</si>
  <si>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</si>
  <si>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</si>
  <si>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</si>
  <si>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</si>
  <si>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</si>
  <si>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</si>
  <si>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</si>
  <si>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</si>
  <si>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</si>
  <si>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</si>
  <si>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</si>
  <si>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</si>
  <si>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</si>
  <si>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</si>
  <si>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</si>
  <si>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</si>
  <si>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</si>
  <si>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</si>
  <si>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</si>
  <si>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</si>
  <si>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</si>
  <si>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</si>
  <si>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</si>
  <si>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</si>
  <si>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</si>
  <si>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</si>
  <si>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</si>
  <si>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</si>
  <si>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</si>
  <si>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</si>
  <si>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</si>
  <si>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</si>
  <si>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</si>
  <si>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</si>
  <si>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</si>
  <si>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</si>
  <si>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</si>
  <si>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</si>
  <si>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</si>
  <si>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</si>
  <si>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</si>
  <si>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</si>
  <si>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</si>
  <si>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</si>
  <si>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</si>
  <si>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</si>
  <si>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</si>
  <si>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</si>
  <si>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</si>
  <si>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</si>
  <si>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</si>
  <si>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</si>
  <si>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</si>
  <si>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</si>
  <si>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</si>
  <si>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</si>
  <si>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</si>
  <si>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</si>
  <si>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</si>
  <si>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</si>
  <si>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</si>
  <si>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</si>
  <si>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</si>
  <si>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</si>
  <si>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</si>
  <si>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</si>
  <si>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</si>
  <si>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</si>
  <si>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</si>
  <si>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</si>
  <si>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</si>
  <si>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</si>
  <si>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</si>
  <si>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</si>
  <si>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</si>
  <si>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</si>
  <si>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</si>
  <si>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</si>
  <si>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</si>
  <si>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</si>
  <si>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</si>
  <si>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</si>
  <si>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</si>
  <si>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</si>
  <si>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</si>
  <si>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</si>
  <si>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</si>
  <si>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</si>
  <si>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</si>
  <si>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</si>
  <si>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</si>
  <si>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</si>
  <si>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</si>
  <si>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</si>
  <si>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</si>
  <si>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</si>
  <si>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</si>
  <si>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</si>
  <si>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</si>
  <si>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</si>
  <si>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</si>
  <si>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</si>
  <si>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</si>
  <si>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</si>
  <si>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</si>
  <si>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</si>
  <si>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</si>
  <si>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</si>
  <si>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</si>
  <si>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</si>
  <si>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</si>
  <si>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</si>
  <si>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</si>
  <si>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</si>
  <si>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</si>
  <si>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</si>
  <si>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</si>
  <si>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</si>
  <si>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</si>
  <si>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</si>
  <si>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</si>
  <si>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</si>
  <si>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</si>
  <si>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</si>
  <si>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</si>
  <si>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</si>
  <si>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</si>
  <si>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</si>
  <si>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</si>
  <si>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</si>
  <si>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</si>
  <si>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</si>
  <si>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</si>
  <si>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</si>
  <si>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</si>
  <si>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</si>
  <si>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</si>
  <si>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</si>
  <si>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</si>
  <si>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</si>
  <si>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</si>
  <si>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</si>
  <si>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</si>
  <si>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</si>
  <si>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</si>
  <si>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</si>
  <si>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</si>
  <si>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</si>
  <si>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</si>
  <si>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</si>
  <si>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</si>
  <si>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</si>
  <si>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</si>
  <si>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</si>
  <si>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</si>
  <si>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</si>
  <si>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</si>
  <si>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</si>
  <si>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</si>
  <si>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</si>
  <si>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</si>
  <si>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</si>
  <si>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</si>
  <si>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</si>
  <si>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</si>
  <si>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</si>
  <si>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</si>
  <si>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</si>
  <si>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</si>
  <si>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</si>
  <si>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</si>
  <si>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</si>
  <si>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</si>
  <si>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</si>
  <si>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</si>
  <si>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</si>
  <si>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</si>
  <si>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</si>
  <si>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</si>
  <si>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</si>
  <si>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</si>
  <si>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</si>
  <si>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</si>
  <si>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</si>
  <si>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</si>
  <si>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</si>
  <si>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</si>
  <si>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</si>
  <si>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</si>
  <si>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</si>
  <si>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</si>
  <si>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</si>
  <si>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</si>
  <si>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</si>
  <si>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</si>
  <si>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</si>
  <si>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</si>
  <si>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</si>
  <si>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</si>
  <si>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</si>
  <si>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</si>
  <si>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</si>
  <si>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</si>
  <si>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</si>
  <si>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</si>
  <si>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</si>
  <si>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</si>
  <si>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</si>
  <si>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</si>
  <si>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</si>
  <si>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</si>
  <si>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</si>
  <si>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</si>
  <si>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</si>
  <si>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</si>
  <si>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</si>
  <si>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</si>
  <si>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</si>
  <si>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</si>
  <si>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</si>
  <si>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</si>
  <si>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</si>
  <si>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</si>
  <si>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</si>
  <si>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</si>
  <si>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</si>
  <si>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</si>
  <si>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</si>
  <si>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</si>
  <si>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</si>
  <si>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</si>
  <si>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</si>
  <si>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</si>
  <si>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</si>
  <si>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</si>
  <si>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</si>
  <si>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</si>
  <si>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</si>
  <si>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</si>
  <si>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</si>
  <si>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</si>
  <si>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</si>
  <si>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</si>
  <si>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</si>
  <si>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</si>
  <si>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</si>
  <si>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</si>
  <si>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</si>
  <si>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</si>
  <si>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</si>
  <si>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</si>
  <si>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</si>
  <si>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</si>
  <si>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</si>
  <si>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</si>
  <si>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</si>
  <si>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</si>
  <si>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</si>
  <si>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</si>
  <si>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</si>
  <si>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</si>
  <si>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</si>
  <si>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</si>
  <si>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</si>
  <si>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</si>
  <si>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</si>
  <si>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</si>
  <si>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</si>
  <si>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</si>
  <si>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</si>
  <si>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</si>
  <si>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</si>
  <si>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</si>
  <si>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</si>
  <si>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</si>
  <si>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</si>
  <si>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</si>
  <si>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</si>
  <si>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</si>
  <si>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</si>
  <si>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</si>
  <si>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</si>
  <si>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</si>
  <si>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</si>
  <si>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</si>
  <si>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</si>
  <si>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</si>
  <si>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</si>
  <si>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</si>
  <si>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</si>
  <si>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</si>
  <si>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</si>
  <si>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</si>
  <si>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</si>
  <si>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</si>
  <si>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</si>
  <si>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</si>
  <si>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</si>
  <si>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</si>
  <si>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</si>
  <si>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</si>
  <si>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</si>
  <si>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</si>
  <si>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</si>
  <si>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</si>
  <si>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</si>
  <si>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</si>
  <si>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</si>
  <si>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</si>
  <si>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</si>
  <si>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</si>
  <si>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</si>
  <si>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</si>
  <si>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</si>
  <si>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</si>
  <si>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</si>
  <si>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</si>
  <si>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</si>
  <si>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</si>
  <si>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</si>
  <si>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</si>
  <si>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</si>
  <si>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</si>
  <si>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</si>
  <si>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</si>
  <si>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</si>
  <si>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</si>
  <si>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</si>
  <si>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</si>
  <si>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</si>
  <si>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</si>
  <si>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</si>
  <si>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</si>
  <si>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</si>
  <si>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</si>
  <si>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</si>
  <si>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</si>
  <si>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</si>
  <si>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</si>
  <si>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</si>
  <si>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</si>
  <si>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</si>
  <si>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</si>
  <si>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</si>
  <si>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</si>
  <si>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</si>
  <si>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</si>
  <si>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</si>
  <si>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</si>
  <si>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</si>
  <si>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</si>
  <si>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</si>
  <si>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</si>
  <si>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</si>
  <si>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</si>
  <si>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</si>
  <si>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</si>
  <si>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</si>
  <si>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</si>
  <si>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</si>
  <si>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</si>
  <si>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</si>
  <si>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</si>
  <si>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</si>
  <si>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</si>
  <si>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</si>
  <si>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</si>
  <si>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</si>
  <si>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</si>
  <si>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</si>
  <si>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</si>
  <si>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</si>
  <si>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</si>
  <si>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</si>
  <si>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</si>
  <si>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</si>
  <si>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</si>
  <si>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</si>
  <si>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</si>
  <si>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</si>
  <si>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</si>
  <si>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</si>
  <si>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</si>
  <si>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</si>
  <si>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</si>
  <si>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</si>
  <si>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</si>
  <si>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</si>
  <si>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</si>
  <si>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</si>
  <si>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</si>
  <si>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</si>
  <si>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</si>
  <si>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</si>
  <si>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</si>
  <si>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</si>
  <si>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</si>
  <si>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</si>
  <si>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</si>
  <si>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</si>
  <si>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</si>
  <si>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</si>
  <si>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</si>
  <si>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</si>
  <si>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</si>
  <si>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MANUAL UI / IN PROGRESS</t>
  </si>
  <si>
    <t>Versioned two-revision fixture and browser/server read oracles added; controlled baseline passed</t>
  </si>
  <si>
    <t>Click Cancel once; prove one rejection audit, no consent/session and unchanged server cardinality</t>
  </si>
  <si>
    <t>• Previous v3 is sole active revision; newer v4 is inactive.
• Baseline: Nova consents 2, total consents 26, ownerless 0, controlled-revision consents 0.
• Fresh anonymous /entry browser shows exact v3 with no selected optional IDs, consent, audit or session; Cancel/Accept boundary visible.</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</si>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</sst>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COUNTA(A10:A197)</f>
        <v>188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COUNTIF(Q10:Q197,"Done")&amp;" ("&amp;IF(COUNTA(A10:A197)=0,"0%",TEXT(COUNTIF(Q10:Q197,"Done")/COUNTA(A10:A197),"0%"))&amp;")"</f>
        <v>42 (22%)</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COUNTIF(Q10:Q197,"Pending")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COUNTIF(Q10:Q197,"Not started")</f>
        <v>126</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COUNTIF(Q10:Q197,"Failed")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COUNTIF(R10:R197,"Core")</f>
        <v>132</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COUNTIF(R10:R197,"External")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1194</v>
      </c>
      <c r="B132" s="135" t="s">
        <v>1195</v>
      </c>
      <c r="C132" s="135" t="s">
        <v>1196</v>
      </c>
      <c r="D132" s="135" t="s">
        <v>1197</v>
      </c>
      <c r="E132" s="135" t="s">
        <v>1198</v>
      </c>
      <c r="F132" s="135" t="s">
        <v>1199</v>
      </c>
      <c r="G132" s="135" t="s">
        <v>1200</v>
      </c>
      <c r="H132" s="135" t="s">
        <v>4</v>
      </c>
      <c r="I132" s="135" t="s">
        <v>1201</v>
      </c>
      <c r="J132" s="135" t="s">
        <v>1202</v>
      </c>
      <c r="K132" s="135" t="s">
        <v>487</v>
      </c>
      <c r="L132" s="135" t="s">
        <v>1203</v>
      </c>
      <c r="M132" s="135" t="s">
        <v>1204</v>
      </c>
      <c r="N132" s="135" t="s">
        <v>51</v>
      </c>
      <c r="O132" s="135" t="s">
        <v>1205</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1206</v>
      </c>
      <c r="B133" s="138" t="s">
        <v>1195</v>
      </c>
      <c r="C133" s="138" t="s">
        <v>1196</v>
      </c>
      <c r="D133" s="138" t="s">
        <v>1207</v>
      </c>
      <c r="E133" s="138" t="s">
        <v>1198</v>
      </c>
      <c r="F133" s="138" t="s">
        <v>1208</v>
      </c>
      <c r="G133" s="138" t="s">
        <v>1200</v>
      </c>
      <c r="H133" s="138" t="s">
        <v>4</v>
      </c>
      <c r="I133" s="138" t="s">
        <v>1209</v>
      </c>
      <c r="J133" s="138" t="s">
        <v>888</v>
      </c>
      <c r="K133" s="138" t="s">
        <v>1</v>
      </c>
      <c r="L133" s="138" t="s">
        <v>1210</v>
      </c>
      <c r="M133" s="138" t="s">
        <v>1211</v>
      </c>
      <c r="N133" s="138" t="s">
        <v>1</v>
      </c>
      <c r="O133" s="138" t="s">
        <v>1212</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1213</v>
      </c>
      <c r="B134" s="135" t="s">
        <v>1195</v>
      </c>
      <c r="C134" s="135" t="s">
        <v>1214</v>
      </c>
      <c r="D134" s="135" t="s">
        <v>1215</v>
      </c>
      <c r="E134" s="135" t="s">
        <v>4</v>
      </c>
      <c r="F134" s="135" t="s">
        <v>1216</v>
      </c>
      <c r="G134" s="135" t="s">
        <v>4</v>
      </c>
      <c r="H134" s="135" t="s">
        <v>4</v>
      </c>
      <c r="I134" s="135" t="s">
        <v>1217</v>
      </c>
      <c r="J134" s="135" t="s">
        <v>1202</v>
      </c>
      <c r="K134" s="135" t="s">
        <v>487</v>
      </c>
      <c r="L134" s="135" t="s">
        <v>1218</v>
      </c>
      <c r="M134" s="135" t="s">
        <v>1219</v>
      </c>
      <c r="N134" s="135" t="s">
        <v>51</v>
      </c>
      <c r="O134" s="135" t="s">
        <v>1220</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45" hidden="false" customHeight="true" outlineLevel="0" collapsed="false">
      <c r="A135" s="146" t="s">
        <v>1221</v>
      </c>
      <c r="B135" s="146" t="s">
        <v>1195</v>
      </c>
      <c r="C135" s="146" t="s">
        <v>1214</v>
      </c>
      <c r="D135" s="146" t="s">
        <v>1222</v>
      </c>
      <c r="E135" s="146" t="s">
        <v>4</v>
      </c>
      <c r="F135" s="146" t="s">
        <v>1223</v>
      </c>
      <c r="G135" s="146" t="s">
        <v>4</v>
      </c>
      <c r="H135" s="146" t="s">
        <v>4</v>
      </c>
      <c r="I135" s="146" t="s">
        <v>1224</v>
      </c>
      <c r="J135" s="146" t="s">
        <v>1225</v>
      </c>
      <c r="K135" s="146" t="s">
        <v>487</v>
      </c>
      <c r="L135" s="146" t="s">
        <v>1226</v>
      </c>
      <c r="M135" s="146" t="s">
        <v>1227</v>
      </c>
      <c r="N135" s="146" t="s">
        <v>1</v>
      </c>
      <c r="O135" s="146" t="s">
        <v>1228</v>
      </c>
      <c r="P135" s="146"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Pending</v>
      </c>
      <c r="R135" s="146" t="str">
        <f>IF(OR(LEFT(A135,9)="OPERATOR-",LEFT(A135,8)="PAYMENT-",LEFT(A135,7)="DEPLOY-"),"External","Core")</f>
        <v>Core</v>
      </c>
    </row>
    <row r="136" customFormat="false" ht="15" hidden="false" customHeight="false" outlineLevel="0" collapsed="false">
      <c r="A136" s="243" t="s">
        <v>1229</v>
      </c>
      <c r="B136" s="243" t="s">
        <v>1195</v>
      </c>
      <c r="C136" s="243" t="s">
        <v>1230</v>
      </c>
      <c r="D136" s="243" t="s">
        <v>1231</v>
      </c>
      <c r="E136" s="243" t="s">
        <v>4</v>
      </c>
      <c r="F136" s="243" t="s">
        <v>1232</v>
      </c>
      <c r="G136" s="243" t="s">
        <v>4</v>
      </c>
      <c r="H136" s="243" t="s">
        <v>4</v>
      </c>
      <c r="I136" s="243" t="s">
        <v>1233</v>
      </c>
      <c r="J136" s="243" t="s">
        <v>888</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1195</v>
      </c>
      <c r="C137" s="243" t="s">
        <v>1238</v>
      </c>
      <c r="D137" s="243" t="s">
        <v>1239</v>
      </c>
      <c r="E137" s="243" t="s">
        <v>4</v>
      </c>
      <c r="F137" s="243" t="s">
        <v>1240</v>
      </c>
      <c r="G137" s="243" t="s">
        <v>4</v>
      </c>
      <c r="H137" s="243" t="s">
        <v>4</v>
      </c>
      <c r="I137" s="243" t="s">
        <v>1241</v>
      </c>
      <c r="J137" s="243" t="s">
        <v>888</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1195</v>
      </c>
      <c r="C138" s="243" t="s">
        <v>1246</v>
      </c>
      <c r="D138" s="243" t="s">
        <v>1247</v>
      </c>
      <c r="E138" s="243" t="s">
        <v>4</v>
      </c>
      <c r="F138" s="243" t="s">
        <v>1248</v>
      </c>
      <c r="G138" s="243" t="s">
        <v>4</v>
      </c>
      <c r="H138" s="243" t="s">
        <v>4</v>
      </c>
      <c r="I138" s="243" t="s">
        <v>1249</v>
      </c>
      <c r="J138" s="243" t="s">
        <v>888</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1195</v>
      </c>
      <c r="C139" s="243" t="s">
        <v>1254</v>
      </c>
      <c r="D139" s="243" t="s">
        <v>1255</v>
      </c>
      <c r="E139" s="243" t="s">
        <v>4</v>
      </c>
      <c r="F139" s="243" t="s">
        <v>1256</v>
      </c>
      <c r="G139" s="243" t="s">
        <v>4</v>
      </c>
      <c r="H139" s="243" t="s">
        <v>4</v>
      </c>
      <c r="I139" s="243" t="s">
        <v>1257</v>
      </c>
      <c r="J139" s="243" t="s">
        <v>888</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1195</v>
      </c>
      <c r="C140" s="243" t="s">
        <v>1254</v>
      </c>
      <c r="D140" s="243" t="s">
        <v>1262</v>
      </c>
      <c r="E140" s="243" t="s">
        <v>4</v>
      </c>
      <c r="F140" s="243" t="s">
        <v>1263</v>
      </c>
      <c r="G140" s="243" t="s">
        <v>4</v>
      </c>
      <c r="H140" s="243" t="s">
        <v>4</v>
      </c>
      <c r="I140" s="243" t="s">
        <v>1264</v>
      </c>
      <c r="J140" s="243" t="s">
        <v>888</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888</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888</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888</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888</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888</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888</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888</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888</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888</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888</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888</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888</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888</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888</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888</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888</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888</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888</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888</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888</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888</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888</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888</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888</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888</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888</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888</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888</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888</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888</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888</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888</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888</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888</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888</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888</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888</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888</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888</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888</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888</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888</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888</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888</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888</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888</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888</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888</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