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<sst xmlns="http://schemas.openxmlformats.org/spreadsheetml/2006/main" count="3260" uniqueCount="1462">
  <si>
    <t>EFFECT / SCOPE MARKERS</t>
  </si>
  <si>
    <t/>
  </si>
  <si>
    <t>Done</t>
  </si>
  <si>
    <t>120 (82%)</t>
  </si>
  <si>
    <t>X</t>
  </si>
  <si>
    <t>No expected effect — An unchanged X cell is PASS</t>
  </si>
  <si>
    <t>Pending</t>
  </si>
  <si>
    <t>0</t>
  </si>
  <si>
    <t>DELTA</t>
  </si>
  <si>
    <t>Required direct effect — Record before/after count and direction</t>
  </si>
  <si>
    <t>Not started</t>
  </si>
  <si>
    <t>26</t>
  </si>
  <si>
    <t>INDIRECT</t>
  </si>
  <si>
    <t>Conditional effect — State the condition and prove it occurred</t>
  </si>
  <si>
    <t>Failed</t>
  </si>
  <si>
    <t>GAP</t>
  </si>
  <si>
    <t>Known observability gap — Record FAIL/GAP separately from domain PASS</t>
  </si>
  <si>
    <t>Total</t>
  </si>
  <si>
    <t>146</t>
  </si>
  <si>
    <t>DOMAIN PRIORITY</t>
  </si>
  <si>
    <t>QA domain</t>
  </si>
  <si>
    <t>Priority</t>
  </si>
  <si>
    <t>Progress / remaining min/max</t>
  </si>
  <si>
    <t>API test</t>
  </si>
  <si>
    <t>15</t>
  </si>
  <si>
    <t>5 passed / 8 total (62%) · 190/385</t>
  </si>
  <si>
    <t>Group</t>
  </si>
  <si>
    <t>8</t>
  </si>
  <si>
    <t>2 passed / 12 total (17%) · 120/285</t>
  </si>
  <si>
    <t>QA infrastructure</t>
  </si>
  <si>
    <t>14</t>
  </si>
  <si>
    <t>2 passed / 2 total (100%) · 0/0</t>
  </si>
  <si>
    <t>Content</t>
  </si>
  <si>
    <t>7</t>
  </si>
  <si>
    <t>3 passed / 4 total (75%) · 10/25</t>
  </si>
  <si>
    <t>Identity &amp; access</t>
  </si>
  <si>
    <t>13</t>
  </si>
  <si>
    <t>9 passed / 11 total (82%) · 70/145</t>
  </si>
  <si>
    <t>Notifications</t>
  </si>
  <si>
    <t>6</t>
  </si>
  <si>
    <t>6 passed / 6 total (100%) · 0/0</t>
  </si>
  <si>
    <t>Event</t>
  </si>
  <si>
    <t>12</t>
  </si>
  <si>
    <t>56 passed / 58 total (97%) · 20/50</t>
  </si>
  <si>
    <t>Administration</t>
  </si>
  <si>
    <t>5</t>
  </si>
  <si>
    <t>4 passed / 6 total (67%) · 20/50</t>
  </si>
  <si>
    <t>Tournament</t>
  </si>
  <si>
    <t>11</t>
  </si>
  <si>
    <t>15 passed / 16 total (94%) · 10/25</t>
  </si>
  <si>
    <t>General UI</t>
  </si>
  <si>
    <t>4</t>
  </si>
  <si>
    <t>0 passed / 2 total (0%) · 70/145</t>
  </si>
  <si>
    <t>Chat</t>
  </si>
  <si>
    <t>10</t>
  </si>
  <si>
    <t>6 passed / 9 total (67%) · 50/110</t>
  </si>
  <si>
    <t>Operator</t>
  </si>
  <si>
    <t>3</t>
  </si>
  <si>
    <t>5 passed / 5 total (100%) · 0/0</t>
  </si>
  <si>
    <t>Asset</t>
  </si>
  <si>
    <t>9</t>
  </si>
  <si>
    <t>7 passed / 7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</si>
  <si>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</si>
  <si>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</si>
  <si>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</si>
  <si>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</si>
  <si>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</si>
  <si>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</si>
  <si>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</si>
  <si>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</si>
  <si>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</si>
  <si>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</si>
  <si>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</si>
  <si>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</si>
  <si>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</si>
  <si>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</si>
  <si>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</si>
  <si>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</si>
  <si>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</si>
  <si>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</si>
  <si>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</si>
  <si>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</si>
  <si>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</si>
  <si>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</si>
  <si>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</si>
  <si>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</si>
  <si>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</si>
  <si>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</si>
  <si>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</si>
  <si>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</si>
  <si>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</si>
  <si>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</si>
  <si>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</si>
  <si>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</si>
  <si>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guides/qa/checklists/api/INTEGRATION-API-001.md.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</si>
  <si>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</si>
  <si>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</si>
  <si>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</si>
  <si>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</si>
  <si>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</si>
  <si>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</si>
  <si>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</si>
  <si>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</si>
  <si>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</si>
  <si>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guides/qa/checklists/api/AFFILIATE-INVITATION-001.md;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</si>
  <si>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</si>
  <si>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</si>
  <si>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</si>
  <si>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</si>
  <si>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</si>
  <si>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</si>
  <si>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</si>
  <si>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</si>
  <si>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</si>
  <si>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</si>
  <si>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</si>
  <si>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</si>
  <si>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</si>
  <si>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</si>
  <si>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</si>
  <si>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</si>
  <si>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</si>
  <si>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</si>
  <si>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</si>
  <si>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</si>
  <si>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</si>
  <si>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</si>
  <si>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</si>
  <si>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</si>
  <si>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</si>
  <si>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</si>
  <si>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</si>
  <si>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</si>
  <si>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</si>
  <si>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</si>
  <si>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CLOSED / PASS — recorded dev scope</t>
  </si>
  <si>
    <t>PASS — 7/7 ordered blocks; HTTP/simulator</t>
  </si>
  <si>
    <t>PASS — keys, profile isolation and EN/HU help; external OAuth N/A</t>
  </si>
  <si>
    <t>2026-09-28</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</si>
  <si>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 ordered delegated UI/HTTP campaign7/7 PASS; focused payment backend7/7 and frontend14/14 PASS; six package structural checks PASS; existing build owners verified.</t>
  </si>
  <si>
    <t>Closed. Actual ChatGPT/Claude/Codex installation and conversation acceptance is standalone post-deployment smoke, outside this QA case.</t>
  </si>
  <si>
    <t>guides/qa/checklists/api/INTEGRATION-API-GROUP-001.md;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MCP connection is API-domain development, NOT IMPLEMENTED. Added to section7: implement first, then execute the independent API checkpoint. Existing manual client registration/consent is partial implementation; ordinary user flow must not require client-secret copying. Tall revoke-card layout included. | Local/dev full-flow requirement: implement a versioned real MCP/OAuth test client and callback receiver so URL discovery -&gt; browser sign-in/consent -&gt; token exchange -&gt; private tool call completes against the running application without fabricated grants/responses or a production dependency. | MCP client development target refined: optional browser URL/Connect client in myscoutee-mcp; reuse Inspector/OAuth, real login/callback/private tool result. Full Help Center and API popup question-mark help have separate HU/EN seeds. Feature remains NOT IMPLEMENTED; no runtime UI support claimed. | 2026-09-27 clarification: local MCP OAuth simulation remains in final API NOT RUN block7; no live deployment config prerequisite. Actual browser-based ChatGPT is a separate user-operated manual deployment test. | 2026-09-28 prerequisite development: official Inspector2.8.0 launcher implemented; public DCR/PKCE/dev demo realm and split manual Advanced/OAuth permission UI. Development evidence: 25 focused Java tests and12 real HTTP checks PASS; not a full browser callback/private business-read proof or full API QA PASS. Own block7 fixture/browser staged. Actual ChatGPT conversation moved to standalone post-deployment smoke outside QA. | 2026-09-28 ordered campaign requested: Advanced credentials/OAuth microsteps added to block7. Development Java27/27; generated credentials actual UI/OAuth/MCP/revoke11/11. Development fixture reset exactly. New integration-api-group baseline ready with four actors/two groups; managed startup complete, no ordered checklist actions yet. Evidence guides/qa/evidence/INTEGRATION-API-GROUP-001-20260928.md. | 2026-09-28 CLOSED: ordered blocks1–7 PASS in dev HTTP/simulator plus local key/help scope. Actual entry/admission, paid invitation EUR5, cash EUR7 exclusion, Inspector OAuth callback/private Event, generated manual credentials, denial/profile isolation, failed-write retry and EN/HU help verified. Scoped fixture/session/media reset exact; saved provider card deleted and optional Inspector/managed browsers closed. Full details and limits: guides/qa/evidence/INTEGRATION-API-GROUP-001-20260928.md; ordered JSON alongside. No live vendor installation claimed.</t>
  </si>
  <si>
    <t>P0 85</t>
  </si>
  <si>
    <t>MSC115-CAMPAIGN-API</t>
  </si>
  <si>
    <t>Flow</t>
  </si>
  <si>
    <t>Campaign create through existing API/MCP architecture</t>
  </si>
  <si>
    <t>1. Use the existing integration authorization in the Work profile and create a Campaign with the supported create capability. | 2. Check it appears as the same model in Campaigns and respects actor/group ownership. A different group identity must not create or modify it on behalf of the owner. | 3. Listing remains outside the requested public capability. Verify existing event/group create calls retain their contracts.</t>
  </si>
  <si>
    <t>See guides/plans/MULTI_GROUP_PRODUCT_DIRECTION_2026_10.md; code/build checks do not establish manual PASS.</t>
  </si>
  <si>
    <t>Actors: Authorized Work member API/MCP identity. Follow guides/qa/checklists/MSC-115_WORK_COMMUNITY_PAIR_QA.md and the numbered scenario.</t>
  </si>
  <si>
    <t>Prepared 2026-10-05 from user requirements. No browser actions or live data mutation performed. Preserve other completed campaign checkpoints. | 2026-10-06 conversation reconciliation: MSC-115 checklist updated; full flow remains NOT RUN.</t>
  </si>
  <si>
    <t>P1</t>
  </si>
  <si>
    <t>10/25</t>
  </si>
  <si>
    <t>INTEGRATION-ACCESS-001</t>
  </si>
  <si>
    <t>Feature extension</t>
  </si>
  <si>
    <t>API/MCP access packs</t>
  </si>
  <si>
    <t>MSC-116 contextual three-pack selectors; atomic parent save; HTTP/local parity; OAuth/discovery downgrade; domain access and personal-decision exclusion</t>
  </si>
  <si>
    <t>Existing operation and error evidence only</t>
  </si>
  <si>
    <t>See stable checklist</t>
  </si>
  <si>
    <t>NOT RUN — MSC-119 four-pack and role extension</t>
  </si>
  <si>
    <t>Focused regression source prepared; execution deferred by user. 2026-10-07 Help-only watcher-AOT check PASS: enabled parent/child contexts, EN/HU in Dating/Work/Community, bounded loads and cleanup; scoped/local/Mongo seed parity PASS. Permission enforcement remains untested here.</t>
  </si>
  <si>
    <t>Run INTEGRATION-ACCESS-001 with backend/frontend/client/MCP 1.6.0: Blocked/Write/Read/Full, default blocked main MCP, unchanged generation, API/MCP per-client caps, atomic draft save, role statistics and revoked-role denial.</t>
  </si>
  <si>
    <t>MSC-116. Watcher compilation and schema generation are not behavioral QA. Existing guide/API PASS does not cover this extension. | 2026-10-07: fixed missing profile.integration-access enabled-surface registration and Work/Community child guide content; existing parent shield and level/Apply/Close steps reused. guides/qa/evidence/general/EXPLANATION-GUIDE-001-20261007.md. Section 4 now names the manual Help checks. Manual status unchanged. MSC-119 extension 2026-10-07: guides/plans/MSC-119_MCP_READ_EVENTS_ROLE_GUIDANCE.md and guides/qa/evidence/general/MSC-119_GUIDE_WIRING_20261007.md. Source/build evidence only; no functional/browser/security/load PASS claimed.</t>
  </si>
  <si>
    <t>90/180</t>
  </si>
  <si>
    <t>MCP-EVENTS-001</t>
  </si>
  <si>
    <t>MCP Events and OAuth users</t>
  </si>
  <si>
    <t>MSC-116 durable signed subscriptions; independent user grants; virtual-thread throttling and bounded queue</t>
  </si>
  <si>
    <t>Queue status; sanitized protocol error categories</t>
  </si>
  <si>
    <t>Existing integration-webhooks worker</t>
  </si>
  <si>
    <t>EN/HU MCP guide; host subscription flow</t>
  </si>
  <si>
    <t>NOT RUN — MSC-119 role Events extension</t>
  </si>
  <si>
    <t>N/A — external callbacks require backend</t>
  </si>
  <si>
    <t>Java/Go regression source prepared; execution deferred by user.</t>
  </si>
  <si>
    <t>Run MCP-EVENTS-001 with MCP 1.6.0: Full-only Events, Read downgrade, ordinary owned-resource Events, role catalogs and node filters, role/grant revocation during delivery, queue limits/retries/idempotency and multiple users.</t>
  </si>
  <si>
    <t>Source/build evidence only; no live ChatGPT callback or load test yet. MSC-119 extension 2026-10-07: guides/plans/MSC-119_MCP_READ_EVENTS_ROLE_GUIDANCE.md and guides/qa/evidence/general/MSC-119_GUIDE_WIRING_20261007.md. Source/build evidence only; no functional/browser/security/load PASS claimed.</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</si>
  <si>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</si>
  <si>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</si>
  <si>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</si>
  <si>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</si>
  <si>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</si>
  <si>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</si>
  <si>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</si>
  <si>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</si>
  <si>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</si>
  <si>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</si>
  <si>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</si>
  <si>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</si>
  <si>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</si>
  <si>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</si>
  <si>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</si>
  <si>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</si>
  <si>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</si>
  <si>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</si>
  <si>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</si>
  <si>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</si>
  <si>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</si>
  <si>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</si>
  <si>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</si>
  <si>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</si>
  <si>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</si>
  <si>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</si>
  <si>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</si>
  <si>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</si>
  <si>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</si>
  <si>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</si>
  <si>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</si>
  <si>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</si>
  <si>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</si>
  <si>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</si>
  <si>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</si>
  <si>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</si>
  <si>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</si>
  <si>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</si>
  <si>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</si>
  <si>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</si>
  <si>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</si>
  <si>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</si>
  <si>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 | 2026-10-07 isolated CDP regression PASS (EN desktop / 390x844 mobile): dismissed consent stays closed on group switch; correct images on first selection; Login reopens consent; one stable consent Help step with translated label; duplicate Privacy summary removed. SW 20/20 PASS; EN/HU live seed/translation parity PASS.</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</si>
  <si>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</si>
  <si>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 | Later user-authorized fresh anonymous browser evidence: guides/qa/evidence/general/EXPLANATION-GUIDE-001-20261007.md, landing follow-up. No full manual case replay, acceptance/registration or fixture reset; historical status preserved.</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</si>
  <si>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</si>
  <si>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</si>
  <si>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</si>
  <si>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</si>
  <si>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</si>
  <si>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</si>
  <si>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</si>
  <si>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</si>
  <si>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</si>
  <si>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</si>
  <si>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</si>
  <si>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</si>
  <si>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</si>
  <si>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</si>
  <si>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</si>
  <si>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</si>
  <si>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</si>
  <si>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</si>
  <si>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</si>
  <si>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</si>
  <si>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</si>
  <si>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</si>
  <si>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</si>
  <si>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</si>
  <si>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</si>
  <si>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</si>
  <si>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</si>
  <si>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</si>
  <si>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</si>
  <si>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</si>
  <si>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</si>
  <si>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</si>
  <si>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</si>
  <si>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</si>
  <si>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</si>
  <si>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</si>
  <si>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</si>
  <si>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</si>
  <si>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</si>
  <si>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</si>
  <si>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</si>
  <si>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</si>
  <si>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</si>
  <si>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</si>
  <si>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</si>
  <si>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</si>
  <si>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</si>
  <si>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</si>
  <si>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</si>
  <si>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</si>
  <si>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</si>
  <si>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</si>
  <si>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</si>
  <si>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</si>
  <si>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</si>
  <si>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</si>
  <si>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</si>
  <si>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</si>
  <si>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</si>
  <si>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</si>
  <si>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Configured deployment QA</t>
  </si>
  <si>
    <t>Firebase and remote MCP external configuration</t>
  </si>
  <si>
    <t>Fresh/existing Firebase entry, pending location persistence/retry/account isolation; verified non-demo invitation denial; configured-provider OAuth via external Inspector client; configured registration/profile fields, authenticated reporting chooser, installed-app version and physical Android permission retry</t>
  </si>
  <si>
    <t>DELTA normal authenticated session and provider outcomes</t>
  </si>
  <si>
    <t>No demo substitution for real provider authentication; no cross-account grant or pending-coordinate leakage</t>
  </si>
  <si>
    <t>CLOSED / PASS</t>
  </si>
  <si>
    <t>N/A</t>
  </si>
  <si>
    <t>Supporting tests:63 focused entry/Setup/location tests PASS, including demo admission;20 menu tests PASS including HU double-translation regression. These do not replace configured-provider/device evidence. | Corrected permission-grant timer:38 focused Setup/location tests PASS; production build63e45751e41b-20260928075329 deployed.</t>
  </si>
  <si>
    <t>Closed.</t>
  </si>
  <si>
    <t>User explicitly deferred configuration-dependent checks2026-09-27. Moved from GROUP-LIFECYCLE-00119.2 and INTEGRATION-API-GROUP-0017; retains earlier DEPLOY-FIREBASE-LIFECYCLE-001 invitation-policy assertion. guides/qa/checklists/identity-access/DEPLOY-EXTERNAL-CONFIG-001.md.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ChatGPT/Codex/Claude MCP connection without manual client-secret copying is NOT IMPLEMENTED. Development is required BEFORE deployment QA. Existing manual client registration and consent page do not prove the complete flow; external client initiates Connect. Tall connection cards keep Revoke top right. | Corrected domain2026-09-27: URL-first MCP implementation belongs to API test, not deployment setup. This row retains actual configured external-client interoperability checks only; no cross-case execution dependency or inherited PASS. | Boundary clarified: public HTTPS/external service registration/real ChatGPT-Codex-Claude interoperability belong here when they require configured deployment. Local/dev must still complete the real application protocol with a test client. Each case runs independently; URL-first feature still NOT IMPLEMENTED. | External assistant acceptance requires user Connect/login/approval, followed by actual authorized MCP tool discovery and read invocation in that same host/account. Simulator success alone is insufficient. Record actual ChatGPT/Claude conversation result; a supported dev tunnel may supply reachability. | 2026-09-27 clarification: explicit user-operated manual ChatGPT website acceptance added; not Codex-host substitution. Local simulator needs no production config and remains API scope. | 2026-09-27 closure reconciliation: independent blocks4–6 now contain residual configured registration/profile/filter, remote reporting, installed version and physical permission recovery; own setup/checkpoints/cleanup required. Source14–16 scope transfer CLOSED; destination remains NOT RUN, no inherited PASS. | 2026-09-28 current scope: unexecuted real-host ChatGPT/Claude/Codex smoke moved to guides/qualification/MCP-CLIENT-CONNECT-SMOKE.md outside the QA matrix; no tested result moved. Section2 retains configured-provider OAuth with Inspector. This supersedes earlier real-host acceptance scope notes; QA status stays NOT RUN. | 2026-09-28: user delegated full-flow QA on their Android phone. VMware production runtime1.3.0 prepared; final DEB upgrade remains pending. Production parity audit found/fixed packaged session-limit/Integration URL forwarding and retained help-v3 migration; see guides/qualification/evidence/PROD_PARITY_20260928.md. No checklist PASS inferred. User explicitly requests separate iOS block7 IGNORED because no iPhone/iPad; blocks1–6 can close this case independently. IGNORED is not a claim that iOS is unsupported. | 2026-09-28: production UI build0f723f2d23a0-20260928044638 running on VMware. Physical required Setup→Update→Close→Google login observed; user second Google account reached registration, initial Mongo absence query omitted firebaseUid and is not valid fresh-record evidence. Full1.1 remains incomplete. See PROD_PARITY_20260928.md. | Current continuation2026-09-28: registration completed; authoritative profile HTTP200, Mongo point matches request, pending point cleared, IndexedDB checked independently. Children repair production build050359 deployed;1.2 user verification pending. Former block4 merged into1; reporting is4, Android5, iOS6 IGNORED. See PROD_PARITY_20260928.md for baseline limitation and current evidence. | User confirmed Children label repair on phone (“jo lett a gyerek”); remaining1.2 assertions stay open. | 2026-09-28 current order: Firebase1 retained, no completed-check replay; machine2 active, desktop OAuth3, Android4 last. iOS removed from active scope by user. Saved-point login and location retry observed; controls restored. UI06450 deployed, backend JAR matches. Disposable help importer/migration PASS, configured HU/EN HTTP200; MCP/full boundary pending. See parity evidence. | Final user clarification: machine1 first, OAuth2, single mobile3 block retaining Firebase3.1; skip completed Firebase assertions. HU/EN canonical HTTP and MCP17-topic reads PASS. Private outsider8 direct requests denied403/404, existing chat controls verified separately; DB unchanged and scoped fixture restored. OAuth discovery and5 initial invalid-request probes PASS; grant-dependent cases pending. GitHub chooser needs signed-in session. | OAuth2.1: official Inspector on physical phone connected with existing real Firebase session, correct base-profile discovery and successful account-owned event read. No injected grant. Desktop unused client removed; phone client captured, pending revocation/cleanup. User requires all remaining browser actions on phone in numbered order. | OAuth2.2 reconnect, cancellation(no grant), retry and protocol negatives PASS; expired-code deadline prepared by scoped fixture.2.3 normal phone logout: OAuth/API200 and old browser401. Await user sign-in for explicit revocation. Three Inspector clients and one QA API key retained in harness; cleanup pending. See DEPLOY_OAUTH_20260928.json. | OAuth2.1–2.4 PASS/CLOSED: normal phone logout retained independent OAuth/API access200 and rejected old browser401; explicit ordinary endpoint revocations then rejected both credentials401. Three captured clients and one QA key exactly restored, zero remaining. Inspector stopped, owned tabs/callback6274 and private credentials removed; original8443 transport and real account/Event retained. Next: finish audit of1.1–1.4 before3, per user. | 1.4 PASS: authenticated actual GitHub chooser and all three Bug/Feature/Question forms opened on physical Android; concise fields match versioned templates. No issue submitted. See DEPLOY_GITHUB_20260928.json. Blocks1.2/1.3 and2 remain complete;1.1 retains verified importer/migration/HTTP/MCP scope and documented standalone-deployment limitation, with no restart per user. | 2026-09-28 CLOSED / PASS. Exact fixture reset complete. Next work: VMware DEB1.3.0 upgrade.</t>
  </si>
  <si>
    <t>P2 60</t>
  </si>
  <si>
    <t>MSC115-LANDING</t>
  </si>
  <si>
    <t>Shared landing and demo selection</t>
  </si>
  <si>
    <t>1. Open the normal entry URL: Dating is selected. Switch to Work and Community using the existing header AppMenu at desktop and mobile width. | 2. Check the unchanged page structure and MyScoutee logo; check mode-specific heading, slideshow (including the fourth explanation image), articles, footer and guide step. Follow-us links are the same in all three modes, including a fresh local landing before opening the demo picker. This public load creates no demo users or operator record; saved operator overrides, including an empty social-link list, remain authoritative. Returning to a mode reuses its loaded content. | 3. Open the demo picker for each mode. Confirm membership-based availability, including people who belong to more than one base group. Cards show normal name/profile metadata without overlapping group labels, and rows align at the top. Login still resolves the account/profile through the existing flow. | 4. Check UK in supported areas. Seeded users have plausible covered-area coordinates; only the designated location-prompt demo actors request location.</t>
  </si>
  <si>
    <t>See guides/plans/MULTI_GROUP_PRODUCT_DIRECTION_2026_10.md; code/build checks do not establish manual PASS. | 2026-10-07: compiled main-group identity/global paging checks and read-only HTTP paging/sync PASS; guides/qa/evidence/work-community/MAIN-GROUPS-20261007.md.</t>
  </si>
  <si>
    <t>Website consent once across modes/groups; eight full EN/HU articles and unique images; green/multicolor theme; social icons/retry; aligned Read more; stable login/logout route, translated labels and ring. | Main-group landing label/icon/color after login; Groups base cards once at the entire filtered list start before pagination, never repeated per mobile page; private identity and counters retained.</t>
  </si>
  <si>
    <t>ROLE-GUIDES-NOTIFICATIONS-001</t>
  </si>
  <si>
    <t>Role guides and notifications</t>
  </si>
  <si>
    <t>MSC-118: 37 system contexts; all-role launchers and persistent preferences; role inbox events and targets</t>
  </si>
  <si>
    <t>Existing outbox and login audit evidence</t>
  </si>
  <si>
    <t>Existing notification worker; signed release discovery</t>
  </si>
  <si>
    <t>Guide/card/read/mute/context behavior only; business actions use their own fixtures</t>
  </si>
  <si>
    <t>Compiled watcher runtime PASS; Java + isolated Mongo PASS; 222 live guide GETs PASS; seed parity PASS</t>
  </si>
  <si>
    <t>Run checklists/general/ROLE-GUIDES-NOTIFICATIONS-001.md in EN/HU desktop/mobile Local/HTTP</t>
  </si>
  <si>
    <t>Development evidence: guides/qa/evidence/general/ROLE-GUIDES-NOTIFICATIONS-001-20261007.md. No browser click-through, provider push or six-hour cycle claimed. https://github.com/fssrepository/myscoutee-roadmap/issues/156</t>
  </si>
  <si>
    <t>60/120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</si>
  <si>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</si>
  <si>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</si>
  <si>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</si>
  <si>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</si>
  <si>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</si>
  <si>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</si>
  <si>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</si>
  <si>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</si>
  <si>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</si>
  <si>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</si>
  <si>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</si>
  <si>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</si>
  <si>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</si>
  <si>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</si>
  <si>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</si>
  <si>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</si>
  <si>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</si>
  <si>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</si>
  <si>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</si>
  <si>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</si>
  <si>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</si>
  <si>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</si>
  <si>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</si>
  <si>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</si>
  <si>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</si>
  <si>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</si>
  <si>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</si>
  <si>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</si>
  <si>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</si>
  <si>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</si>
  <si>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</si>
  <si>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</si>
  <si>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</si>
  <si>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</si>
  <si>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</si>
  <si>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</si>
  <si>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</si>
  <si>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</si>
  <si>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</si>
  <si>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</si>
  <si>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</si>
  <si>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</si>
  <si>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</si>
  <si>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</si>
  <si>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</si>
  <si>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</si>
  <si>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</si>
  <si>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</si>
  <si>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</si>
  <si>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</si>
  <si>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</si>
  <si>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</si>
  <si>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</si>
  <si>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</si>
  <si>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</si>
  <si>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</si>
  <si>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</si>
  <si>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</si>
  <si>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</si>
  <si>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</si>
  <si>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</si>
  <si>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</si>
  <si>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</si>
  <si>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</si>
  <si>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</si>
  <si>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</si>
  <si>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</si>
  <si>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</si>
  <si>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</si>
  <si>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</si>
  <si>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</si>
  <si>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</si>
  <si>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</si>
  <si>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</si>
  <si>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</si>
  <si>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</si>
  <si>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</si>
  <si>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</si>
  <si>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</si>
  <si>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</si>
  <si>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</si>
  <si>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</si>
  <si>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</si>
  <si>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</si>
  <si>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</si>
  <si>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</si>
  <si>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</si>
  <si>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</si>
  <si>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</si>
  <si>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</si>
  <si>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</si>
  <si>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</si>
  <si>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</si>
  <si>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</si>
  <si>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</si>
  <si>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</si>
  <si>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</si>
  <si>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</si>
  <si>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</si>
  <si>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</si>
  <si>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</si>
  <si>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</si>
  <si>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</si>
  <si>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</si>
  <si>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</si>
  <si>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</si>
  <si>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</si>
  <si>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</si>
  <si>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</si>
  <si>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</si>
  <si>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</si>
  <si>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</si>
  <si>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</si>
  <si>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</si>
  <si>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</si>
  <si>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</si>
  <si>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</si>
  <si>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</si>
  <si>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</si>
  <si>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</si>
  <si>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</si>
  <si>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</si>
  <si>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</si>
  <si>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</si>
  <si>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</si>
  <si>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</si>
  <si>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</si>
  <si>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</si>
  <si>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</si>
  <si>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</si>
  <si>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</si>
  <si>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</si>
  <si>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</si>
  <si>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</si>
  <si>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</si>
  <si>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</si>
  <si>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</si>
  <si>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</si>
  <si>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</si>
  <si>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</si>
  <si>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</si>
  <si>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</si>
  <si>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</si>
  <si>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</si>
  <si>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</si>
  <si>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</si>
  <si>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</si>
  <si>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</si>
  <si>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</si>
  <si>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</si>
  <si>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</si>
  <si>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</si>
  <si>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</si>
  <si>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</si>
  <si>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</si>
  <si>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</si>
  <si>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</si>
  <si>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</si>
  <si>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</si>
  <si>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</si>
  <si>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</si>
  <si>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</si>
  <si>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</si>
  <si>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</si>
  <si>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</si>
  <si>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</si>
  <si>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</si>
  <si>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</si>
  <si>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</si>
  <si>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</si>
  <si>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</si>
  <si>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</si>
  <si>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</si>
  <si>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</si>
  <si>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</si>
  <si>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</si>
  <si>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</si>
  <si>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</si>
  <si>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</si>
  <si>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</si>
  <si>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</si>
  <si>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</si>
  <si>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</si>
  <si>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</si>
  <si>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</si>
  <si>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</si>
  <si>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</si>
  <si>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</si>
  <si>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</si>
  <si>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</si>
  <si>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</si>
  <si>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</si>
  <si>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</si>
  <si>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</si>
  <si>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</si>
  <si>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</si>
  <si>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</si>
  <si>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</si>
  <si>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</si>
  <si>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</si>
  <si>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</si>
  <si>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</si>
  <si>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</si>
  <si>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</si>
  <si>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</si>
  <si>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</si>
  <si>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</si>
  <si>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</si>
  <si>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</si>
  <si>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</si>
  <si>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</si>
  <si>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</si>
  <si>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</si>
  <si>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</si>
  <si>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</si>
  <si>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</si>
  <si>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</si>
  <si>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</si>
  <si>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</si>
  <si>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</si>
  <si>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</si>
  <si>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</si>
  <si>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</si>
  <si>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</si>
  <si>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</si>
  <si>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</si>
  <si>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</si>
  <si>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</si>
  <si>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</si>
  <si>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</si>
  <si>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</si>
  <si>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</si>
  <si>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</si>
  <si>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</si>
  <si>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</si>
  <si>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</si>
  <si>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</si>
  <si>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</si>
  <si>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</si>
  <si>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</si>
  <si>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</si>
  <si>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</si>
  <si>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</si>
  <si>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</si>
  <si>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</si>
  <si>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</si>
  <si>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</si>
  <si>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</si>
  <si>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</si>
  <si>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</si>
  <si>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</si>
  <si>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</si>
  <si>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</si>
  <si>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</si>
  <si>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</si>
  <si>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</si>
  <si>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</si>
  <si>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</si>
  <si>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</si>
  <si>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</si>
  <si>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</si>
  <si>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</si>
  <si>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</si>
  <si>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</si>
  <si>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</si>
  <si>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</si>
  <si>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</si>
  <si>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</si>
  <si>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</si>
  <si>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</si>
  <si>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</si>
  <si>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</si>
  <si>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</si>
  <si>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</si>
  <si>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</si>
  <si>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</si>
  <si>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</si>
  <si>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</si>
  <si>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</si>
  <si>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</si>
  <si>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</si>
  <si>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</si>
  <si>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</si>
  <si>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</si>
  <si>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</si>
  <si>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</si>
  <si>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</si>
  <si>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</si>
  <si>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</si>
  <si>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</si>
  <si>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</si>
  <si>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</si>
  <si>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</si>
  <si>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</si>
  <si>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</si>
  <si>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</si>
  <si>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</si>
  <si>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</si>
  <si>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</si>
  <si>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</si>
  <si>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</si>
  <si>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</si>
  <si>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</si>
  <si>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</si>
  <si>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</si>
  <si>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</si>
  <si>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</si>
  <si>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</si>
  <si>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</si>
  <si>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</si>
  <si>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</si>
  <si>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</si>
  <si>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</si>
  <si>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</si>
  <si>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</si>
  <si>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</si>
  <si>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</si>
  <si>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</si>
  <si>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</si>
  <si>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</si>
  <si>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</si>
  <si>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</si>
  <si>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</si>
  <si>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</si>
  <si>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</si>
  <si>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</si>
  <si>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</si>
  <si>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</si>
  <si>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</si>
  <si>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</si>
  <si>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</si>
  <si>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</si>
  <si>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</si>
  <si>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</si>
  <si>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</si>
  <si>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</si>
  <si>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</si>
  <si>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</si>
  <si>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</si>
  <si>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</si>
  <si>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</si>
  <si>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</si>
  <si>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</si>
  <si>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</si>
  <si>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</si>
  <si>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</si>
  <si>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</si>
  <si>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</si>
  <si>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</si>
  <si>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</si>
  <si>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</si>
  <si>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</si>
  <si>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</si>
  <si>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</si>
  <si>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</si>
  <si>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</si>
  <si>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</si>
  <si>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</si>
  <si>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</si>
  <si>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</si>
  <si>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</si>
  <si>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</si>
  <si>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</si>
  <si>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</si>
  <si>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</si>
  <si>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</si>
  <si>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</si>
  <si>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</si>
  <si>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</si>
  <si>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</si>
  <si>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</si>
  <si>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</si>
  <si>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</si>
  <si>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</si>
  <si>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</si>
  <si>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</si>
  <si>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</si>
  <si>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</si>
  <si>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</si>
  <si>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</si>
  <si>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</si>
  <si>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</si>
  <si>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</si>
  <si>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</si>
  <si>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</si>
  <si>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</si>
  <si>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</si>
  <si>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</si>
  <si>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</si>
  <si>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</si>
  <si>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</si>
  <si>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</si>
  <si>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</si>
  <si>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</si>
  <si>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</si>
  <si>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</si>
  <si>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</si>
  <si>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</si>
  <si>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</si>
  <si>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</si>
  <si>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</si>
  <si>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</si>
  <si>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</si>
  <si>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</si>
  <si>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</si>
  <si>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</si>
  <si>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</si>
  <si>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</si>
  <si>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</si>
  <si>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</si>
  <si>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</si>
  <si>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</si>
  <si>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</si>
  <si>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</si>
  <si>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</si>
  <si>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</si>
  <si>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</si>
  <si>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</si>
  <si>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</si>
  <si>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</si>
  <si>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</si>
  <si>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</si>
  <si>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</si>
  <si>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</si>
  <si>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</si>
  <si>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</si>
  <si>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</si>
  <si>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</si>
  <si>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</si>
  <si>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</si>
  <si>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</si>
  <si>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</si>
  <si>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</si>
  <si>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</si>
  <si>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</si>
  <si>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</si>
  <si>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</si>
  <si>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</si>
  <si>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</si>
  <si>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</si>
  <si>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</si>
  <si>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</si>
  <si>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</si>
  <si>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</si>
  <si>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</si>
  <si>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</si>
  <si>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</si>
  <si>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</si>
  <si>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</si>
  <si>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</si>
  <si>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</si>
  <si>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</si>
  <si>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</si>
  <si>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</si>
  <si>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</si>
  <si>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</si>
  <si>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</si>
  <si>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</si>
  <si>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</si>
  <si>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</si>
  <si>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</si>
  <si>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</si>
  <si>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</si>
  <si>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</si>
  <si>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</si>
  <si>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</si>
  <si>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</si>
  <si>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</si>
  <si>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</si>
  <si>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</si>
  <si>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</si>
  <si>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</si>
  <si>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</si>
  <si>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</si>
  <si>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</si>
  <si>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</si>
  <si>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</si>
  <si>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</si>
  <si>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</si>
  <si>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</si>
  <si>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</si>
  <si>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</si>
  <si>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</si>
  <si>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</si>
  <si>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</si>
  <si>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</si>
  <si>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</si>
  <si>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</si>
  <si>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</si>
  <si>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</si>
  <si>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</si>
  <si>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</si>
  <si>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</si>
  <si>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</si>
  <si>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</si>
  <si>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</si>
  <si>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</si>
  <si>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</si>
  <si>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</si>
  <si>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</si>
  <si>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</si>
  <si>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</si>
  <si>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</si>
  <si>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</si>
  <si>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</si>
  <si>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</si>
  <si>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</si>
  <si>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</si>
  <si>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</si>
  <si>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</si>
  <si>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</si>
  <si>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</si>
  <si>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</si>
  <si>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</si>
  <si>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</si>
  <si>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</si>
  <si>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</si>
  <si>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</si>
  <si>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</si>
  <si>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</si>
  <si>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</si>
  <si>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</si>
  <si>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</si>
  <si>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</si>
  <si>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</si>
  <si>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</si>
  <si>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</si>
  <si>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</si>
  <si>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</si>
  <si>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</si>
  <si>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</si>
  <si>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</si>
  <si>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</si>
  <si>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</si>
  <si>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</si>
  <si>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</si>
  <si>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</si>
  <si>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</si>
  <si>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</si>
  <si>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</si>
  <si>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</si>
  <si>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</si>
  <si>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</si>
  <si>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</si>
  <si>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</si>
  <si>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</si>
  <si>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</si>
  <si>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</si>
  <si>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</si>
  <si>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</si>
  <si>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</si>
  <si>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</si>
  <si>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</si>
  <si>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</si>
  <si>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</si>
  <si>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</si>
  <si>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</si>
  <si>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</si>
  <si>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</si>
  <si>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EVENT-PAST-BADGES-001</t>
  </si>
  <si>
    <t>Regression follow-up</t>
  </si>
  <si>
    <t>Time-bound activity badges</t>
  </si>
  <si>
    <t>Stored Event badges before/after expiry, subsequent write-side recount and repeated worker; Rates excluded</t>
  </si>
  <si>
    <t>Close past events; Followed expiry; batch implementation retained</t>
  </si>
  <si>
    <t>Event dropdown All binding; Event scopes, Tickets and Followed time boundaries</t>
  </si>
  <si>
    <t>PASS / CLOSED (server expiry regression)</t>
  </si>
  <si>
    <t>PARTIAL</t>
  </si>
  <si>
    <t>2026-09-30</t>
  </si>
  <si>
    <t>20/20 focused Java tests; existing dev scheduler and real HTTP watch/unwatch; start fallback and real 90-second end boundary; exact fixture reset.</t>
  </si>
  <si>
    <t>None in the requested server expiry/recount scope. Frontend-local and new Ticket/Followed end-to-end coverage are not claimed.</t>
  </si>
  <si>
    <t>2026-09-30 focused closure: real HTTP All/Hosting2 before end; existing expiry worker1 afterward; genuine watch/unwatch recount remains1; repeated scheduled pass0 with unchanged event/control/full activity counters. Start-only fallback/future control also passed. Job first total2 is expired source1 plus existing friendship projection1. Java tests13+7 PASS; test-only compilation with backend stopped serially and restored. Original expiry batch implementation unchanged; no new Past job. Exact fixture reset and zero owned leftovers;12 retained manual markers preserved. See guides/qa/evidence/event/EVENT-PAST-BADGES-001-20260930.md and JSON. Local PARTIAL retains the unrun local-adapter boundary.</t>
  </si>
  <si>
    <t>MSC115-WORK-EVENT</t>
  </si>
  <si>
    <t>Campaign-scoped invitation, capacity and related filters</t>
  </si>
  <si>
    <t>1. Create an event and select a Campaign through the existing selector-style control. Check capacity and priority-based invitation behavior. | 2. Open Events, select a Campaign filter and verify its title/subtitle, paging and displayed events. Clear the filter to return to all events. | 3. Check the Campaign filter in event feedback. Campaign chats use their own bucket; a whole-chat-list Campaign filter is deferred. Verify event creation, invitation, acceptance/removal and feedback notifications reach other affected participants only. | 4. Check that the scheduled random event generator does not create Work rooms.</t>
  </si>
  <si>
    <t>Actors: Work event organizer and candidates. Follow guides/qa/checklists/MSC-115_WORK_COMMUNITY_PAIR_QA.md and the numbered scenario.</t>
  </si>
  <si>
    <t>MSC115-PAYMENT</t>
  </si>
  <si>
    <t>Group-scoped history, member basket and manual transfer</t>
  </si>
  <si>
    <t>1. Open Payment history. The member control and expense/income totals share the second header row. The member button shows its avatar/count when selected and ends with a chevron; no selection shows All. Select one member with +, then confirm an empty basket to return to All. Check paging and both directions. | 2. Record cash received and bank transfer received from another member with amount/currency/note. Cash/transfer menu items and selected trigger use contextual icons/colors. Check matching historical entries, contextual method badge and payer-only notification. | 3. Retry the same save; check one receipt. Delete or request/approve a permitted manual refund and verify both histories/counters. No provider gateway is invoked for manual cash/transfer. | 4. Switch profile/group and verify filter/context isolation. Global profile totals are not replaced by the selected member subtotal. Alex’s local demo cards/payments match canonical demo amounts/dates and real counterparties.</t>
  </si>
  <si>
    <t>Actors: Two members in each of Dating, Work and Community. Follow guides/qa/checklists/MSC-115_WORK_COMMUNITY_PAIR_QA.md and the numbered scenario.</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</si>
  <si>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</si>
  <si>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</si>
  <si>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</si>
  <si>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</si>
  <si>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</si>
  <si>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</si>
  <si>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</si>
  <si>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</si>
  <si>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</si>
  <si>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</si>
  <si>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</si>
  <si>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</si>
  <si>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</si>
  <si>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</si>
  <si>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</si>
  <si>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</si>
  <si>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</si>
  <si>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</si>
  <si>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</si>
  <si>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</si>
  <si>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</si>
  <si>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</si>
  <si>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</si>
  <si>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</si>
  <si>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</si>
  <si>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</si>
  <si>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</si>
  <si>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</si>
  <si>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</si>
  <si>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</si>
  <si>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</si>
  <si>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</si>
  <si>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</si>
  <si>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</si>
  <si>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</si>
  <si>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</si>
  <si>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</si>
  <si>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</si>
  <si>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</si>
  <si>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</si>
  <si>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</si>
  <si>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</si>
  <si>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</si>
  <si>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</si>
  <si>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</si>
  <si>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</si>
  <si>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</si>
  <si>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</si>
  <si>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</si>
  <si>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</si>
  <si>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</si>
  <si>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</si>
  <si>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</si>
  <si>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</si>
  <si>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</si>
  <si>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</si>
  <si>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</si>
  <si>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</si>
  <si>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</si>
  <si>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</si>
  <si>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</si>
  <si>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</si>
  <si>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</si>
  <si>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</si>
  <si>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</si>
  <si>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</si>
  <si>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</si>
  <si>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</si>
  <si>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</si>
  <si>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</si>
  <si>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</si>
  <si>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</si>
  <si>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</si>
  <si>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</si>
  <si>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</si>
  <si>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</si>
  <si>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</si>
  <si>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</si>
  <si>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</si>
  <si>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</si>
  <si>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</si>
  <si>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</si>
  <si>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</si>
  <si>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</si>
  <si>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</si>
  <si>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</si>
  <si>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</si>
  <si>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</si>
  <si>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</si>
  <si>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</si>
  <si>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</si>
  <si>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</si>
  <si>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</si>
  <si>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</si>
  <si>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</si>
  <si>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</si>
  <si>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</si>
  <si>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</si>
  <si>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</si>
  <si>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</si>
  <si>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</si>
  <si>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</si>
  <si>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</si>
  <si>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</si>
  <si>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</si>
  <si>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</si>
  <si>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</si>
  <si>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</si>
  <si>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</si>
  <si>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</si>
  <si>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</si>
  <si>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</si>
  <si>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</si>
  <si>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</si>
  <si>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</si>
  <si>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</si>
  <si>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</si>
  <si>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</si>
  <si>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</si>
  <si>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</si>
  <si>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</si>
  <si>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</si>
  <si>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</si>
  <si>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</si>
  <si>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</si>
  <si>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</si>
  <si>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</si>
  <si>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</si>
  <si>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</si>
  <si>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</si>
  <si>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</si>
  <si>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</si>
  <si>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</si>
  <si>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</si>
  <si>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</si>
  <si>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</si>
  <si>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</si>
  <si>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</si>
  <si>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</si>
  <si>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</si>
  <si>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</si>
  <si>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</si>
  <si>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</si>
  <si>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</si>
  <si>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</si>
  <si>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</si>
  <si>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</si>
  <si>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</si>
  <si>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MSC115-MIXING</t>
  </si>
  <si>
    <t>Priority-off Mingle and Tournament</t>
  </si>
  <si>
    <t>1. Create/operate Mingle or a Tournament in a private Community workspace using the existing controls. | 2. Check participant-only random mixing without affinity weighting, retained capacity/history rules and no automatic random-room scheduler for the Community base mode. | 3. As a participating manager start/advance manually: no own-action notification. Automatic phase changes notify affected participants. Compare the unchanged priority behavior in a Dating workspace.</t>
  </si>
  <si>
    <t>Actors: Private Community manager; participants; Dating comparison group. Follow guides/qa/checklists/MSC-115_WORK_COMMUNITY_PAIR_QA.md and the numbered scenario.</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</si>
  <si>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</si>
  <si>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</si>
  <si>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</si>
  <si>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</si>
  <si>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</si>
  <si>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</si>
  <si>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</si>
  <si>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</si>
  <si>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</si>
  <si>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</si>
  <si>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</si>
  <si>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</si>
  <si>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</si>
  <si>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</si>
  <si>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</si>
  <si>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</si>
  <si>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</si>
  <si>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</si>
  <si>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</si>
  <si>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</si>
  <si>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</si>
  <si>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</si>
  <si>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</si>
  <si>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</si>
  <si>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</si>
  <si>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</si>
  <si>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</si>
  <si>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</si>
  <si>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</si>
  <si>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</si>
  <si>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</si>
  <si>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</si>
  <si>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</si>
  <si>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</si>
  <si>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</si>
  <si>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</si>
  <si>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</si>
  <si>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</si>
  <si>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</si>
  <si>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</si>
  <si>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</si>
  <si>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</si>
  <si>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</si>
  <si>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</si>
  <si>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</si>
  <si>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</si>
  <si>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</si>
  <si>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</si>
  <si>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</si>
  <si>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</si>
  <si>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</si>
  <si>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</si>
  <si>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</si>
  <si>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</si>
  <si>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</si>
  <si>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</si>
  <si>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</si>
  <si>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</si>
  <si>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</si>
  <si>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MSC115-WORK-CHAT</t>
  </si>
  <si>
    <t>Campaign questions and event group chat</t>
  </si>
  <si>
    <t>1. Before a saved positive rating, verify the Campaign question action requires rating first. Rate, then open campaign Details through the Home eye or a campaign block in the aggregated Ratings history and choose Ask the organizer. | 2. Check the independent Campaign chat bucket, correct organizer, recipient-only new-message notification and unread badge. Reopening/retrying does not duplicate the chat or message. | 3. Create the corresponding real event: its group conversation uses the existing event chat owner and is separate from the direct Campaign question.</t>
  </si>
  <si>
    <t>Actors: Campaign organizer and positively rating participant. Follow guides/qa/checklists/MSC-115_WORK_COMMUNITY_PAIR_QA.md and the numbered scenario.</t>
  </si>
  <si>
    <t>MSC115-CASE-CHAT</t>
  </si>
  <si>
    <t>Shared case channel and permission changes</t>
  </si>
  <si>
    <t>1. Open the case chat from each permitted actor and inspect the Case bucket. Send a message; only other current chat participants get notification/unread increments. | 2. Mark read and reopen. Existing messages and other members’ unread counts survive case membership synchronization. | 3. Decline/remove the provider and check both HTTP and an already-open websocket against current case access. No private group membership is created. | 4. Chat Tasks opens only the target board, without an underlying Cases list or its list/counter requests. | 5. Close directly to chat; normal overview-to-board navigation retains its overview. | 6. Failed/denied detail shows a closable error without opening a Cases list; permitted retry works.</t>
  </si>
  <si>
    <t>Actors: Manager; affected resident; invited provider. Follow guides/qa/checklists/MSC-115_WORK_COMMUNITY_PAIR_QA.md, MSC115-CASE-CHAT steps 1-6. Trace only requests caused by the Tasks click; one target detail, no Cases list or scheduled-task counter prefetch. CHAT-CALL-001 step 34 links this existing owner.</t>
  </si>
  <si>
    <t>Prepared 2026-10-05 from user requirements. No browser actions or live data mutation performed. Preserve other completed campaign checkpoints. | 2026-10-06 conversation reconciliation: MSC-115 checklist updated; full flow remains NOT RUN. | 2026-10-07 guide expansion only: Tasks-button direct-board/close/error checks added from MSC-117 regression; no new manual run.</t>
  </si>
  <si>
    <t>CHAT-CALL-001</t>
  </si>
  <si>
    <t>Dedicated checkpoint MSC-117</t>
  </si>
  <si>
    <t>Chat WebRTC group calls</t>
  </si>
  <si>
    <t>CHAT-CALL-001 steps 1-34: owned STUN direct calls; synchronized media controls; admin mute and coordinator handover; native participant paging and video RTP pause/resume with uninterrupted audio; recent speakers; physical self-audio; chat-header regressions</t>
  </si>
  <si>
    <t>X: signaling is not a saved chat message</t>
  </si>
  <si>
    <t>DELTA live STUN health via existing WebSocket</t>
  </si>
  <si>
    <t>Immediate phone audio; optional camera; full-size tiles; shared 2x2 mobile/up-to-3x2 laptop native stepper; only visible video streams, all audio retained; standard app-menu recent-speaker switch; individual receive-video/mute/volume controls synced with tiles; compact upward volume panel; mirrored unavailable phone</t>
  </si>
  <si>
    <t>UNSUPPORTED: server WebSocket required</t>
  </si>
  <si>
    <t>PASS: 3 real WASM MLS, 2 PCM/FFT, 2 authenticated WebSocket tests; encrypted video control replay PASS; 4 watcher-AOT runtime checks for viewport/sender/SmartList/layout-reactivity PASS; existing watchers compile; all 50 call keys per language match live API</t>
  </si>
  <si>
    <t>Follow guides/qa/checklists/general/CHAT-CALL-001.md steps 1-34. Revalidate the three-actor baseline after dev/demo reset; prepare at least seven distinct participants for full desktop pages. Record per-peer audio/video RTP deltas; use the linked MSC115-CASE-CHAT steps 4-6 for direct Tasks navigation and request counts.</t>
  </si>
  <si>
    <t>MSC-117 https://github.com/fssrepository/myscoutee-roadmap/issues/155; guides/qa/evidence/CHAT-CALL-001-2026-10-06.json; isolated Alice admin/Bob/Carol fixture ready; browser checklist not executed by Codex | 2026-10-07 guide expansion only: 34 numbered steps; obsolete visible verification-code assertions removed; physical echo isolation and linked Tasks regression added. Earlier fixture-ready evidence is historical; revalidate after dev/demo reset. No new manual run.</t>
  </si>
  <si>
    <t>30/60</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</si>
  <si>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</si>
  <si>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</si>
  <si>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</si>
  <si>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</si>
  <si>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</si>
  <si>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</si>
  <si>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</si>
  <si>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</si>
  <si>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</si>
  <si>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</si>
  <si>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</si>
  <si>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</si>
  <si>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</si>
  <si>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</si>
  <si>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</si>
  <si>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</si>
  <si>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</si>
  <si>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</si>
  <si>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</si>
  <si>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</si>
  <si>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</si>
  <si>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</si>
  <si>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</si>
  <si>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</si>
  <si>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</si>
  <si>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</si>
  <si>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</si>
  <si>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</si>
  <si>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</si>
  <si>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</si>
  <si>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</si>
  <si>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</si>
  <si>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</si>
  <si>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</si>
  <si>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</si>
  <si>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</si>
  <si>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</si>
  <si>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</si>
  <si>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</si>
  <si>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</si>
  <si>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</si>
  <si>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</si>
  <si>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</si>
  <si>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</si>
  <si>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</si>
  <si>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</si>
  <si>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</si>
  <si>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</si>
  <si>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</si>
  <si>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</si>
  <si>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</si>
  <si>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</si>
  <si>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</si>
  <si>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</si>
  <si>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</si>
  <si>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</si>
  <si>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</si>
  <si>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</si>
  <si>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</si>
  <si>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</si>
  <si>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</si>
  <si>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</si>
  <si>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</si>
  <si>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</si>
  <si>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</si>
  <si>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</si>
  <si>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</si>
  <si>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</si>
  <si>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</si>
  <si>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</si>
  <si>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</si>
  <si>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</si>
  <si>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</si>
  <si>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</si>
  <si>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</si>
  <si>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</si>
  <si>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</si>
  <si>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</si>
  <si>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</si>
  <si>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</si>
  <si>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</si>
  <si>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</si>
  <si>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CLOSED / PASS — agreed HTTP scope</t>
  </si>
  <si>
    <t>CLOSED: HTTP29/29 current-scope blocks;26 full closures and3 scope-transfer closures.</t>
  </si>
  <si>
    <t>2026-09-27</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</si>
  <si>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</si>
  <si>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Closed. Independent deployment checks retain their separate scope; Isolation also closed 2026-09-28.</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</si>
  <si>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 | 2026-09-27 block22 HTTP PASS/CLOSED: Design Circle UI create/edit/delete persisted Base asset ownership; Main/Design Circle/Seattle Friends inventory and immediate asset counters match, event counters remain separate. Real response-stage delayed long-poll released after deletion did not resurrect count; no page reload. Own scoped fixture public Asset booked to an inaccessible Language Lab event remains in Explore (UI + three-profile authenticated reads); own/private/non-friend controls absent, foreign Event/private Asset details withheld with empty HTTP200. Event Explore UI changes with workspace. Existing Group chat preparation and tools fixtures exactly restored; no chat share submitted. Evidence GROUP-LIFECYCLE-001-block22-tools-20260927.json. HTTP19/48 (39.58%), Lifecycle19/29 (1–13,17–22);23 active. Local NOT RUN. | 2026-09-27 block23 HTTP PASS/CLOSED: independent Group Asset checkout captured HUF3200 on Design Circle payer; Maya Base reads the same stored payment as income, Base/other Group controls excluded. Real owner acceptance and payer refund request/recipient approval reversed HUF3200 on the same payer/recipient; one capture plus normal refund audit. Initial unknown provider-card fixture caused one failed attempt; repaired via snapshot-protected real provider card registration, not a manufactured payment. Card revoked and restore-sharing exactly verified. Base/Group Profile/Affiliate/API/history and bounded Feed/Impressions/Chats/Ticket scope smoke recorded; empty ticket views supported by account-scope/converter source review, no populated-ticket visual claim or exhaustive nested-screen sweep. Shared booking-row badge overlap fixed and watcher/mobile320/360/desktop1100 verified. Evidence GROUP-LIFECYCLE-001-block23-profile-payments-20260927.json. HTTP20/48 (41.67%), Lifecycle20/29 (1–13,17–23);24 next. Local NOT RUN. | 2026-09-27 block24 HTTP checklist scope PASS/CLOSED: own contact snapshot; Group Create contact candidate account resolution repaired, eight real candidates returned. Saved contact request/reject/re-request/approve passed; one Base-account conversation, same senders and read receipts under Main/Design Circle; delayed old-account HTTP response did not replace the new account contact list. Contact snapshot restored exactly. Independent free resource fixture: account-owned Asset assigned by the participating Design Circle profile; persisted request retained that participant profile. Base/Seattle Friends subjects without target Event membership returned403. Assets remain usable from any workspace; authority comes from target Event/group membership. Both Base- and Group-held tickets visible from all three workspaces; scanner rejected forged actor bodies from Base/Seattle and accepted authenticated Design Circle despite Base body, persisted correct usedByUserId and attendance. No saved contacts meant zero Event invite candidates despite prior-met profiles. Exact restore-sharing PASS. Shared empty-state spans full grid; user-requested entire contact headline row removed without replacement, watcher/UI verified. Extra forged resource-subject probe under optional-auth dev policy is separately recorded as unproven authenticated-policy boundary, not a security PASS. Evidence GROUP-LIFECYCLE-001-block24-account-contacts-20260927.json. HTTP21/48 (43.75%), Lifecycle21/29 (1–13,17–24);25 next. Local NOT RUN. | Correction:24 closure superseded by reopened forged-resource-actor repair; user requested Java verification without E2E. | 2026-09-27 block24 authorization correction and closure: user explicitly required direct forged-actor assignment rejection, then requested Java verification and excluded E2E. Reopened premature closure; removed optional-auth/demo bypass from resource-assignment submit/manage checks, using authenticated caller and existing policies. Added demo forged-subject/no-write, anonymous and valid-admin regressions; updated obsolete anonymous dev acceptance. Existing main watcher compile/restart PASS20:33:41 local. 19 focused JUnit authorization/resource-service tests PASS (zero skips/failures), reusing existing main outputs and cached test dependencies; no second main build/Gradle/server and no post-fix browser/E2E replay. Valid accepted member/admin and parent Event/generated-group assignment remain allowed; missing membership/forged actor rejected before writes.24 now closed on prior HTTP lifecycle plus this user-approved Java-only repair verification. HTTP21/48, Lifecycle21/29;25 next.24 fixtures and temporary25 notification snapshot were exactly restored. | 2026-09-27 block25 partial PASS: EN320/360/1100 and HU320 notification layout verified; remaining account notification/live-counter branch not yet executed. UI-issued Base and Photo Walks API keys used while Seattle Friends selected: Base asset and Photo Walks event created under their issuing profiles; Group JSON/multipart asset requests returned403 both from Seattle Friends and after Base selection, without created assets/external-ID mappings. Authentication filter rejects before image-controller ingestion; separate object-store inventory was not captured. Real UI Leave group caused Group key403; Base key Revoke caused401. Exact versioned restore-profile-api PASS, membership restored, generated resources/mappings/dependents and the newly created affiliate link removed; old keys retained. Shared menu checkmark moved before badges in all three list item variants; watcher PASS18:52:18.930Z and actual checked/unchecked rows share badge right edge336.125px at360px viewport. Evidence GROUP-LIFECYCLE-001-block25-notifications-api-20260927.json.25 remains IN PROGRESS for notification account scope/live counters and confirmation wording; HTTP21/48 and Lifecycle21/29 unchanged. | 2026-09-27 block25 HTTP PASS/CLOSED: notification layout and API-key scope evidence retained; versioned group notification inputs with actual read mutations verified All/Base/group filtering and account counter23→22→21 across Design/Seattle/Base. Original fixture counter drift recorded separately; aligned prerequisite before assertions, exactly restored afterward. Missing notification group label repaired in existing source subtitle. Real contact request/cancel/approve drove pending1→0 and account approval notification visible from Seattle; own snapshot restored. Independent two-group ticket inputs returned2 in Base/A/B; real Seattle Leave event canceled then confirmed, ticketD/member suppressed and both account ticket counters1, one Design ticket in all profiles. User-requested ticket group label added to existing metadata line; watcher/mobile PASS. Confirmation source audit99 objects/82 EN-HU keys plus bounded runtime/cancellation/320px HU check recorded separately; not every dialog executed, no extra unit runner. Exact temporary fixture/dependent cleanup PASS. Evidence block25-notifications-api-20260927.json and block25-confirmation-audit-20260927.json. HTTP22/48 (45.83%), Lifecycle22/29 (1–13,17–25);26 active. Local NOT RUN. | 2026-09-27 21:37: Block26.1–4 own HTTP execution: grants and revocations preserve provenance; Admin-first owner handover, ordinary-member fallback, sole-Admin step-down verified. Trash Restore returns former creator as Member; normal invitation return, last-member deletion and remaining notification/UI checks continue. Same-actor takeover retry200 is idempotent, competing403; pending fallback403/outsider404. See block26-admin-authority-20260927.json. Block26 remains IN PROGRESS. | 2026-09-27 22:00: Block26 HTTP PASS/CLOSED. Own grants/revocations, Admin-first and ordinary-member fallback, sole-admin step-down, normal invite and Trash return, final-member deletion and user-corrected recovery verified. Corrected rule: Deleted card remains in Trash; any voluntarily departed Admin can restore group/responsibility, ordinary member has no Restore and direct restore/join404 until admin recovery; then Member Restore succeeds. Earlier departed Admin cancel/confirm and idempotent retry proven. Exact notification read/avatar173→172/group2→1 survives reload. Shared Deleted badge bottom-right and common X16px centered. Local25+store2+popup6+converter12 focused tests PASS (45 distinct), full Local browser NOT RUN; Java mapper spec added/not run separately. Existing dev watchers compiled, exact fixture cleanup PASS. HTTP23/48 (47.92%), Lifecycle23/29 (1–13,17–26);27 next. See block26-admin-authority-20260927.json. | 2026-09-27: Blocks27–28 HTTP PASS/CLOSED. Three-role roster, responsive editor EN/HU, requested mobile single-column fix, normal/Admin/Operator header smoke. List summary/detail/nested-rule request boundaries verified. Existing watcher build; exact temporary fixture cleanup. Evidence block27-presentation-20260927.json and block28-requests-20260927.json. HTTP25/48, Lifecycle25/29;29 next;14–16 retained partial; Local NOT RUN. | 2026-09-27: Block29 HTTP PASS/CLOSED. Live Activities/Event Explore seven exact distance boundaries; Group save third→first, duplicate409/version2, sync200, scroll51 retained. Shared SmartList sticky-date refresh fixed and own fresh restage retest passed. Existing watcher build, exact14-event/Admin fixture cleanup. HTTP26/48; Lifecycle26/29;14–16 partial retained. Evidence block29-distance-ordering-20260927.json. | 2026-09-27 final closure: user accepted round badges with compact chevron. Remaining branches14–16 physically separated into independent deployment blocks4–6; source scopes CLOSED, not pending dependencies. Retained successful editor/landing/help evidence closes source; no new external/device PASS. HTTP29/29 current scope, Group29/48; Local full run NOT RUN. Next Group Isolation NOT STARTED. See GROUP-LIFECYCLE-001-scope-closure-20260927.json.</t>
  </si>
  <si>
    <t>GROUP-ISOLATION-001</t>
  </si>
  <si>
    <t>Workspace privacy and domain samples</t>
  </si>
  <si>
    <t>Nine independent blocks: Event lifecycle/private requests; home ratings/filters/Feed/Following; late replies/notification targets; moderation switch; revocation; support history; invitation authority/pending replies; contact reads versus Event unread. Shared Social menu toggle/count included in block3.</t>
  </si>
  <si>
    <t>DELTA only the owning workspace; no cross-workspace private detail/write, relationship, card exclusion or counter leak. Group-admin moderation is scoped to its group.</t>
  </si>
  <si>
    <t>CLOSED / PASS — HTTP scope</t>
  </si>
  <si>
    <t>9/9 HTTP isolation blocks PASS; exact fixture/session restore complete.</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</si>
  <si>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2026-09-28:10 targeted policy JUnit tests PASS; existing watcher-built main classes reused. | Block3:10 workspace filter JUnit tests PASS; watcher main classes reused. | Block8:7 unique ChatService authority tests PASS; App/Group support and foreign-account conversation no-write checks. Existing watcher compilation PASS.</t>
  </si>
  <si>
    <t>Closed. Next: checklist directories aligned to QA domain, then INTEGRATION-API-GROUP-001 prerequisite development before testing.</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</si>
  <si>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 | 2026-09-27: queued next after user-requested Group Lifecycle closure. User explicitly prohibited starting now; no fixture/browser/test action performed. | 2026-09-28: explicit full-flow automation authorized. Exact duplicate assertions removed after evidence audit; 9 unique blocks remain, no inherited PASS. Own namespace baseline verified and two managed sessions launched. Execution: guides/qa/evidence/GROUP-ISOLATION-001-20260928.md. | 2026-09-28 block1 HTTP PASS: UI create/invite/publish/accept/message; A event h1790547269571, two accepted members and two chat copies. Base/B lists and domain counters empty; A reopen intact. Own after-block1 checkpoint captured. Evidence GROUP-ISOLATION-001-block1-20260928.json. | Block2 HTTP PASS after private member/demo lifecycle authority repairs.32 negative requests403/404; forged profile/group/header rejected; Event/member/chat/notification/counter oracle unchanged. A reads and Unpublish→Publish200; exact own snapshot restored. Evidence GROUP-ISOLATION-001-block2-20260928.json. | Block3 HTTP PASS: own canonical-ID fixture replay, scoped Home writes/filter clear/profile edit, shared Social toggle, distinct Feed receipts and A Following; Base/B unchanged. Shared profile-view routing repaired, actual profiles render. Evidence GROUP-ISOLATION-001-block3-20260928.json. after-block3 captured. | Block4 HTTP PASS: real A poll canceled on UI close/switch, B retained, A reopen intact; same-name notification selected exact A target from B. Domain snapshot unchanged. Evidence GROUP-ISOLATION-001-block4-20260928.json. | Block5 HTTP PASS: real A moderation preview held then released after UI B switch; B queue2/settings retained, A reopen queue1. Mongo state/items/groups/posts unchanged. Evidence GROUP-ISOLATION-001-block5-20260928.json. | Block6 HTTP PASS: real admin removal, ordinary refresh to Base, private requests denied; Base/B controls preserved except legitimate removal notification. Exact before-block6 restored. Evidence GROUP-ISOLATION-001-block6-20260928.json. | Block7 HTTP PASS: support history45, real members,24 denials, late A messages response released in B; chats6/messages48 unchanged. Evidence GROUP-ISOLATION-001-block7-20260928.json. | Blocks8–9 HTTP PASS 2026-09-28: approved-only picker, actual request/approval/invitation, delayed picker across workspace/account, pending-write modal guard and canonical5members; account contact read receipts in Base/A, A/B Event chats/messages/unread counters unchanged, scoped Event-share lists. Obsolete switch-behind-pending-modal attempt was not executable UI and is not counted as cross-scope mutation proof; checklist aligned with existing blocking-save contract. Exact fixture + pre-launch sessions restored; managed windows closed. Full Local NOT RUN. Evidence: GROUP-ISOLATION-001-block8-progress-20260928.json; GROUP-ISOLATION-001-block9-20260928.json; GROUP-ISOLATION-001-cleanup-20260928.json.</t>
  </si>
  <si>
    <t>MSC115-INVITE</t>
  </si>
  <si>
    <t>Shared links, workspace registration and promotion</t>
  </si>
  <si>
    <t>1. Create a Work private-group invite and a Community private-group invite using the existing invite action. Open each link in a clean prepared session. | 2. Check the relevant landing mode, then register/claim. Verify membership in the invited workspace and its base group, with the correct active profile. | 3. Switch to a Dating group from a Community account: its Dating behavior remains independent. Check joining an available base group is explicit and does not require approval. Promotional cards remain a later refinement.</t>
  </si>
  <si>
    <t>Actors: Group manager; signed-out invitee. Follow guides/qa/checklists/MSC-115_WORK_COMMUNITY_PAIR_QA.md and the numbered scenario.</t>
  </si>
  <si>
    <t>MSC115-WORK-CAMPAIGN</t>
  </si>
  <si>
    <t>Campaign authoring and discovery</t>
  </si>
  <si>
    <t>1. Open Campaigns next to Groups; create a draft through + with opportunity type, category, capacity, location, relevant filters and optional image. | 2. Save, reopen, publish, edit, unpublish, trash and restore using existing FormFlow/SmartList patterns. Observe write results without a full unrelated list reload. | 3. Check Work Home InfoCard text/images and three-dot read-only Campaign/author views while the rating bar is visible. Discovery follows opportunity/category and geographic criteria; private drafts stay private. Check the shared Dating-style frame, loading, paging and full-height empty state.</t>
  </si>
  <si>
    <t>Actors: Work member as organizer; another Work member as participant. Follow guides/qa/checklists/MSC-115_WORK_COMMUNITY_PAIR_QA.md and the numbered scenario.</t>
  </si>
  <si>
    <t>MSC115-WORK-RATING</t>
  </si>
  <si>
    <t>Person ratings with optional Campaign context</t>
  </si>
  <si>
    <t>1. Rate two campaigns of the same author. Inspect the Ratings list: it displays people, with aggregate person rating when no Campaign filter is selected. | 2. Before the time control, open the Campaign basket popup. Select one item with +, which changes to a checkmark; inspect/remove the item in the header basket and confirm with the header checkmark. Selecting another replaces the single selection; closing cancels; confirming an empty basket returns to the aggregate view. The second header line names the selected Campaign; list paging and counters use that scope. | 3. Revise one rating. Check the corresponding write and aggregate query, including the opposite participant view. An unchanged retry must not create another notification. | 4. Use an unfiltered event for aggregate sympathy selection and a Campaign-selected event for campaign-specific selection; do not create horizontal channels or fake campaign events.</t>
  </si>
  <si>
    <t>Owned Campaign menu → Ratings; no chooser in Activities; subtitle order; 8+9=8.5 write-side AVG and scoped scores; event priorities; per-card granular snapshot; history eye and paging.</t>
  </si>
  <si>
    <t>MSC115-SERVICE</t>
  </si>
  <si>
    <t>Community service sheet and priority discovery</t>
  </si>
  <si>
    <t>1. In base Community open the service InfoCard Home. Its header has category and Ratings controls; neither Your services nor the provisional Filters/distance popup is present. Check category selection, location-based ordering, and the two three-dot actions opening the full read-only service sheet and provider profile, including while the rating bar is visible. Empty results retain the Dating-style full-height frame/message; loading and paging use the same shared SmartList behavior. | 2. Open Your services from the sidebar Community block, not Cases or Home. Create/edit/publish/draft/trash/restore a sheet; category is on its form, without a separate category selector in the owned list. Check contextual cards/menus, a single sticky date header, + on the second row below Close, and labeled desktop List/Week/Month views. Week/Month show provider appointments. Configure staff, availability and existing pricing/slot inputs. | 3. Rate the provider through a service. Multiple services from that provider use the existing person priority. Publishing a sheet alone sends no unsolicited notification. | 4. Confirm a draft, deleted/inactive provider or another person’s private image is not exposed through discovery.</t>
  </si>
  <si>
    <t>Actors: Anna as provider; Alex as customer; another eligible staff member. Follow guides/qa/checklists/MSC-115_WORK_COMMUNITY_PAIR_QA.md and the numbered scenario.</t>
  </si>
  <si>
    <t>MSC115-CASE</t>
  </si>
  <si>
    <t>Shared Cases lifecycle and member access</t>
  </si>
  <si>
    <t>1. Create a case from Cases +, select the private community and a case type, then All or selected affected members with the existing basket picker. | 2. Check daily descending InfoCard groups with one sticky header, type-based card/menu colors, bottom-right contextual status badge, and the black affected-count button containing the number and chevron only. Click it to open the existing read-only member popup. Inspect status/type red unread counters across all pages, the aggregate base-group Cases badge and convenient private-group entry. | 3. Open the same case as another affected member and as a manager of multiple communities. Unrelated members cannot read it. | 4. Check lifecycle-appropriate three-dot actions: Start only while open; complete/cancel while active; reopen after completion/cancellation/deletion; no duplicate delete on deleted cases. Edit/close/reopen using these supported actions. Check targeted list/counter updates and notifications to affected others; the human actor receives none.</t>
  </si>
  <si>
    <t>Actors: Alex; Maya; external provider Anna. Follow guides/qa/checklists/MSC-115_WORK_COMMUNITY_PAIR_QA.md and the numbered scenario.</t>
  </si>
  <si>
    <t>MSC115-CASE-PROVIDER</t>
  </si>
  <si>
    <t>Recommendations, provider invitations and quotations</t>
  </si>
  <si>
    <t>1. As a member recommend a published service/provider. In the provider picker, + toggles to a checkmark; choosing another replaces the selection. Inspect/remove through the header basket; confirm applies and closing cancels. As manager inspect the recommendation and invite the chosen provider/staff member. | 2. As provider see the shared case in aggregate Community Cases, accept/decline and submit a quotation. As manager accept/reject the quotation. | 3. Check invitation/response/offer/decision notifications and their correct case destination. Repeating a provider invitation must preserve an accepted assignment. | 4. An external provider must not gain private-group navigation or announcement access. A declined invitation retains permitted case history but removes live case-chat access.</t>
  </si>
  <si>
    <t>Actors: Community member; manager; external provider. Follow guides/qa/checklists/MSC-115_WORK_COMMUNITY_PAIR_QA.md and the numbered scenario.</t>
  </si>
  <si>
    <t>MSC115-SCHEDULE</t>
  </si>
  <si>
    <t>Scheduled task and 45-day case reminder</t>
  </si>
  <si>
    <t>1. From the Cases header open Scheduled tasks and create a due date with All/selected members. Check the affected count in its SingleRow. | 2. At just before due minus 45 days, the scoped job creates nothing. At the boundary it creates one shared case and reminds all affected users, including an affected task creator. | 3. Rerun the same occurrence and simulate a delivery retry through the prepared test mechanism: no second case/reminder. Recurrence advances only after enqueueing. | 4. Check month/year recurrence and short-month dates. Edit/disable the task as permitted; Asset editor has no utility scheduling fields.</t>
  </si>
  <si>
    <t>Actors: Manager; affected residents; selected provider when applicable. Follow guides/qa/checklists/MSC-115_WORK_COMMUNITY_PAIR_QA.md and the numbered scenario.</t>
  </si>
  <si>
    <t>MSC115-APPOINTMENT</t>
  </si>
  <si>
    <t>Shared case appointments with existing slot picker</t>
  </si>
  <si>
    <t>1. Invite and accept the case provider/service, then open the actual existing slot picker from the case. Check day/week/month availability, templates and date overrides. | 2. Book a slot. Try an overlapping slot for that worker from another case/customer: conflict is rejected. Another worker’s capacity remains independent. | 3. Cancel a future appointment and verify availability is restored; retry save/cancel without duplicate rows or notifications. | 4. Inspect the provider’s aggregate calendar, customer and case labels, pricing snapshot and case link. Changing/unpublishing a service preserves prior bookings/audit; no fake asset/event or card charge is created.</t>
  </si>
  <si>
    <t>Actors: Accepted case provider; two customers; second staff member. Follow guides/qa/checklists/MSC-115_WORK_COMMUNITY_PAIR_QA.md and the numbered scenario.</t>
  </si>
  <si>
    <t>MSC115-VOTING</t>
  </si>
  <si>
    <t>Apartment-weighted final voting and results</t>
  </si>
  <si>
    <t>1. Configure apartment voting rights with one accepted assigned voter and positive weight. No Asset editor change or registration block is introduced. | 2. Publish a vote and cast each authorized ballot. Verify the first-publication rights snapshot, one final ballot per unit and denial of a replacement vote. | 3. Inspect member/admin results: correct weighted totals/counts without revealing others’ individual ballots. Unassigned residents cannot cast a unit ballot. | 4. Extend the deadline to reopen the published vote while retaining prior ballots. At expiry the Community-only job closes once and notifies participants; a cast vote notifies managers except its actor.</t>
  </si>
  <si>
    <t>Actors: Admin; two assigned voters; unassigned resident. Follow guides/qa/checklists/MSC-115_WORK_COMMUNITY_PAIR_QA.md and the numbered scenario.</t>
  </si>
  <si>
    <t>SERVICE-FEEDBACK-UI-001</t>
  </si>
  <si>
    <t>Service feedback UI</t>
  </si>
  <si>
    <t>MSC-116 service image and event FormFlow switch/radio choices; no text input; shared badge; EN/HU guide extension</t>
  </si>
  <si>
    <t>NOT RUN — extension pending</t>
  </si>
  <si>
    <t>Focused regression source prepared; execution deferred by user.</t>
  </si>
  <si>
    <t>Run checklists/general/SERVICE-FEEDBACK-UI-001.md with approved feedback fixture in HTTP/local modes.</t>
  </si>
  <si>
    <t>MSC-116. Watcher compilation and schema generation are not behavioral QA. Existing guide/API PASS does not cover this extension.</t>
  </si>
  <si>
    <t>P1 80</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</si>
  <si>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</si>
  <si>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</si>
  <si>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</si>
  <si>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</si>
  <si>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</si>
  <si>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</si>
  <si>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</si>
  <si>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</si>
  <si>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</si>
  <si>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</si>
  <si>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</si>
  <si>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</si>
  <si>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</si>
  <si>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</si>
  <si>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</si>
  <si>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</si>
  <si>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</si>
  <si>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</si>
  <si>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</si>
  <si>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</si>
  <si>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</si>
  <si>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</si>
  <si>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</si>
  <si>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</si>
  <si>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MSC115-ANNOUNCEMENT</t>
  </si>
  <si>
    <t>Private Community Home and document editing</t>
  </si>
  <si>
    <t>1. Open private Community Home: newest-first SingleRow announcements grouped by day replace the rating stack, with a single sticky date header. Voting replaces Ratings in the sidebar Activities block; Your services remains in the Community block. | 2. As admin create a minimal draft with text and optional PDF/text/office attachments, then publish/edit/unpublish/trash/restore through three-dot actions and buckets. | 3. Check member visibility and color/action distinction for voting vs ordinary announcements. Members cannot publish directly; Feedback opens the existing group-admin chat. | 4. Test attachment download as a current member and denied outsider/former member. Unpublished documents remain admin/owner-only; normal feedback opening sends no notification.</t>
  </si>
  <si>
    <t>Actors: Private Community admin; accepted resident; outsider. Follow guides/qa/checklists/MSC-115_WORK_COMMUNITY_PAIR_QA.md and the numbered scenario.</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</si>
  <si>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</si>
  <si>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</si>
  <si>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</si>
  <si>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</si>
  <si>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</si>
  <si>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</si>
  <si>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</si>
  <si>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</si>
  <si>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</si>
  <si>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</si>
  <si>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</si>
  <si>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</si>
  <si>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</si>
  <si>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</si>
  <si>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</si>
  <si>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</si>
  <si>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</si>
  <si>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</si>
  <si>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</si>
  <si>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</si>
  <si>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</si>
  <si>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</si>
  <si>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</si>
  <si>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</si>
  <si>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</si>
  <si>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</si>
  <si>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</si>
  <si>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</si>
  <si>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</si>
  <si>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</si>
  <si>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</si>
  <si>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</si>
  <si>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</si>
  <si>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</si>
  <si>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</si>
  <si>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</si>
  <si>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</si>
  <si>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</si>
  <si>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</si>
  <si>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</si>
  <si>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</si>
  <si>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</si>
  <si>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</si>
  <si>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</si>
  <si>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</si>
  <si>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</si>
  <si>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</si>
  <si>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</si>
  <si>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</si>
  <si>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</si>
  <si>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</si>
  <si>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</si>
  <si>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</si>
  <si>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</si>
  <si>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</si>
  <si>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</si>
  <si>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</si>
  <si>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</si>
  <si>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</si>
  <si>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</si>
  <si>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</si>
  <si>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</si>
  <si>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</si>
  <si>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</si>
  <si>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</si>
  <si>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</si>
  <si>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</si>
  <si>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</si>
  <si>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</si>
  <si>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</si>
  <si>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</si>
  <si>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</si>
  <si>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</si>
  <si>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</si>
  <si>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</si>
  <si>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</si>
  <si>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</si>
  <si>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</si>
  <si>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</si>
  <si>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</si>
  <si>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</si>
  <si>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</si>
  <si>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</si>
  <si>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</si>
  <si>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</si>
  <si>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</si>
  <si>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</si>
  <si>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</si>
  <si>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</si>
  <si>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</si>
  <si>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</si>
  <si>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</si>
  <si>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</si>
  <si>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</si>
  <si>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</si>
  <si>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</si>
  <si>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</si>
  <si>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</si>
  <si>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</si>
  <si>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</si>
  <si>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</si>
  <si>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</si>
  <si>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</si>
  <si>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</si>
  <si>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</si>
  <si>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</si>
  <si>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</si>
  <si>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</si>
  <si>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MSC115-ADMIN</t>
  </si>
  <si>
    <t>App-admin scope and aggregate badges</t>
  </si>
  <si>
    <t>1. Switch Dating → Work → Community above the avatar. The menu structure stays consistent and all opened surfaces use the selected base group. | 2. Compare the selector red count with the existing menu counters; inspect moderation, reports, feedback, chat, content/articles, parameters, stats, metrics and graph in each scope. | 3. Change a scoped content item or parameter and return to another base group: its data is unchanged. A report retains the actor/action/event and optional group context without granting private-workspace membership. | 4. Open payment test tools from each scope and inspect their existing authorization link/context. Operator remains deployment-wide.</t>
  </si>
  <si>
    <t>Actors: Ava; a second admin profile if needed. Follow guides/qa/checklists/MSC-115_WORK_COMMUNITY_PAIR_QA.md and the numbered scenario. | Main-group landing label/icon/color after login; Groups base cards once at the entire filtered list start before pagination, never repeated per mobile page; private identity and counters retained.</t>
  </si>
  <si>
    <t>MSC115-JOBS</t>
  </si>
  <si>
    <t>Per-base-group job ownership and execution</t>
  </si>
  <si>
    <t>1. Open Jobs in every base group. Confirm independent seeded definitions, enabled state, timing and run history. | 2. Run an available scoped job and inspect only that scope’s results, progress, counters and history. Do not enable absent/inapplicable random-room jobs in Work or Community. | 3. Inspect Community scheduled-case and vote-close jobs. Confirm shared notification/exchange/processing definitions have separate group items and that an unseeded job does not execute for that group.</t>
  </si>
  <si>
    <t>Actors: Ava. Follow guides/qa/checklists/MSC-115_WORK_COMMUNITY_PAIR_QA.md and the numbered scenario.</t>
  </si>
  <si>
    <t>EXPLANATION-GUIDE-001</t>
  </si>
  <si>
    <t>Application explanation guides</t>
  </si>
  <si>
    <t>Dynamic compact tours: 110 contexts / 1331 conditional fields; EN/HU; desktop/mobile; WebRTC call/volume; one-step first-visit guide-button introduction; shared launcher overlap checks; one-step consent Accept guide</t>
  </si>
  <si>
    <t>Available target counts; popup/menu/scroll; granular editors; slider and Save; floating guide; public landing; repeated pair targets</t>
  </si>
  <si>
    <t>REOPENED — MSC-119 complete wiring extension</t>
  </si>
  <si>
    <t>2026-10-07: EN/HU catalog/i18n and guide-field seed parity; revision/section parity for chats, event.chat, chat.call, chat.call.volume and landing.guide across Dating/Work/Community and all three Mongo seeds. Existing watcher AOT call/guide context and intro lifecycle checks PASS. Public intro HTTP EN/HU x 3 modes PASS; private call context denial 404 PASS. Browser tour NOT RUN. Follow-up: watcher AOT launcher geometry (1500 cases, 400 Rates rechecks) and versioned introduction lifecycle/text parity PASS. See guides/qa/evidence/general/EXPLANATION-GUIDE-001-20261007.md. Consent follow-up: watcher AOT directive/service/Accept target PASS; 200 target checks reuse one index scan. Live public consent HTTP EN/HU x 3 modes PASS; private-context 404 preserved. | 2026-10-07 isolated CDP regression PASS (EN desktop / 390x844 mobile): dismissed consent stays closed on group switch; correct images on first selection; Login reopens consent; one stable consent Help step with translated label; duplicate Privacy summary removed. SW 20/20 PASS; EN/HU live seed/translation parity PASS. | Mobile header follow-up: 24 isolated CDP cases PASS (EN/HU x 320/360/390/1236px x 3 groups): full label/caret, one-line Login/Belépés, no header overlap. Translation .7 live/source/seed parity PASS. | 2026-10-07 shared missing-guide feedback: watcher-AOT DOM regression PASS for persistent centered EN/HU message, cold/cached/empty cases, X/Escape/Back/launcher/shade dismissal, Next/Back/Done and 200 viewport notifications with zero rescans.</t>
  </si>
  <si>
    <t>Run the MSC-119 section plus retained unexecuted WebRTC/introduction/consent sections: all affected Work/Community/API/MCP and shared terms guides, EN/HU desktop/mobile local/HTTP, empty/populated and read-only/edit states; header title/X alignment; parent restoration; no business writes during guide-only navigation.</t>
  </si>
  <si>
    <t>45 contexts / 963 fields. Existing recorded scope retained. Added landing: 64 steps per viewport; feedback: 39 per viewport; Rates arrow-only, shared double-panel highlights and editable badge passed at mobile/desktop. EN/HU local/demo/e2e/prod seed parity. Landing visit visibility, internal default ON/preserved OFF, fresh-browser consent and shared guide/notification clearance above rating actions/profile eyes passed mobile/desktop. Mobile-only launcher clearance; unchanged desktop positioning; pair divider hover/tap/drag and fixed photo scale at 0/50/100% passed Home/Rates browser and Android Rates over ADB. Mobile pair image fit unified to contain on Home/Activity Rates; both targeted browser checks passed, desktop preserved. Guide screenshots removed from Git. No final form submission. Full local persistence and native WebView not claimed. guides/qa/evidence/general/EXPLANATION-GUIDE-001-20260930.md Final Android Home rail stability, mobile/desktop guide card continuity and filter badge save/reload/restore passed. No screenshots committed. Earlier Android fullscreen/drag lag was confirmed; the subsequent retained-panel and image-scroll fixes below were accepted and close that follow-up. No universal performance PASS is claimed. Follow-up: one retained list row rebuilt instead of six; one DTO snapshot per card; hidden controls excluded from launcher measurement. Native menu/guide visibility and raised list badge clearance passed. Small warm RAF-proxy medians: fullscreen 293 to 254ms, list 161 to 108ms; these preliminary measurements are superseded by the final user-accepted retained-panel result below. Final user-accepted retained-panel change: one shared loaded collection; persistent list/fullscreen DOM; z-order-only presentation; inactive new-image gating; no warm card rebuilds or switch scroll shift; saved-score paging identity preserved. Warm fullscreen median207.9→127.7ms; list103→128.1ms (dev two-RAF proxy, no universal performance claim). Rates list-scroll launchers fixed: native100-frame check0/0px movement versus48/56px before. Follow-up: panel-bottom launcher anchor56px list/96px fullscreen; native scroll0/0px. Whole-card scroll preview/adaptive prefetch withdrawn. Image-only handling preserves visible photos; only offscreen/passed photos suspend, returning once from cache. Fast-scroll requests/spinners0; sampled visible-image flickers0; focused tests15/15. See phone-image-scroll.json. Mobile photo badges/eye/image indicators follow per-image suspension; individual/pair native swipe90frames each passed; user accepted. Release1.3.2: both guide branches consolidated/master merged; GHCR frontend/backend images; Netcup migration010 retained-data check;8 healthy containers; publicHTTP13/13 and landing guide10/10 plus private-context denial passed. See RELEASE_1.3.2_20260930.json. Launcher follow-up: desktop icons remain with menus; guide above shade; bell layering unchanged; mobile menus hide both icons without hiding tour;1280/390px regression passed and user accepted.; Accepted launcher follow-up republished1.3.2: nginx-only Netcup update,13/13 HTTP PASS,8 healthy containers,7 unchanged. Final ledger closure 2026-09-30: PASS / CLOSED for the accepted guide scope and follow-ups; no remaining guide oracle. Local PARTIAL records the untested persistence boundary, not an open guide defect. 2026-10-01 scoped granular-rating addendum: Home/Activity list/fullscreen CDP at1280/390; no-backdrop popup, equal-width bar, mobile menu launcher hiding, integer details, profile-count-derived main step, exact6.75 save/reload and affinity precision, EN/HU guide/i18n parity. Existing PASS/CLOSED retained; see granular-rating-checks.json and rating-step-checks.json in the linked evidence. | 2026-10-06: user explicitly reopens for expanded scope. September PASS remains historical evidence, not current completion. | 2026-10-07: Added 17 call + 7 volume catalog fields, phone steps in chats/event.chat and the one-step landing.guide intro; workspace-specific EN/HU content seeded. Existing shared guide engine/launcher reused. Watcher frontend build and backend hot-deploy PASS; check-chat-call-runtime.mjs PASS including nested guide/context/language/destruction checks. Compiled Guide first-visit/dismissal/known-visitor/transition checks PASS; consent and saved guide preference unchanged. Public intro HTTP 6/6 plus private-context denial PASS. Targeted audit-seeds.py --context chats --context event.chat --context chat.call --context chat.call.volume --context landing.guide PASS; i18n audit and sync-work-seeds.js --check PASS. Full revision audit is not a PASS: pre-existing home.game rating-details and payment.history counterparty steps are absent from global HTTP revisions; left outside this change. At that earlier checkpoint, launcher component and placeCard positioning were identical to HEAD after the positioning edits were withdrawn. No browser actions, fixture staging or full guide click-through performed. September evidence remains historical; new manual status NOT RUN. | 2026-10-07 authorized follow-up: launcher-to-launcher clearance repaired using registered references; Rates stable panel anchors and Help card placement preserved. Bounded geometry/lifecycle checks PASS; single-step HU163/EN166 introduction explains drag, red-X hide and Side menu Explanations OFF/ON. QA CSV line endings normalized. Evidence: guides/qa/evidence/general/EXPLANATION-GUIDE-001-20261007.md. Manual browser status remains NOT RUN. | 2026-10-07 consent follow-up: landing.consent one-step Accept binding; canonical source and all Mongo seeds synchronized. Introduction now explicitly names the notification bell (HU156/EN155). i18n version 2026.10.07.5. Development checks PASS; browser manual NOT RUN. | Later user-authorized fresh anonymous browser evidence: guides/qa/evidence/general/EXPLANATION-GUIDE-001-20261007.md, landing follow-up. No full manual case replay, acceptance/registration or fixture reset; historical status preserved. | Article/no-guide follow-up: shared guide feedback now remains centered until dismissed instead of flashing closed. Per-surface checklist step 9 added. Focused JSDOM evidence only; manual campaign status unchanged. guides/qa/evidence/general/EXPLANATION-GUIDE-001-20261007.md. | 2026-10-07 operator/app-admin audit: GAP, no dedicated surface registrations/catalog fields/revisions; operator launcher excluded; Explanations toggle excluded for both privileged roles. Common avatar-menu guide is not role-surface coverage. See evidence/general/EXPLANATION-GUIDE-001-20261007.md#operator--app-admin-wiring-audit. | MSC-118: prior role wiring gap implemented; 37 system contexts / 136 fields, shared launchers and role notifications have dedicated ROLE-GUIDES-NOTIFICATIONS-001 checklist/evidence. Manual role QA NOT RUN. MSC-119 extension 2026-10-07: guides/plans/MSC-119_MCP_READ_EVENTS_ROLE_GUIDANCE.md and guides/qa/evidence/general/MSC-119_GUIDE_WIRING_20261007.md. Source/build evidence only; no functional/browser/security/load PASS claimed.</t>
  </si>
  <si>
    <t>MSC115-GUIDES</t>
  </si>
  <si>
    <t>Context guides and shared-surface continuity</t>
  </si>
  <si>
    <t>1. Open the guide at landing/Home mode switch, Campaign list/editor, service Home/list/editor/calendar, Cases/tasks/editors/appointments, private Home/Voting/rights and payment history/receipt. | 2. Check the explanation targets the visible control and describes the current group’s behavior in English and Hungarian. Lazy-opened popups get their own registered context. | 3. Switch modes while popups/requests are active. Check stale responses and selections do not populate another profile, no duplicate HTTP clients are used and badges clear according to existing read actions.</t>
  </si>
  <si>
    <t>Expanded EXPLANATION-GUIDE-001 shared execution; 28 revised contexts, all new controls and EN/HU, preserve historical PASS evidence.</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</si>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</sst>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1">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
      <patternFill patternType="solid">
        <fgColor rgb="FFD9EAD3"/>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xf numFmtId="164" fontId="0" fillId="40" borderId="0" xfId="0" applyFont="false" applyFill="true" applyBorder="false" applyAlignment="true" applyProtection="false">
      <alignment vertical="top" wrapText="1"/>
    </xf>
    <xf numFmtId="164" fontId="0" fillId="40" borderId="1" xfId="0" applyFont="false" applyFill="true" applyBorder="true" applyAlignment="true" applyProtection="false">
      <alignment vertical="top" wrapText="1"/>
    </xf>
    <xf numFmtId="164" fontId="0" fillId="40" borderId="2" xfId="0" applyFont="false" applyFill="true" applyBorder="true" applyAlignment="true" applyProtection="false">
      <alignment vertical="top" wrapText="1"/>
    </xf>
    <xf numFmtId="164" fontId="0" fillId="40" borderId="9" xfId="0" applyFont="false" applyFill="true" applyBorder="true" applyAlignment="true" applyProtection="false">
      <alignment vertical="top" wrapText="1"/>
    </xf>
    <xf numFmtId="164" fontId="0" fillId="40" borderId="4" xfId="0" applyFont="false" applyFill="true" applyBorder="true" applyAlignment="true" applyProtection="false">
      <alignment vertical="top" wrapText="1"/>
    </xf>
    <xf numFmtId="164" fontId="0" fillId="40" borderId="3" xfId="0" applyFont="false" applyFill="true" applyBorder="true" applyAlignment="true" applyProtection="false">
      <alignment vertical="top" wrapText="1"/>
    </xf>
    <xf numFmtId="164" fontId="0" fillId="40" borderId="7" xfId="0" applyFont="false" applyFill="true" applyBorder="true" applyAlignment="true" applyProtection="false">
      <alignment vertical="top" wrapText="1"/>
    </xf>
    <xf numFmtId="164" fontId="0" fillId="40" borderId="5" xfId="0" applyFont="false" applyFill="true" applyBorder="true" applyAlignment="true" applyProtection="false">
      <alignment vertical="top" wrapText="1"/>
    </xf>
    <xf numFmtId="164" fontId="0" fillId="40"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6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COUNTIF(U18:U163,"Done")&amp;" ("&amp;IF(COUNTA(A18:A163)=0,"0%",TEXT(COUNTIF(U18:U163,"Done")/COUNTA(A18:A163),"0%"))&amp;")"</f>
        <v>120 (82%)</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COUNTIF(U18:U163,"Pending")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COUNTIF(U18:U163,"Not started")</f>
        <v>26</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COUNTIF(U18:U163,"Failed")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COUNTA(A18:A163)</f>
        <v>146</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136" t="str">
        <f>COUNTIFS($C$18:$C$163,A8,$U$18:$U$163,"Done")&amp;" passed / "&amp;COUNTIF($C$18:$C$163,A8)&amp;" total ("&amp;IF(COUNTIF($C$18:$C$163,A8)=0,"0%",TEXT(COUNTIFS($C$18:$C$163,A8,$U$18:$U$163,"Done")/COUNTIF($C$18:$C$163,A8),"0%"))&amp;") · "&amp;SUMIFS($V$18:$V$163,$C$18:$C$163,A8,$U$18:$U$163,"&lt;&gt;Done")&amp;"/"&amp;SUMIFS($W$18:$W$163,$C$18:$C$163,A8,$U$18:$U$163,"&lt;&gt;Done")</f>
        <v>5 passed / 8 total (62%) · 190/385</v>
      </c>
      <c r="E8" s="159" t="s">
        <v>1</v>
      </c>
      <c r="F8" s="535" t="s">
        <v>26</v>
      </c>
      <c r="G8" s="531" t="s">
        <v>1</v>
      </c>
      <c r="H8" s="531" t="s">
        <v>27</v>
      </c>
      <c r="I8" s="451" t="str">
        <f>COUNTIFS($C$18:$C$163,F8,$U$18:$U$163,"Done")&amp;" passed / "&amp;COUNTIF($C$18:$C$163,F8)&amp;" total ("&amp;IF(COUNTIF($C$18:$C$163,F8)=0,"0%",TEXT(COUNTIFS($C$18:$C$163,F8,$U$18:$U$163,"Done")/COUNTIF($C$18:$C$163,F8),"0%"))&amp;") · "&amp;SUMIFS($V$18:$V$163,$C$18:$C$163,F8,$U$18:$U$163,"&lt;&gt;Done")&amp;"/"&amp;SUMIFS($W$18:$W$163,$C$18:$C$163,F8,$U$18:$U$163,"&lt;&gt;Done")</f>
        <v>2 passed / 12 total (17%) · 120/285</v>
      </c>
      <c r="J8" s="470"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COUNTIFS($C$18:$C$163,A9,$U$18:$U$163,"Done")&amp;" passed / "&amp;COUNTIF($C$18:$C$163,A9)&amp;" total ("&amp;IF(COUNTIF($C$18:$C$163,A9)=0,"0%",TEXT(COUNTIFS($C$18:$C$163,A9,$U$18:$U$163,"Done")/COUNTIF($C$18:$C$163,A9),"0%"))&amp;") · "&amp;SUMIFS($V$18:$V$163,$C$18:$C$163,A9,$U$18:$U$163,"&lt;&gt;Done")&amp;"/"&amp;SUMIFS($W$18:$W$163,$C$18:$C$163,A9,$U$18:$U$163,"&lt;&gt;Done")</f>
        <v>2 passed / 2 total (100%) · 0/0</v>
      </c>
      <c r="E9" s="151" t="s">
        <v>1</v>
      </c>
      <c r="F9" s="349" t="s">
        <v>32</v>
      </c>
      <c r="G9" s="261" t="s">
        <v>1</v>
      </c>
      <c r="H9" s="261" t="s">
        <v>33</v>
      </c>
      <c r="I9" s="450" t="str">
        <f>COUNTIFS($C$18:$C$163,F9,$U$18:$U$163,"Done")&amp;" passed / "&amp;COUNTIF($C$18:$C$163,F9)&amp;" total ("&amp;IF(COUNTIF($C$18:$C$163,F9)=0,"0%",TEXT(COUNTIFS($C$18:$C$163,F9,$U$18:$U$163,"Done")/COUNTIF($C$18:$C$163,F9),"0%"))&amp;") · "&amp;SUMIFS($V$18:$V$163,$C$18:$C$163,F9,$U$18:$U$163,"&lt;&gt;Done")&amp;"/"&amp;SUMIFS($W$18:$W$163,$C$18:$C$163,F9,$U$18:$U$163,"&lt;&gt;Done")</f>
        <v>3 passed / 4 total (75%) · 10/25</v>
      </c>
      <c r="J9" s="462"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450" t="str">
        <f>COUNTIFS($C$18:$C$163,A10,$U$18:$U$163,"Done")&amp;" passed / "&amp;COUNTIF($C$18:$C$163,A10)&amp;" total ("&amp;IF(COUNTIF($C$18:$C$163,A10)=0,"0%",TEXT(COUNTIFS($C$18:$C$163,A10,$U$18:$U$163,"Done")/COUNTIF($C$18:$C$163,A10),"0%"))&amp;") · "&amp;SUMIFS($V$18:$V$163,$C$18:$C$163,A10,$U$18:$U$163,"&lt;&gt;Done")&amp;"/"&amp;SUMIFS($W$18:$W$163,$C$18:$C$163,A10,$U$18:$U$163,"&lt;&gt;Done")</f>
        <v>9 passed / 11 total (82%) · 70/145</v>
      </c>
      <c r="E10" s="462" t="s">
        <v>1</v>
      </c>
      <c r="F10" s="301" t="s">
        <v>38</v>
      </c>
      <c r="G10" s="255" t="s">
        <v>1</v>
      </c>
      <c r="H10" s="255" t="s">
        <v>39</v>
      </c>
      <c r="I10" s="135" t="str">
        <f>COUNTIFS($C$18:$C$163,F10,$U$18:$U$163,"Done")&amp;" passed / "&amp;COUNTIF($C$18:$C$163,F10)&amp;" total ("&amp;IF(COUNTIF($C$18:$C$163,F10)=0,"0%",TEXT(COUNTIFS($C$18:$C$163,F10,$U$18:$U$163,"Done")/COUNTIF($C$18:$C$163,F10),"0%"))&amp;") · "&amp;SUMIFS($V$18:$V$163,$C$18:$C$163,F10,$U$18:$U$163,"&lt;&gt;Done")&amp;"/"&amp;SUMIFS($W$18:$W$163,$C$18:$C$163,F10,$U$18:$U$163,"&lt;&gt;Done")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450" t="str">
        <f>COUNTIFS($C$18:$C$163,A11,$U$18:$U$163,"Done")&amp;" passed / "&amp;COUNTIF($C$18:$C$163,A11)&amp;" total ("&amp;IF(COUNTIF($C$18:$C$163,A11)=0,"0%",TEXT(COUNTIFS($C$18:$C$163,A11,$U$18:$U$163,"Done")/COUNTIF($C$18:$C$163,A11),"0%"))&amp;") · "&amp;SUMIFS($V$18:$V$163,$C$18:$C$163,A11,$U$18:$U$163,"&lt;&gt;Done")&amp;"/"&amp;SUMIFS($W$18:$W$163,$C$18:$C$163,A11,$U$18:$U$163,"&lt;&gt;Done")</f>
        <v>56 passed / 58 total (97%) · 20/50</v>
      </c>
      <c r="E11" s="462" t="s">
        <v>1</v>
      </c>
      <c r="F11" s="365" t="s">
        <v>44</v>
      </c>
      <c r="G11" s="263" t="s">
        <v>1</v>
      </c>
      <c r="H11" s="263" t="s">
        <v>45</v>
      </c>
      <c r="I11" s="136" t="str">
        <f>COUNTIFS($C$18:$C$163,F11,$U$18:$U$163,"Done")&amp;" passed / "&amp;COUNTIF($C$18:$C$163,F11)&amp;" total ("&amp;IF(COUNTIF($C$18:$C$163,F11)=0,"0%",TEXT(COUNTIFS($C$18:$C$163,F11,$U$18:$U$163,"Done")/COUNTIF($C$18:$C$163,F11),"0%"))&amp;") · "&amp;SUMIFS($V$18:$V$163,$C$18:$C$163,F11,$U$18:$U$163,"&lt;&gt;Done")&amp;"/"&amp;SUMIFS($W$18:$W$163,$C$18:$C$163,F11,$U$18:$U$163,"&lt;&gt;Done")</f>
        <v>4 passed / 6 total (67%) · 20/50</v>
      </c>
      <c r="J11" s="159"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450" t="str">
        <f>COUNTIFS($C$18:$C$163,A12,$U$18:$U$163,"Done")&amp;" passed / "&amp;COUNTIF($C$18:$C$163,A12)&amp;" total ("&amp;IF(COUNTIF($C$18:$C$163,A12)=0,"0%",TEXT(COUNTIFS($C$18:$C$163,A12,$U$18:$U$163,"Done")/COUNTIF($C$18:$C$163,A12),"0%"))&amp;") · "&amp;SUMIFS($V$18:$V$163,$C$18:$C$163,A12,$U$18:$U$163,"&lt;&gt;Done")&amp;"/"&amp;SUMIFS($W$18:$W$163,$C$18:$C$163,A12,$U$18:$U$163,"&lt;&gt;Done")</f>
        <v>15 passed / 16 total (94%) · 10/25</v>
      </c>
      <c r="E12" s="462" t="s">
        <v>1</v>
      </c>
      <c r="F12" s="544" t="s">
        <v>50</v>
      </c>
      <c r="G12" s="540" t="s">
        <v>1</v>
      </c>
      <c r="H12" s="540" t="s">
        <v>51</v>
      </c>
      <c r="I12" s="138" t="str">
        <f>COUNTIFS($C$18:$C$163,F12,$U$18:$U$163,"Done")&amp;" passed / "&amp;COUNTIF($C$18:$C$163,F12)&amp;" total ("&amp;IF(COUNTIF($C$18:$C$163,F12)=0,"0%",TEXT(COUNTIFS($C$18:$C$163,F12,$U$18:$U$163,"Done")/COUNTIF($C$18:$C$163,F12),"0%"))&amp;") · "&amp;SUMIFS($V$18:$V$163,$C$18:$C$163,F12,$U$18:$U$163,"&lt;&gt;Done")&amp;"/"&amp;SUMIFS($W$18:$W$163,$C$18:$C$163,F12,$U$18:$U$163,"&lt;&gt;Done")</f>
        <v>0 passed / 2 total (0%) · 70/145</v>
      </c>
      <c r="J12" s="175"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5" t="s">
        <v>53</v>
      </c>
      <c r="B13" s="258" t="s">
        <v>1</v>
      </c>
      <c r="C13" s="258" t="s">
        <v>54</v>
      </c>
      <c r="D13" s="136" t="str">
        <f>COUNTIFS($C$18:$C$163,A13,$U$18:$U$163,"Done")&amp;" passed / "&amp;COUNTIF($C$18:$C$163,A13)&amp;" total ("&amp;IF(COUNTIF($C$18:$C$163,A13)=0,"0%",TEXT(COUNTIFS($C$18:$C$163,A13,$U$18:$U$163,"Done")/COUNTIF($C$18:$C$163,A13),"0%"))&amp;") · "&amp;SUMIFS($V$18:$V$163,$C$18:$C$163,A13,$U$18:$U$163,"&lt;&gt;Done")&amp;"/"&amp;SUMIFS($W$18:$W$163,$C$18:$C$163,A13,$U$18:$U$163,"&lt;&gt;Done")</f>
        <v>6 passed / 9 total (67%) · 50/110</v>
      </c>
      <c r="E13" s="159" t="s">
        <v>1</v>
      </c>
      <c r="F13" s="247" t="s">
        <v>56</v>
      </c>
      <c r="G13" s="243" t="s">
        <v>1</v>
      </c>
      <c r="H13" s="243" t="s">
        <v>57</v>
      </c>
      <c r="I13" s="135" t="str">
        <f>COUNTIFS($C$18:$C$163,F13,$U$18:$U$163,"Done")&amp;" passed / "&amp;COUNTIF($C$18:$C$163,F13)&amp;" total ("&amp;IF(COUNTIF($C$18:$C$163,F13)=0,"0%",TEXT(COUNTIFS($C$18:$C$163,F13,$U$18:$U$163,"Done")/COUNTIF($C$18:$C$163,F13),"0%"))&amp;") · "&amp;SUMIFS($V$18:$V$163,$C$18:$C$163,F13,$U$18:$U$163,"&lt;&gt;Done")&amp;"/"&amp;SUMIFS($W$18:$W$163,$C$18:$C$163,F13,$U$18:$U$163,"&lt;&gt;Done")</f>
        <v>5 passed / 5 total (100%) · 0/0</v>
      </c>
      <c r="J13" s="151" t="s">
        <v>1</v>
      </c>
      <c r="K13" s="136" t="s">
        <v>1</v>
      </c>
      <c r="L13" s="136" t="s">
        <v>1</v>
      </c>
      <c r="M13" s="136" t="s">
        <v>1</v>
      </c>
      <c r="N13" s="136" t="s">
        <v>1</v>
      </c>
      <c r="O13" s="136" t="s">
        <v>1</v>
      </c>
      <c r="P13" s="136" t="s">
        <v>1</v>
      </c>
      <c r="Q13" s="136" t="s">
        <v>1</v>
      </c>
      <c r="R13" s="136" t="s">
        <v>1</v>
      </c>
      <c r="S13" s="136" t="s">
        <v>1</v>
      </c>
      <c r="T13" s="136" t="s">
        <v>1</v>
      </c>
    </row>
    <row r="14" customFormat="false" ht="15" hidden="false" customHeight="false" outlineLevel="0" collapsed="false">
      <c r="A14" s="335" t="s">
        <v>59</v>
      </c>
      <c r="B14" s="336" t="s">
        <v>1</v>
      </c>
      <c r="C14" s="336" t="s">
        <v>60</v>
      </c>
      <c r="D14" s="153" t="str">
        <f>COUNTIFS($C$18:$C$163,A14,$U$18:$U$163,"Done")&amp;" passed / "&amp;COUNTIF($C$18:$C$163,A14)&amp;" total ("&amp;IF(COUNTIF($C$18:$C$163,A14)=0,"0%",TEXT(COUNTIFS($C$18:$C$163,A14,$U$18:$U$163,"Done")/COUNTIF($C$18:$C$163,A14),"0%"))&amp;") · "&amp;SUMIFS($V$18:$V$163,$C$18:$C$163,A14,$U$18:$U$163,"&lt;&gt;Done")&amp;"/"&amp;SUMIFS($W$18:$W$163,$C$18:$C$163,A14,$U$18:$U$163,"&lt;&gt;Done")</f>
        <v>7 passed / 7 total (100%) · 0/0</v>
      </c>
      <c r="E14" s="154" t="s">
        <v>1</v>
      </c>
      <c r="F14" s="160" t="s">
        <v>1</v>
      </c>
      <c r="G14" s="161" t="s">
        <v>1</v>
      </c>
      <c r="H14" s="161" t="s">
        <v>1</v>
      </c>
      <c r="I14" s="241" t="s">
        <v>1</v>
      </c>
      <c r="J14" s="242" t="s">
        <v>1</v>
      </c>
      <c r="K14" s="136" t="s">
        <v>1</v>
      </c>
      <c r="L14" s="136" t="s">
        <v>1</v>
      </c>
      <c r="M14" s="136" t="s">
        <v>1</v>
      </c>
      <c r="N14" s="136" t="s">
        <v>1</v>
      </c>
      <c r="O14" s="136" t="s">
        <v>1</v>
      </c>
      <c r="P14" s="136" t="s">
        <v>1</v>
      </c>
      <c r="Q14" s="136" t="s">
        <v>1</v>
      </c>
      <c r="R14" s="136" t="s">
        <v>1</v>
      </c>
      <c r="S14" s="136" t="s">
        <v>1</v>
      </c>
      <c r="T14" s="136" t="s">
        <v>1</v>
      </c>
    </row>
    <row r="15" customFormat="false" ht="20" hidden="false" customHeight="true" outlineLevel="0" collapsed="false">
      <c r="A15" s="145" t="s">
        <v>62</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c r="T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63</v>
      </c>
      <c r="M16" s="143" t="s">
        <v>1</v>
      </c>
      <c r="N16" s="146" t="s">
        <v>1</v>
      </c>
      <c r="O16" s="146" t="s">
        <v>1</v>
      </c>
      <c r="P16" s="146" t="s">
        <v>1</v>
      </c>
      <c r="Q16" s="146" t="s">
        <v>1</v>
      </c>
      <c r="R16" s="146" t="s">
        <v>1</v>
      </c>
      <c r="S16" s="146" t="s">
        <v>1</v>
      </c>
      <c r="T16" s="146" t="s">
        <v>1</v>
      </c>
    </row>
    <row r="17" customFormat="false" ht="15" hidden="false" customHeight="false" outlineLevel="0" collapsed="false">
      <c r="A17" s="143" t="s">
        <v>64</v>
      </c>
      <c r="B17" s="143" t="s">
        <v>65</v>
      </c>
      <c r="C17" s="143" t="s">
        <v>20</v>
      </c>
      <c r="D17" s="143" t="s">
        <v>66</v>
      </c>
      <c r="E17" s="143" t="s">
        <v>67</v>
      </c>
      <c r="F17" s="143" t="s">
        <v>68</v>
      </c>
      <c r="G17" s="143" t="s">
        <v>69</v>
      </c>
      <c r="H17" s="143" t="s">
        <v>70</v>
      </c>
      <c r="I17" s="143" t="s">
        <v>71</v>
      </c>
      <c r="J17" s="143" t="s">
        <v>72</v>
      </c>
      <c r="K17" s="143" t="s">
        <v>73</v>
      </c>
      <c r="L17" s="143" t="s">
        <v>74</v>
      </c>
      <c r="M17" s="143" t="s">
        <v>75</v>
      </c>
      <c r="N17" s="143" t="s">
        <v>76</v>
      </c>
      <c r="O17" s="143" t="s">
        <v>77</v>
      </c>
      <c r="P17" s="143" t="s">
        <v>78</v>
      </c>
      <c r="Q17" s="143" t="s">
        <v>79</v>
      </c>
      <c r="R17" s="143" t="s">
        <v>80</v>
      </c>
      <c r="S17" s="143" t="s">
        <v>81</v>
      </c>
      <c r="T17" s="143" t="s">
        <v>82</v>
      </c>
    </row>
    <row r="18" customFormat="false" ht="15" hidden="false" customHeight="false" outlineLevel="0" collapsed="false">
      <c r="A18" s="135" t="s">
        <v>83</v>
      </c>
      <c r="B18" s="135" t="s">
        <v>84</v>
      </c>
      <c r="C18" s="254" t="s">
        <v>23</v>
      </c>
      <c r="D18" s="135" t="s">
        <v>85</v>
      </c>
      <c r="E18" s="135" t="s">
        <v>86</v>
      </c>
      <c r="F18" s="135" t="s">
        <v>4</v>
      </c>
      <c r="G18" s="135" t="s">
        <v>87</v>
      </c>
      <c r="H18" s="135" t="s">
        <v>4</v>
      </c>
      <c r="I18" s="135" t="s">
        <v>4</v>
      </c>
      <c r="J18" s="135" t="s">
        <v>88</v>
      </c>
      <c r="K18" s="135" t="s">
        <v>89</v>
      </c>
      <c r="L18" s="135" t="s">
        <v>90</v>
      </c>
      <c r="M18" s="135" t="s">
        <v>1</v>
      </c>
      <c r="N18" s="135" t="s">
        <v>91</v>
      </c>
      <c r="O18" s="135" t="s">
        <v>92</v>
      </c>
      <c r="P18" s="135" t="s">
        <v>93</v>
      </c>
      <c r="Q18" s="135" t="s">
        <v>90</v>
      </c>
      <c r="R18" s="135" t="s">
        <v>94</v>
      </c>
      <c r="S18" s="135" t="s">
        <v>95</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96</v>
      </c>
      <c r="B19" s="135" t="s">
        <v>84</v>
      </c>
      <c r="C19" s="254" t="s">
        <v>23</v>
      </c>
      <c r="D19" s="135" t="s">
        <v>97</v>
      </c>
      <c r="E19" s="135" t="s">
        <v>98</v>
      </c>
      <c r="F19" s="135" t="s">
        <v>4</v>
      </c>
      <c r="G19" s="135" t="s">
        <v>4</v>
      </c>
      <c r="H19" s="135" t="s">
        <v>4</v>
      </c>
      <c r="I19" s="135" t="s">
        <v>4</v>
      </c>
      <c r="J19" s="135" t="s">
        <v>99</v>
      </c>
      <c r="K19" s="135" t="s">
        <v>100</v>
      </c>
      <c r="L19" s="135" t="s">
        <v>90</v>
      </c>
      <c r="M19" s="135" t="s">
        <v>101</v>
      </c>
      <c r="N19" s="135" t="s">
        <v>91</v>
      </c>
      <c r="O19" s="135" t="s">
        <v>102</v>
      </c>
      <c r="P19" s="135" t="s">
        <v>103</v>
      </c>
      <c r="Q19" s="135" t="s">
        <v>90</v>
      </c>
      <c r="R19" s="135" t="s">
        <v>104</v>
      </c>
      <c r="S19" s="135" t="s">
        <v>95</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105</v>
      </c>
      <c r="B20" s="135" t="s">
        <v>106</v>
      </c>
      <c r="C20" s="254" t="s">
        <v>23</v>
      </c>
      <c r="D20" s="135" t="s">
        <v>107</v>
      </c>
      <c r="E20" s="135" t="s">
        <v>108</v>
      </c>
      <c r="F20" s="135" t="s">
        <v>4</v>
      </c>
      <c r="G20" s="135" t="s">
        <v>109</v>
      </c>
      <c r="H20" s="135" t="s">
        <v>4</v>
      </c>
      <c r="I20" s="135" t="s">
        <v>4</v>
      </c>
      <c r="J20" s="135" t="s">
        <v>110</v>
      </c>
      <c r="K20" s="135" t="s">
        <v>90</v>
      </c>
      <c r="L20" s="135" t="s">
        <v>90</v>
      </c>
      <c r="M20" s="135" t="s">
        <v>101</v>
      </c>
      <c r="N20" s="135" t="s">
        <v>111</v>
      </c>
      <c r="O20" s="135" t="s">
        <v>112</v>
      </c>
      <c r="P20" s="135" t="s">
        <v>113</v>
      </c>
      <c r="Q20" s="135" t="s">
        <v>90</v>
      </c>
      <c r="R20" s="135" t="s">
        <v>114</v>
      </c>
      <c r="S20" s="135" t="s">
        <v>115</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5" t="s">
        <v>116</v>
      </c>
      <c r="B21" s="135" t="s">
        <v>106</v>
      </c>
      <c r="C21" s="254" t="s">
        <v>23</v>
      </c>
      <c r="D21" s="135" t="s">
        <v>117</v>
      </c>
      <c r="E21" s="135" t="s">
        <v>118</v>
      </c>
      <c r="F21" s="135" t="s">
        <v>4</v>
      </c>
      <c r="G21" s="135" t="s">
        <v>119</v>
      </c>
      <c r="H21" s="135" t="s">
        <v>4</v>
      </c>
      <c r="I21" s="135" t="s">
        <v>4</v>
      </c>
      <c r="J21" s="135" t="s">
        <v>120</v>
      </c>
      <c r="K21" s="135" t="s">
        <v>90</v>
      </c>
      <c r="L21" s="135" t="s">
        <v>90</v>
      </c>
      <c r="M21" s="135" t="s">
        <v>90</v>
      </c>
      <c r="N21" s="135" t="s">
        <v>121</v>
      </c>
      <c r="O21" s="135" t="s">
        <v>122</v>
      </c>
      <c r="P21" s="135" t="s">
        <v>123</v>
      </c>
      <c r="Q21" s="135" t="s">
        <v>90</v>
      </c>
      <c r="R21" s="135" t="s">
        <v>124</v>
      </c>
      <c r="S21" s="135" t="s">
        <v>125</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126</v>
      </c>
      <c r="B22" s="135" t="s">
        <v>127</v>
      </c>
      <c r="C22" s="254" t="s">
        <v>23</v>
      </c>
      <c r="D22" s="135" t="s">
        <v>128</v>
      </c>
      <c r="E22" s="135" t="s">
        <v>129</v>
      </c>
      <c r="F22" s="135" t="s">
        <v>130</v>
      </c>
      <c r="G22" s="135" t="s">
        <v>131</v>
      </c>
      <c r="H22" s="135" t="s">
        <v>132</v>
      </c>
      <c r="I22" s="135" t="s">
        <v>133</v>
      </c>
      <c r="J22" s="135" t="s">
        <v>134</v>
      </c>
      <c r="K22" s="135" t="s">
        <v>135</v>
      </c>
      <c r="L22" s="135" t="s">
        <v>136</v>
      </c>
      <c r="M22" s="135" t="s">
        <v>137</v>
      </c>
      <c r="N22" s="135" t="s">
        <v>138</v>
      </c>
      <c r="O22" s="135" t="s">
        <v>139</v>
      </c>
      <c r="P22" s="135" t="s">
        <v>140</v>
      </c>
      <c r="Q22" s="135" t="s">
        <v>90</v>
      </c>
      <c r="R22" s="135" t="s">
        <v>141</v>
      </c>
      <c r="S22" s="135" t="s">
        <v>142</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8" t="s">
        <v>143</v>
      </c>
      <c r="B23" s="138" t="s">
        <v>144</v>
      </c>
      <c r="C23" s="254" t="s">
        <v>23</v>
      </c>
      <c r="D23" s="138" t="s">
        <v>145</v>
      </c>
      <c r="E23" s="138" t="s">
        <v>146</v>
      </c>
      <c r="F23" s="138" t="s">
        <v>1</v>
      </c>
      <c r="G23" s="138" t="s">
        <v>1</v>
      </c>
      <c r="H23" s="138" t="s">
        <v>1</v>
      </c>
      <c r="I23" s="138" t="s">
        <v>1</v>
      </c>
      <c r="J23" s="138" t="s">
        <v>1</v>
      </c>
      <c r="K23" s="138" t="s">
        <v>101</v>
      </c>
      <c r="L23" s="138" t="s">
        <v>101</v>
      </c>
      <c r="M23" s="138" t="s">
        <v>101</v>
      </c>
      <c r="N23" s="138" t="s">
        <v>1</v>
      </c>
      <c r="O23" s="138" t="s">
        <v>147</v>
      </c>
      <c r="P23" s="138" t="s">
        <v>148</v>
      </c>
      <c r="Q23" s="138" t="s">
        <v>101</v>
      </c>
      <c r="R23" s="138" t="s">
        <v>149</v>
      </c>
      <c r="S23" s="138" t="s">
        <v>150</v>
      </c>
      <c r="T23" s="138" t="s">
        <v>151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Not started</v>
      </c>
      <c r="V23" s="146">
        <f>IF(T23="","",VALUE(LEFT(T23,SEARCH("/",T23)-1)))</f>
        <v>10</v>
      </c>
      <c r="W23" s="146">
        <f>IF(T23="","",VALUE(MID(T23,SEARCH("/",T23)+1,LEN(T23))))</f>
        <v>25</v>
      </c>
    </row>
    <row r="24" customFormat="false" ht="15" hidden="false" customHeight="false" outlineLevel="0" collapsed="false">
      <c r="A24" s="138" t="s">
        <v>152</v>
      </c>
      <c r="B24" s="138" t="s">
        <v>153</v>
      </c>
      <c r="C24" s="254" t="s">
        <v>23</v>
      </c>
      <c r="D24" s="138" t="s">
        <v>154</v>
      </c>
      <c r="E24" s="138" t="s">
        <v>155</v>
      </c>
      <c r="F24" s="138" t="s">
        <v>4</v>
      </c>
      <c r="G24" s="138" t="s">
        <v>156</v>
      </c>
      <c r="H24" s="138" t="s">
        <v>4</v>
      </c>
      <c r="I24" s="138" t="s">
        <v>4</v>
      </c>
      <c r="J24" s="138" t="s">
        <v>157</v>
      </c>
      <c r="K24" s="138" t="s">
        <v>158</v>
      </c>
      <c r="L24" s="138" t="s">
        <v>101</v>
      </c>
      <c r="M24" s="138" t="s">
        <v>101</v>
      </c>
      <c r="N24" s="138" t="s">
        <v>1</v>
      </c>
      <c r="O24" s="138" t="s">
        <v>159</v>
      </c>
      <c r="P24" s="138" t="s">
        <v>160</v>
      </c>
      <c r="Q24" s="138" t="s">
        <v>101</v>
      </c>
      <c r="R24" s="138" t="s">
        <v>161</v>
      </c>
      <c r="S24" s="138" t="s">
        <v>95</v>
      </c>
      <c r="T24" s="138" t="s">
        <v>162</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Not started</v>
      </c>
      <c r="V24" s="146">
        <f>IF(T24="","",VALUE(LEFT(T24,SEARCH("/",T24)-1)))</f>
        <v>90</v>
      </c>
      <c r="W24" s="146">
        <f>IF(T24="","",VALUE(MID(T24,SEARCH("/",T24)+1,LEN(T24))))</f>
        <v>180</v>
      </c>
    </row>
    <row r="25" customFormat="false" ht="15" hidden="false" customHeight="false" outlineLevel="0" collapsed="false">
      <c r="A25" s="138" t="s">
        <v>163</v>
      </c>
      <c r="B25" s="138" t="s">
        <v>153</v>
      </c>
      <c r="C25" s="254" t="s">
        <v>23</v>
      </c>
      <c r="D25" s="138" t="s">
        <v>164</v>
      </c>
      <c r="E25" s="138" t="s">
        <v>165</v>
      </c>
      <c r="F25" s="138" t="s">
        <v>4</v>
      </c>
      <c r="G25" s="138" t="s">
        <v>166</v>
      </c>
      <c r="H25" s="138" t="s">
        <v>4</v>
      </c>
      <c r="I25" s="138" t="s">
        <v>167</v>
      </c>
      <c r="J25" s="138" t="s">
        <v>168</v>
      </c>
      <c r="K25" s="138" t="s">
        <v>169</v>
      </c>
      <c r="L25" s="138" t="s">
        <v>101</v>
      </c>
      <c r="M25" s="138" t="s">
        <v>170</v>
      </c>
      <c r="N25" s="138" t="s">
        <v>1</v>
      </c>
      <c r="O25" s="138" t="s">
        <v>171</v>
      </c>
      <c r="P25" s="138" t="s">
        <v>172</v>
      </c>
      <c r="Q25" s="138" t="s">
        <v>101</v>
      </c>
      <c r="R25" s="138" t="s">
        <v>173</v>
      </c>
      <c r="S25" s="138" t="s">
        <v>95</v>
      </c>
      <c r="T25" s="138" t="s">
        <v>162</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Not started</v>
      </c>
      <c r="V25" s="146">
        <f>IF(T25="","",VALUE(LEFT(T25,SEARCH("/",T25)-1)))</f>
        <v>90</v>
      </c>
      <c r="W25" s="146">
        <f>IF(T25="","",VALUE(MID(T25,SEARCH("/",T25)+1,LEN(T25))))</f>
        <v>180</v>
      </c>
    </row>
    <row r="26" customFormat="false" ht="15" hidden="false" customHeight="false" outlineLevel="0" collapsed="false">
      <c r="A26" s="135" t="s">
        <v>174</v>
      </c>
      <c r="B26" s="135" t="s">
        <v>175</v>
      </c>
      <c r="C26" s="252" t="s">
        <v>29</v>
      </c>
      <c r="D26" s="135" t="s">
        <v>176</v>
      </c>
      <c r="E26" s="135" t="s">
        <v>177</v>
      </c>
      <c r="F26" s="135" t="s">
        <v>178</v>
      </c>
      <c r="G26" s="135" t="s">
        <v>179</v>
      </c>
      <c r="H26" s="135" t="s">
        <v>180</v>
      </c>
      <c r="I26" s="135" t="s">
        <v>181</v>
      </c>
      <c r="J26" s="135" t="s">
        <v>182</v>
      </c>
      <c r="K26" s="135" t="s">
        <v>183</v>
      </c>
      <c r="L26" s="135" t="s">
        <v>1</v>
      </c>
      <c r="M26" s="135" t="s">
        <v>1</v>
      </c>
      <c r="N26" s="135" t="s">
        <v>184</v>
      </c>
      <c r="O26" s="135" t="s">
        <v>185</v>
      </c>
      <c r="P26" s="135" t="s">
        <v>186</v>
      </c>
      <c r="Q26" s="135" t="s">
        <v>90</v>
      </c>
      <c r="R26" s="135" t="s">
        <v>187</v>
      </c>
      <c r="S26" s="135" t="s">
        <v>95</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188</v>
      </c>
      <c r="B27" s="135" t="s">
        <v>189</v>
      </c>
      <c r="C27" s="252" t="s">
        <v>29</v>
      </c>
      <c r="D27" s="135" t="s">
        <v>190</v>
      </c>
      <c r="E27" s="135" t="s">
        <v>191</v>
      </c>
      <c r="F27" s="135" t="s">
        <v>4</v>
      </c>
      <c r="G27" s="135" t="s">
        <v>4</v>
      </c>
      <c r="H27" s="135" t="s">
        <v>4</v>
      </c>
      <c r="I27" s="135" t="s">
        <v>4</v>
      </c>
      <c r="J27" s="135" t="s">
        <v>192</v>
      </c>
      <c r="K27" s="135" t="s">
        <v>183</v>
      </c>
      <c r="L27" s="135" t="s">
        <v>1</v>
      </c>
      <c r="M27" s="135" t="s">
        <v>1</v>
      </c>
      <c r="N27" s="135" t="s">
        <v>184</v>
      </c>
      <c r="O27" s="135" t="s">
        <v>193</v>
      </c>
      <c r="P27" s="135" t="s">
        <v>194</v>
      </c>
      <c r="Q27" s="135" t="s">
        <v>90</v>
      </c>
      <c r="R27" s="135" t="s">
        <v>195</v>
      </c>
      <c r="S27" s="135" t="s">
        <v>196</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197</v>
      </c>
      <c r="B28" s="135" t="s">
        <v>198</v>
      </c>
      <c r="C28" s="253" t="s">
        <v>35</v>
      </c>
      <c r="D28" s="135" t="s">
        <v>199</v>
      </c>
      <c r="E28" s="135" t="s">
        <v>200</v>
      </c>
      <c r="F28" s="135" t="s">
        <v>201</v>
      </c>
      <c r="G28" s="135" t="s">
        <v>202</v>
      </c>
      <c r="H28" s="135" t="s">
        <v>203</v>
      </c>
      <c r="I28" s="135" t="s">
        <v>4</v>
      </c>
      <c r="J28" s="135" t="s">
        <v>204</v>
      </c>
      <c r="K28" s="135" t="s">
        <v>205</v>
      </c>
      <c r="L28" s="135" t="s">
        <v>1</v>
      </c>
      <c r="M28" s="135" t="s">
        <v>1</v>
      </c>
      <c r="N28" s="135" t="s">
        <v>206</v>
      </c>
      <c r="O28" s="135" t="s">
        <v>207</v>
      </c>
      <c r="P28" s="135" t="s">
        <v>208</v>
      </c>
      <c r="Q28" s="135" t="s">
        <v>90</v>
      </c>
      <c r="R28" s="135" t="s">
        <v>209</v>
      </c>
      <c r="S28" s="135" t="s">
        <v>210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211</v>
      </c>
      <c r="B29" s="135" t="s">
        <v>198</v>
      </c>
      <c r="C29" s="253" t="s">
        <v>35</v>
      </c>
      <c r="D29" s="135" t="s">
        <v>212</v>
      </c>
      <c r="E29" s="135" t="s">
        <v>213</v>
      </c>
      <c r="F29" s="135" t="s">
        <v>4</v>
      </c>
      <c r="G29" s="135" t="s">
        <v>214</v>
      </c>
      <c r="H29" s="135" t="s">
        <v>4</v>
      </c>
      <c r="I29" s="135" t="s">
        <v>4</v>
      </c>
      <c r="J29" s="135" t="s">
        <v>215</v>
      </c>
      <c r="K29" s="135" t="s">
        <v>205</v>
      </c>
      <c r="L29" s="135" t="s">
        <v>1</v>
      </c>
      <c r="M29" s="135" t="s">
        <v>1</v>
      </c>
      <c r="N29" s="135" t="s">
        <v>206</v>
      </c>
      <c r="O29" s="135" t="s">
        <v>216</v>
      </c>
      <c r="P29" s="135" t="s">
        <v>217</v>
      </c>
      <c r="Q29" s="135" t="s">
        <v>90</v>
      </c>
      <c r="R29" s="135" t="s">
        <v>218</v>
      </c>
      <c r="S29" s="135" t="s">
        <v>95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219</v>
      </c>
      <c r="B30" s="135" t="s">
        <v>198</v>
      </c>
      <c r="C30" s="253" t="s">
        <v>35</v>
      </c>
      <c r="D30" s="135" t="s">
        <v>212</v>
      </c>
      <c r="E30" s="135" t="s">
        <v>220</v>
      </c>
      <c r="F30" s="135" t="s">
        <v>4</v>
      </c>
      <c r="G30" s="135" t="s">
        <v>221</v>
      </c>
      <c r="H30" s="135" t="s">
        <v>4</v>
      </c>
      <c r="I30" s="135" t="s">
        <v>4</v>
      </c>
      <c r="J30" s="135" t="s">
        <v>222</v>
      </c>
      <c r="K30" s="135" t="s">
        <v>205</v>
      </c>
      <c r="L30" s="135" t="s">
        <v>1</v>
      </c>
      <c r="M30" s="135" t="s">
        <v>1</v>
      </c>
      <c r="N30" s="135" t="s">
        <v>206</v>
      </c>
      <c r="O30" s="135" t="s">
        <v>223</v>
      </c>
      <c r="P30" s="135" t="s">
        <v>224</v>
      </c>
      <c r="Q30" s="135" t="s">
        <v>90</v>
      </c>
      <c r="R30" s="135" t="s">
        <v>225</v>
      </c>
      <c r="S30" s="135" t="s">
        <v>95</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226</v>
      </c>
      <c r="B31" s="135" t="s">
        <v>198</v>
      </c>
      <c r="C31" s="253" t="s">
        <v>35</v>
      </c>
      <c r="D31" s="135" t="s">
        <v>212</v>
      </c>
      <c r="E31" s="135" t="s">
        <v>227</v>
      </c>
      <c r="F31" s="135" t="s">
        <v>4</v>
      </c>
      <c r="G31" s="135" t="s">
        <v>228</v>
      </c>
      <c r="H31" s="135" t="s">
        <v>4</v>
      </c>
      <c r="I31" s="135" t="s">
        <v>4</v>
      </c>
      <c r="J31" s="135" t="s">
        <v>229</v>
      </c>
      <c r="K31" s="135" t="s">
        <v>183</v>
      </c>
      <c r="L31" s="135" t="s">
        <v>1</v>
      </c>
      <c r="M31" s="135" t="s">
        <v>1</v>
      </c>
      <c r="N31" s="135" t="s">
        <v>206</v>
      </c>
      <c r="O31" s="135" t="s">
        <v>230</v>
      </c>
      <c r="P31" s="135" t="s">
        <v>231</v>
      </c>
      <c r="Q31" s="135" t="s">
        <v>90</v>
      </c>
      <c r="R31" s="135" t="s">
        <v>232</v>
      </c>
      <c r="S31" s="135" t="s">
        <v>95</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233</v>
      </c>
      <c r="B32" s="135" t="s">
        <v>234</v>
      </c>
      <c r="C32" s="253" t="s">
        <v>35</v>
      </c>
      <c r="D32" s="135" t="s">
        <v>235</v>
      </c>
      <c r="E32" s="135" t="s">
        <v>236</v>
      </c>
      <c r="F32" s="135" t="s">
        <v>237</v>
      </c>
      <c r="G32" s="135" t="s">
        <v>238</v>
      </c>
      <c r="H32" s="135" t="s">
        <v>4</v>
      </c>
      <c r="I32" s="135" t="s">
        <v>4</v>
      </c>
      <c r="J32" s="135" t="s">
        <v>239</v>
      </c>
      <c r="K32" s="135" t="s">
        <v>183</v>
      </c>
      <c r="L32" s="135" t="s">
        <v>1</v>
      </c>
      <c r="M32" s="135" t="s">
        <v>1</v>
      </c>
      <c r="N32" s="135" t="s">
        <v>240</v>
      </c>
      <c r="O32" s="135" t="s">
        <v>241</v>
      </c>
      <c r="P32" s="135" t="s">
        <v>242</v>
      </c>
      <c r="Q32" s="135" t="s">
        <v>90</v>
      </c>
      <c r="R32" s="135" t="s">
        <v>243</v>
      </c>
      <c r="S32" s="135" t="s">
        <v>95</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244</v>
      </c>
      <c r="B33" s="135" t="s">
        <v>234</v>
      </c>
      <c r="C33" s="253" t="s">
        <v>35</v>
      </c>
      <c r="D33" s="135" t="s">
        <v>245</v>
      </c>
      <c r="E33" s="135" t="s">
        <v>246</v>
      </c>
      <c r="F33" s="135" t="s">
        <v>4</v>
      </c>
      <c r="G33" s="135" t="s">
        <v>247</v>
      </c>
      <c r="H33" s="135" t="s">
        <v>4</v>
      </c>
      <c r="I33" s="135" t="s">
        <v>4</v>
      </c>
      <c r="J33" s="135" t="s">
        <v>248</v>
      </c>
      <c r="K33" s="135" t="s">
        <v>183</v>
      </c>
      <c r="L33" s="135" t="s">
        <v>1</v>
      </c>
      <c r="M33" s="135" t="s">
        <v>1</v>
      </c>
      <c r="N33" s="135" t="s">
        <v>249</v>
      </c>
      <c r="O33" s="135" t="s">
        <v>250</v>
      </c>
      <c r="P33" s="135" t="s">
        <v>251</v>
      </c>
      <c r="Q33" s="135" t="s">
        <v>90</v>
      </c>
      <c r="R33" s="135" t="s">
        <v>252</v>
      </c>
      <c r="S33" s="135" t="s">
        <v>95</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253</v>
      </c>
      <c r="B34" s="135" t="s">
        <v>254</v>
      </c>
      <c r="C34" s="253" t="s">
        <v>35</v>
      </c>
      <c r="D34" s="135" t="s">
        <v>255</v>
      </c>
      <c r="E34" s="135" t="s">
        <v>256</v>
      </c>
      <c r="F34" s="135" t="s">
        <v>257</v>
      </c>
      <c r="G34" s="135" t="s">
        <v>258</v>
      </c>
      <c r="H34" s="135" t="s">
        <v>4</v>
      </c>
      <c r="I34" s="135" t="s">
        <v>259</v>
      </c>
      <c r="J34" s="135" t="s">
        <v>260</v>
      </c>
      <c r="K34" s="135" t="s">
        <v>261</v>
      </c>
      <c r="L34" s="135" t="s">
        <v>1</v>
      </c>
      <c r="M34" s="135" t="s">
        <v>1</v>
      </c>
      <c r="N34" s="135" t="s">
        <v>262</v>
      </c>
      <c r="O34" s="135" t="s">
        <v>263</v>
      </c>
      <c r="P34" s="135" t="s">
        <v>264</v>
      </c>
      <c r="Q34" s="135" t="s">
        <v>90</v>
      </c>
      <c r="R34" s="135" t="s">
        <v>265</v>
      </c>
      <c r="S34" s="135" t="s">
        <v>266</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267</v>
      </c>
      <c r="B35" s="135" t="s">
        <v>268</v>
      </c>
      <c r="C35" s="253" t="s">
        <v>35</v>
      </c>
      <c r="D35" s="135" t="s">
        <v>269</v>
      </c>
      <c r="E35" s="135" t="s">
        <v>270</v>
      </c>
      <c r="F35" s="135" t="s">
        <v>271</v>
      </c>
      <c r="G35" s="135" t="s">
        <v>272</v>
      </c>
      <c r="H35" s="135" t="s">
        <v>273</v>
      </c>
      <c r="I35" s="135" t="s">
        <v>8</v>
      </c>
      <c r="J35" s="135" t="s">
        <v>274</v>
      </c>
      <c r="K35" s="135" t="s">
        <v>261</v>
      </c>
      <c r="L35" s="135" t="s">
        <v>1</v>
      </c>
      <c r="M35" s="135" t="s">
        <v>1</v>
      </c>
      <c r="N35" s="135" t="s">
        <v>262</v>
      </c>
      <c r="O35" s="135" t="s">
        <v>275</v>
      </c>
      <c r="P35" s="135" t="s">
        <v>276</v>
      </c>
      <c r="Q35" s="135" t="s">
        <v>90</v>
      </c>
      <c r="R35" s="135" t="s">
        <v>277</v>
      </c>
      <c r="S35" s="135" t="s">
        <v>210</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278</v>
      </c>
      <c r="B36" s="135" t="s">
        <v>279</v>
      </c>
      <c r="C36" s="253" t="s">
        <v>35</v>
      </c>
      <c r="D36" s="135" t="s">
        <v>280</v>
      </c>
      <c r="E36" s="135" t="s">
        <v>281</v>
      </c>
      <c r="F36" s="135" t="s">
        <v>4</v>
      </c>
      <c r="G36" s="135" t="s">
        <v>282</v>
      </c>
      <c r="H36" s="135" t="s">
        <v>4</v>
      </c>
      <c r="I36" s="135" t="s">
        <v>4</v>
      </c>
      <c r="J36" s="135" t="s">
        <v>283</v>
      </c>
      <c r="K36" s="135" t="s">
        <v>284</v>
      </c>
      <c r="L36" s="135" t="s">
        <v>101</v>
      </c>
      <c r="M36" s="135" t="s">
        <v>285</v>
      </c>
      <c r="N36" s="135" t="s">
        <v>138</v>
      </c>
      <c r="O36" s="135" t="s">
        <v>286</v>
      </c>
      <c r="P36" s="135" t="s">
        <v>287</v>
      </c>
      <c r="Q36" s="135" t="s">
        <v>90</v>
      </c>
      <c r="R36" s="135" t="s">
        <v>288</v>
      </c>
      <c r="S36" s="135" t="s">
        <v>289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8" t="s">
        <v>290</v>
      </c>
      <c r="B37" s="138" t="s">
        <v>144</v>
      </c>
      <c r="C37" s="253" t="s">
        <v>35</v>
      </c>
      <c r="D37" s="138" t="s">
        <v>291</v>
      </c>
      <c r="E37" s="138" t="s">
        <v>292</v>
      </c>
      <c r="F37" s="138" t="s">
        <v>1</v>
      </c>
      <c r="G37" s="138" t="s">
        <v>1</v>
      </c>
      <c r="H37" s="138" t="s">
        <v>1</v>
      </c>
      <c r="I37" s="138" t="s">
        <v>1</v>
      </c>
      <c r="J37" s="138" t="s">
        <v>1</v>
      </c>
      <c r="K37" s="138" t="s">
        <v>101</v>
      </c>
      <c r="L37" s="138" t="s">
        <v>101</v>
      </c>
      <c r="M37" s="138" t="s">
        <v>101</v>
      </c>
      <c r="N37" s="138" t="s">
        <v>1</v>
      </c>
      <c r="O37" s="138" t="s">
        <v>293</v>
      </c>
      <c r="P37" s="138" t="s">
        <v>294</v>
      </c>
      <c r="Q37" s="138" t="s">
        <v>101</v>
      </c>
      <c r="R37" s="138" t="s">
        <v>149</v>
      </c>
      <c r="S37" s="138" t="s">
        <v>150</v>
      </c>
      <c r="T37" s="138" t="s">
        <v>151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Not started</v>
      </c>
      <c r="V37" s="146">
        <f>IF(T37="","",VALUE(LEFT(T37,SEARCH("/",T37)-1)))</f>
        <v>10</v>
      </c>
      <c r="W37" s="146">
        <f>IF(T37="","",VALUE(MID(T37,SEARCH("/",T37)+1,LEN(T37))))</f>
        <v>25</v>
      </c>
    </row>
    <row r="38" customFormat="false" ht="15" hidden="false" customHeight="false" outlineLevel="0" collapsed="false">
      <c r="A38" s="138" t="s">
        <v>295</v>
      </c>
      <c r="B38" s="138" t="s">
        <v>153</v>
      </c>
      <c r="C38" s="253" t="s">
        <v>35</v>
      </c>
      <c r="D38" s="138" t="s">
        <v>296</v>
      </c>
      <c r="E38" s="138" t="s">
        <v>297</v>
      </c>
      <c r="F38" s="138" t="s">
        <v>4</v>
      </c>
      <c r="G38" s="138" t="s">
        <v>298</v>
      </c>
      <c r="H38" s="138" t="s">
        <v>4</v>
      </c>
      <c r="I38" s="138" t="s">
        <v>299</v>
      </c>
      <c r="J38" s="138" t="s">
        <v>300</v>
      </c>
      <c r="K38" s="138" t="s">
        <v>101</v>
      </c>
      <c r="L38" s="138" t="s">
        <v>101</v>
      </c>
      <c r="M38" s="138" t="s">
        <v>101</v>
      </c>
      <c r="N38" s="138" t="s">
        <v>1</v>
      </c>
      <c r="O38" s="138" t="s">
        <v>301</v>
      </c>
      <c r="P38" s="138" t="s">
        <v>302</v>
      </c>
      <c r="Q38" s="138" t="s">
        <v>101</v>
      </c>
      <c r="R38" s="138" t="s">
        <v>303</v>
      </c>
      <c r="S38" s="138" t="s">
        <v>95</v>
      </c>
      <c r="T38" s="138" t="s">
        <v>304</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Not started</v>
      </c>
      <c r="V38" s="146">
        <f>IF(T38="","",VALUE(LEFT(T38,SEARCH("/",T38)-1)))</f>
        <v>60</v>
      </c>
      <c r="W38" s="146">
        <f>IF(T38="","",VALUE(MID(T38,SEARCH("/",T38)+1,LEN(T38))))</f>
        <v>120</v>
      </c>
    </row>
    <row r="39" customFormat="false" ht="15" hidden="false" customHeight="false" outlineLevel="0" collapsed="false">
      <c r="A39" s="135" t="s">
        <v>305</v>
      </c>
      <c r="B39" s="135" t="s">
        <v>84</v>
      </c>
      <c r="C39" s="256" t="s">
        <v>41</v>
      </c>
      <c r="D39" s="135" t="s">
        <v>306</v>
      </c>
      <c r="E39" s="135" t="s">
        <v>307</v>
      </c>
      <c r="F39" s="135" t="s">
        <v>4</v>
      </c>
      <c r="G39" s="135" t="s">
        <v>4</v>
      </c>
      <c r="H39" s="135" t="s">
        <v>4</v>
      </c>
      <c r="I39" s="135" t="s">
        <v>4</v>
      </c>
      <c r="J39" s="135" t="s">
        <v>308</v>
      </c>
      <c r="K39" s="135" t="s">
        <v>100</v>
      </c>
      <c r="L39" s="135" t="s">
        <v>90</v>
      </c>
      <c r="M39" s="135" t="s">
        <v>309</v>
      </c>
      <c r="N39" s="135" t="s">
        <v>91</v>
      </c>
      <c r="O39" s="135" t="s">
        <v>310</v>
      </c>
      <c r="P39" s="135" t="s">
        <v>311</v>
      </c>
      <c r="Q39" s="135" t="s">
        <v>90</v>
      </c>
      <c r="R39" s="135" t="s">
        <v>312</v>
      </c>
      <c r="S39" s="135" t="s">
        <v>95</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313</v>
      </c>
      <c r="B40" s="135" t="s">
        <v>84</v>
      </c>
      <c r="C40" s="256" t="s">
        <v>41</v>
      </c>
      <c r="D40" s="135" t="s">
        <v>314</v>
      </c>
      <c r="E40" s="135" t="s">
        <v>315</v>
      </c>
      <c r="F40" s="135" t="s">
        <v>4</v>
      </c>
      <c r="G40" s="135" t="s">
        <v>4</v>
      </c>
      <c r="H40" s="135" t="s">
        <v>4</v>
      </c>
      <c r="I40" s="135" t="s">
        <v>4</v>
      </c>
      <c r="J40" s="135" t="s">
        <v>308</v>
      </c>
      <c r="K40" s="135" t="s">
        <v>100</v>
      </c>
      <c r="L40" s="135" t="s">
        <v>90</v>
      </c>
      <c r="M40" s="135" t="s">
        <v>309</v>
      </c>
      <c r="N40" s="135" t="s">
        <v>91</v>
      </c>
      <c r="O40" s="135" t="s">
        <v>316</v>
      </c>
      <c r="P40" s="135" t="s">
        <v>317</v>
      </c>
      <c r="Q40" s="135" t="s">
        <v>90</v>
      </c>
      <c r="R40" s="135" t="s">
        <v>318</v>
      </c>
      <c r="S40" s="135" t="s">
        <v>95</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319</v>
      </c>
      <c r="B41" s="135" t="s">
        <v>320</v>
      </c>
      <c r="C41" s="256" t="s">
        <v>41</v>
      </c>
      <c r="D41" s="135" t="s">
        <v>321</v>
      </c>
      <c r="E41" s="135" t="s">
        <v>322</v>
      </c>
      <c r="F41" s="135" t="s">
        <v>4</v>
      </c>
      <c r="G41" s="135" t="s">
        <v>323</v>
      </c>
      <c r="H41" s="135" t="s">
        <v>324</v>
      </c>
      <c r="I41" s="135" t="s">
        <v>325</v>
      </c>
      <c r="J41" s="135" t="s">
        <v>326</v>
      </c>
      <c r="K41" s="135" t="s">
        <v>327</v>
      </c>
      <c r="L41" s="135" t="s">
        <v>90</v>
      </c>
      <c r="M41" s="135" t="s">
        <v>328</v>
      </c>
      <c r="N41" s="135" t="s">
        <v>91</v>
      </c>
      <c r="O41" s="135" t="s">
        <v>329</v>
      </c>
      <c r="P41" s="135" t="s">
        <v>330</v>
      </c>
      <c r="Q41" s="135" t="s">
        <v>90</v>
      </c>
      <c r="R41" s="135" t="s">
        <v>331</v>
      </c>
      <c r="S41" s="135" t="s">
        <v>210</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332</v>
      </c>
      <c r="B42" s="135" t="s">
        <v>333</v>
      </c>
      <c r="C42" s="256" t="s">
        <v>41</v>
      </c>
      <c r="D42" s="135" t="s">
        <v>334</v>
      </c>
      <c r="E42" s="135" t="s">
        <v>335</v>
      </c>
      <c r="F42" s="135" t="s">
        <v>336</v>
      </c>
      <c r="G42" s="135" t="s">
        <v>337</v>
      </c>
      <c r="H42" s="135" t="s">
        <v>338</v>
      </c>
      <c r="I42" s="135" t="s">
        <v>339</v>
      </c>
      <c r="J42" s="135" t="s">
        <v>340</v>
      </c>
      <c r="K42" s="135" t="s">
        <v>341</v>
      </c>
      <c r="L42" s="135" t="s">
        <v>342</v>
      </c>
      <c r="M42" s="135" t="s">
        <v>101</v>
      </c>
      <c r="N42" s="135" t="s">
        <v>91</v>
      </c>
      <c r="O42" s="135" t="s">
        <v>343</v>
      </c>
      <c r="P42" s="135" t="s">
        <v>344</v>
      </c>
      <c r="Q42" s="135" t="s">
        <v>90</v>
      </c>
      <c r="R42" s="135" t="s">
        <v>345</v>
      </c>
      <c r="S42" s="135" t="s">
        <v>346</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347</v>
      </c>
      <c r="B43" s="135" t="s">
        <v>348</v>
      </c>
      <c r="C43" s="256" t="s">
        <v>41</v>
      </c>
      <c r="D43" s="135" t="s">
        <v>349</v>
      </c>
      <c r="E43" s="135" t="s">
        <v>350</v>
      </c>
      <c r="F43" s="135" t="s">
        <v>351</v>
      </c>
      <c r="G43" s="135" t="s">
        <v>352</v>
      </c>
      <c r="H43" s="135" t="s">
        <v>353</v>
      </c>
      <c r="I43" s="135" t="s">
        <v>354</v>
      </c>
      <c r="J43" s="135" t="s">
        <v>355</v>
      </c>
      <c r="K43" s="135" t="s">
        <v>356</v>
      </c>
      <c r="L43" s="135" t="s">
        <v>1</v>
      </c>
      <c r="M43" s="135" t="s">
        <v>1</v>
      </c>
      <c r="N43" s="135" t="s">
        <v>357</v>
      </c>
      <c r="O43" s="135" t="s">
        <v>358</v>
      </c>
      <c r="P43" s="135" t="s">
        <v>359</v>
      </c>
      <c r="Q43" s="135" t="s">
        <v>90</v>
      </c>
      <c r="R43" s="135" t="s">
        <v>360</v>
      </c>
      <c r="S43" s="135" t="s">
        <v>196</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361</v>
      </c>
      <c r="B44" s="135" t="s">
        <v>362</v>
      </c>
      <c r="C44" s="256" t="s">
        <v>41</v>
      </c>
      <c r="D44" s="135" t="s">
        <v>363</v>
      </c>
      <c r="E44" s="135" t="s">
        <v>364</v>
      </c>
      <c r="F44" s="135" t="s">
        <v>365</v>
      </c>
      <c r="G44" s="135" t="s">
        <v>366</v>
      </c>
      <c r="H44" s="135" t="s">
        <v>367</v>
      </c>
      <c r="I44" s="135" t="s">
        <v>368</v>
      </c>
      <c r="J44" s="135" t="s">
        <v>369</v>
      </c>
      <c r="K44" s="135" t="s">
        <v>356</v>
      </c>
      <c r="L44" s="135" t="s">
        <v>1</v>
      </c>
      <c r="M44" s="135" t="s">
        <v>1</v>
      </c>
      <c r="N44" s="135" t="s">
        <v>357</v>
      </c>
      <c r="O44" s="135" t="s">
        <v>370</v>
      </c>
      <c r="P44" s="135" t="s">
        <v>371</v>
      </c>
      <c r="Q44" s="135" t="s">
        <v>90</v>
      </c>
      <c r="R44" s="135" t="s">
        <v>372</v>
      </c>
      <c r="S44" s="135" t="s">
        <v>210</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373</v>
      </c>
      <c r="B45" s="135" t="s">
        <v>348</v>
      </c>
      <c r="C45" s="256" t="s">
        <v>41</v>
      </c>
      <c r="D45" s="135" t="s">
        <v>349</v>
      </c>
      <c r="E45" s="135" t="s">
        <v>374</v>
      </c>
      <c r="F45" s="135" t="s">
        <v>375</v>
      </c>
      <c r="G45" s="135" t="s">
        <v>376</v>
      </c>
      <c r="H45" s="135" t="s">
        <v>353</v>
      </c>
      <c r="I45" s="135" t="s">
        <v>377</v>
      </c>
      <c r="J45" s="135" t="s">
        <v>378</v>
      </c>
      <c r="K45" s="135" t="s">
        <v>356</v>
      </c>
      <c r="L45" s="135" t="s">
        <v>1</v>
      </c>
      <c r="M45" s="135" t="s">
        <v>1</v>
      </c>
      <c r="N45" s="135" t="s">
        <v>357</v>
      </c>
      <c r="O45" s="135" t="s">
        <v>379</v>
      </c>
      <c r="P45" s="135" t="s">
        <v>380</v>
      </c>
      <c r="Q45" s="135" t="s">
        <v>90</v>
      </c>
      <c r="R45" s="135" t="s">
        <v>381</v>
      </c>
      <c r="S45" s="135" t="s">
        <v>382</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383</v>
      </c>
      <c r="B46" s="135" t="s">
        <v>384</v>
      </c>
      <c r="C46" s="256" t="s">
        <v>41</v>
      </c>
      <c r="D46" s="135" t="s">
        <v>385</v>
      </c>
      <c r="E46" s="135" t="s">
        <v>386</v>
      </c>
      <c r="F46" s="135" t="s">
        <v>4</v>
      </c>
      <c r="G46" s="135" t="s">
        <v>387</v>
      </c>
      <c r="H46" s="135" t="s">
        <v>4</v>
      </c>
      <c r="I46" s="135" t="s">
        <v>388</v>
      </c>
      <c r="J46" s="135" t="s">
        <v>389</v>
      </c>
      <c r="K46" s="135" t="s">
        <v>183</v>
      </c>
      <c r="L46" s="135" t="s">
        <v>1</v>
      </c>
      <c r="M46" s="135" t="s">
        <v>1</v>
      </c>
      <c r="N46" s="135" t="s">
        <v>206</v>
      </c>
      <c r="O46" s="135" t="s">
        <v>390</v>
      </c>
      <c r="P46" s="135" t="s">
        <v>391</v>
      </c>
      <c r="Q46" s="135" t="s">
        <v>90</v>
      </c>
      <c r="R46" s="135" t="s">
        <v>392</v>
      </c>
      <c r="S46" s="135" t="s">
        <v>393</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394</v>
      </c>
      <c r="B47" s="135" t="s">
        <v>395</v>
      </c>
      <c r="C47" s="256" t="s">
        <v>41</v>
      </c>
      <c r="D47" s="135" t="s">
        <v>396</v>
      </c>
      <c r="E47" s="135" t="s">
        <v>397</v>
      </c>
      <c r="F47" s="135" t="s">
        <v>375</v>
      </c>
      <c r="G47" s="135" t="s">
        <v>398</v>
      </c>
      <c r="H47" s="135" t="s">
        <v>4</v>
      </c>
      <c r="I47" s="135" t="s">
        <v>399</v>
      </c>
      <c r="J47" s="135" t="s">
        <v>400</v>
      </c>
      <c r="K47" s="135" t="s">
        <v>401</v>
      </c>
      <c r="L47" s="135" t="s">
        <v>1</v>
      </c>
      <c r="M47" s="135" t="s">
        <v>1</v>
      </c>
      <c r="N47" s="135" t="s">
        <v>206</v>
      </c>
      <c r="O47" s="135" t="s">
        <v>402</v>
      </c>
      <c r="P47" s="135" t="s">
        <v>403</v>
      </c>
      <c r="Q47" s="135" t="s">
        <v>90</v>
      </c>
      <c r="R47" s="135" t="s">
        <v>404</v>
      </c>
      <c r="S47" s="135" t="s">
        <v>95</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405</v>
      </c>
      <c r="B48" s="135" t="s">
        <v>348</v>
      </c>
      <c r="C48" s="256" t="s">
        <v>41</v>
      </c>
      <c r="D48" s="135" t="s">
        <v>406</v>
      </c>
      <c r="E48" s="135" t="s">
        <v>407</v>
      </c>
      <c r="F48" s="135" t="s">
        <v>408</v>
      </c>
      <c r="G48" s="135" t="s">
        <v>409</v>
      </c>
      <c r="H48" s="135" t="s">
        <v>410</v>
      </c>
      <c r="I48" s="135" t="s">
        <v>411</v>
      </c>
      <c r="J48" s="135" t="s">
        <v>412</v>
      </c>
      <c r="K48" s="135" t="s">
        <v>356</v>
      </c>
      <c r="L48" s="135" t="s">
        <v>1</v>
      </c>
      <c r="M48" s="135" t="s">
        <v>1</v>
      </c>
      <c r="N48" s="135" t="s">
        <v>357</v>
      </c>
      <c r="O48" s="135" t="s">
        <v>413</v>
      </c>
      <c r="P48" s="135" t="s">
        <v>414</v>
      </c>
      <c r="Q48" s="135" t="s">
        <v>90</v>
      </c>
      <c r="R48" s="135" t="s">
        <v>415</v>
      </c>
      <c r="S48" s="135" t="s">
        <v>416</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417</v>
      </c>
      <c r="B49" s="135" t="s">
        <v>418</v>
      </c>
      <c r="C49" s="256" t="s">
        <v>41</v>
      </c>
      <c r="D49" s="135" t="s">
        <v>419</v>
      </c>
      <c r="E49" s="135" t="s">
        <v>420</v>
      </c>
      <c r="F49" s="135" t="s">
        <v>4</v>
      </c>
      <c r="G49" s="135" t="s">
        <v>421</v>
      </c>
      <c r="H49" s="135" t="s">
        <v>4</v>
      </c>
      <c r="I49" s="135" t="s">
        <v>422</v>
      </c>
      <c r="J49" s="135" t="s">
        <v>423</v>
      </c>
      <c r="K49" s="135" t="s">
        <v>424</v>
      </c>
      <c r="L49" s="135" t="s">
        <v>1</v>
      </c>
      <c r="M49" s="135" t="s">
        <v>1</v>
      </c>
      <c r="N49" s="135" t="s">
        <v>357</v>
      </c>
      <c r="O49" s="135" t="s">
        <v>425</v>
      </c>
      <c r="P49" s="135" t="s">
        <v>426</v>
      </c>
      <c r="Q49" s="135" t="s">
        <v>90</v>
      </c>
      <c r="R49" s="135" t="s">
        <v>427</v>
      </c>
      <c r="S49" s="135" t="s">
        <v>428</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429</v>
      </c>
      <c r="B50" s="135" t="s">
        <v>430</v>
      </c>
      <c r="C50" s="256" t="s">
        <v>41</v>
      </c>
      <c r="D50" s="135" t="s">
        <v>431</v>
      </c>
      <c r="E50" s="135" t="s">
        <v>432</v>
      </c>
      <c r="F50" s="135" t="s">
        <v>433</v>
      </c>
      <c r="G50" s="135" t="s">
        <v>434</v>
      </c>
      <c r="H50" s="135" t="s">
        <v>435</v>
      </c>
      <c r="I50" s="135" t="s">
        <v>436</v>
      </c>
      <c r="J50" s="135" t="s">
        <v>437</v>
      </c>
      <c r="K50" s="135" t="s">
        <v>401</v>
      </c>
      <c r="L50" s="135" t="s">
        <v>1</v>
      </c>
      <c r="M50" s="135" t="s">
        <v>1</v>
      </c>
      <c r="N50" s="135" t="s">
        <v>357</v>
      </c>
      <c r="O50" s="135" t="s">
        <v>438</v>
      </c>
      <c r="P50" s="135" t="s">
        <v>439</v>
      </c>
      <c r="Q50" s="135" t="s">
        <v>90</v>
      </c>
      <c r="R50" s="135" t="s">
        <v>440</v>
      </c>
      <c r="S50" s="135" t="s">
        <v>346</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441</v>
      </c>
      <c r="B51" s="135" t="s">
        <v>362</v>
      </c>
      <c r="C51" s="256" t="s">
        <v>41</v>
      </c>
      <c r="D51" s="135" t="s">
        <v>442</v>
      </c>
      <c r="E51" s="135" t="s">
        <v>443</v>
      </c>
      <c r="F51" s="135" t="s">
        <v>4</v>
      </c>
      <c r="G51" s="135" t="s">
        <v>444</v>
      </c>
      <c r="H51" s="135" t="s">
        <v>4</v>
      </c>
      <c r="I51" s="135" t="s">
        <v>4</v>
      </c>
      <c r="J51" s="135" t="s">
        <v>445</v>
      </c>
      <c r="K51" s="135" t="s">
        <v>401</v>
      </c>
      <c r="L51" s="135" t="s">
        <v>1</v>
      </c>
      <c r="M51" s="135" t="s">
        <v>1</v>
      </c>
      <c r="N51" s="135" t="s">
        <v>357</v>
      </c>
      <c r="O51" s="135" t="s">
        <v>446</v>
      </c>
      <c r="P51" s="135" t="s">
        <v>447</v>
      </c>
      <c r="Q51" s="135" t="s">
        <v>90</v>
      </c>
      <c r="R51" s="135" t="s">
        <v>448</v>
      </c>
      <c r="S51" s="135" t="s">
        <v>449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450</v>
      </c>
      <c r="B52" s="135" t="s">
        <v>254</v>
      </c>
      <c r="C52" s="256" t="s">
        <v>41</v>
      </c>
      <c r="D52" s="135" t="s">
        <v>451</v>
      </c>
      <c r="E52" s="135" t="s">
        <v>452</v>
      </c>
      <c r="F52" s="135" t="s">
        <v>453</v>
      </c>
      <c r="G52" s="135" t="s">
        <v>454</v>
      </c>
      <c r="H52" s="135" t="s">
        <v>455</v>
      </c>
      <c r="I52" s="135" t="s">
        <v>456</v>
      </c>
      <c r="J52" s="135" t="s">
        <v>457</v>
      </c>
      <c r="K52" s="135" t="s">
        <v>401</v>
      </c>
      <c r="L52" s="135" t="s">
        <v>1</v>
      </c>
      <c r="M52" s="135" t="s">
        <v>1</v>
      </c>
      <c r="N52" s="135" t="s">
        <v>458</v>
      </c>
      <c r="O52" s="135" t="s">
        <v>459</v>
      </c>
      <c r="P52" s="135" t="s">
        <v>460</v>
      </c>
      <c r="Q52" s="135" t="s">
        <v>90</v>
      </c>
      <c r="R52" s="135" t="s">
        <v>461</v>
      </c>
      <c r="S52" s="135" t="s">
        <v>210</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254</v>
      </c>
      <c r="C53" s="256" t="s">
        <v>41</v>
      </c>
      <c r="D53" s="135" t="s">
        <v>463</v>
      </c>
      <c r="E53" s="135" t="s">
        <v>464</v>
      </c>
      <c r="F53" s="135" t="s">
        <v>465</v>
      </c>
      <c r="G53" s="135" t="s">
        <v>466</v>
      </c>
      <c r="H53" s="135" t="s">
        <v>467</v>
      </c>
      <c r="I53" s="135" t="s">
        <v>468</v>
      </c>
      <c r="J53" s="135" t="s">
        <v>469</v>
      </c>
      <c r="K53" s="135" t="s">
        <v>470</v>
      </c>
      <c r="L53" s="135" t="s">
        <v>1</v>
      </c>
      <c r="M53" s="135" t="s">
        <v>1</v>
      </c>
      <c r="N53" s="135" t="s">
        <v>471</v>
      </c>
      <c r="O53" s="135" t="s">
        <v>472</v>
      </c>
      <c r="P53" s="135" t="s">
        <v>473</v>
      </c>
      <c r="Q53" s="135" t="s">
        <v>90</v>
      </c>
      <c r="R53" s="135" t="s">
        <v>474</v>
      </c>
      <c r="S53" s="135" t="s">
        <v>95</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475</v>
      </c>
      <c r="B54" s="135" t="s">
        <v>348</v>
      </c>
      <c r="C54" s="256" t="s">
        <v>41</v>
      </c>
      <c r="D54" s="135" t="s">
        <v>476</v>
      </c>
      <c r="E54" s="135" t="s">
        <v>477</v>
      </c>
      <c r="F54" s="135" t="s">
        <v>478</v>
      </c>
      <c r="G54" s="135" t="s">
        <v>376</v>
      </c>
      <c r="H54" s="135" t="s">
        <v>353</v>
      </c>
      <c r="I54" s="135" t="s">
        <v>479</v>
      </c>
      <c r="J54" s="135" t="s">
        <v>480</v>
      </c>
      <c r="K54" s="135" t="s">
        <v>356</v>
      </c>
      <c r="L54" s="135" t="s">
        <v>1</v>
      </c>
      <c r="M54" s="135" t="s">
        <v>1</v>
      </c>
      <c r="N54" s="135" t="s">
        <v>357</v>
      </c>
      <c r="O54" s="135" t="s">
        <v>481</v>
      </c>
      <c r="P54" s="135" t="s">
        <v>482</v>
      </c>
      <c r="Q54" s="135" t="s">
        <v>90</v>
      </c>
      <c r="R54" s="135" t="s">
        <v>483</v>
      </c>
      <c r="S54" s="135" t="s">
        <v>484</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485</v>
      </c>
      <c r="B55" s="135" t="s">
        <v>348</v>
      </c>
      <c r="C55" s="256" t="s">
        <v>41</v>
      </c>
      <c r="D55" s="135" t="s">
        <v>476</v>
      </c>
      <c r="E55" s="135" t="s">
        <v>486</v>
      </c>
      <c r="F55" s="135" t="s">
        <v>487</v>
      </c>
      <c r="G55" s="135" t="s">
        <v>488</v>
      </c>
      <c r="H55" s="135" t="s">
        <v>353</v>
      </c>
      <c r="I55" s="135" t="s">
        <v>489</v>
      </c>
      <c r="J55" s="135" t="s">
        <v>490</v>
      </c>
      <c r="K55" s="135" t="s">
        <v>491</v>
      </c>
      <c r="L55" s="135" t="s">
        <v>1</v>
      </c>
      <c r="M55" s="135" t="s">
        <v>1</v>
      </c>
      <c r="N55" s="135" t="s">
        <v>206</v>
      </c>
      <c r="O55" s="135" t="s">
        <v>492</v>
      </c>
      <c r="P55" s="135" t="s">
        <v>493</v>
      </c>
      <c r="Q55" s="135" t="s">
        <v>90</v>
      </c>
      <c r="R55" s="135" t="s">
        <v>494</v>
      </c>
      <c r="S55" s="135" t="s">
        <v>495</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496</v>
      </c>
      <c r="B56" s="135" t="s">
        <v>348</v>
      </c>
      <c r="C56" s="256" t="s">
        <v>41</v>
      </c>
      <c r="D56" s="135" t="s">
        <v>476</v>
      </c>
      <c r="E56" s="135" t="s">
        <v>497</v>
      </c>
      <c r="F56" s="135" t="s">
        <v>498</v>
      </c>
      <c r="G56" s="135" t="s">
        <v>499</v>
      </c>
      <c r="H56" s="135" t="s">
        <v>353</v>
      </c>
      <c r="I56" s="135" t="s">
        <v>500</v>
      </c>
      <c r="J56" s="135" t="s">
        <v>501</v>
      </c>
      <c r="K56" s="135" t="s">
        <v>356</v>
      </c>
      <c r="L56" s="135" t="s">
        <v>1</v>
      </c>
      <c r="M56" s="135" t="s">
        <v>1</v>
      </c>
      <c r="N56" s="135" t="s">
        <v>240</v>
      </c>
      <c r="O56" s="135" t="s">
        <v>502</v>
      </c>
      <c r="P56" s="135" t="s">
        <v>503</v>
      </c>
      <c r="Q56" s="135" t="s">
        <v>90</v>
      </c>
      <c r="R56" s="135" t="s">
        <v>504</v>
      </c>
      <c r="S56" s="135" t="s">
        <v>416</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505</v>
      </c>
      <c r="B57" s="135" t="s">
        <v>348</v>
      </c>
      <c r="C57" s="256" t="s">
        <v>41</v>
      </c>
      <c r="D57" s="135" t="s">
        <v>506</v>
      </c>
      <c r="E57" s="135" t="s">
        <v>507</v>
      </c>
      <c r="F57" s="135" t="s">
        <v>508</v>
      </c>
      <c r="G57" s="135" t="s">
        <v>509</v>
      </c>
      <c r="H57" s="135" t="s">
        <v>510</v>
      </c>
      <c r="I57" s="135" t="s">
        <v>511</v>
      </c>
      <c r="J57" s="135" t="s">
        <v>512</v>
      </c>
      <c r="K57" s="135" t="s">
        <v>356</v>
      </c>
      <c r="L57" s="135" t="s">
        <v>1</v>
      </c>
      <c r="M57" s="135" t="s">
        <v>1</v>
      </c>
      <c r="N57" s="135" t="s">
        <v>240</v>
      </c>
      <c r="O57" s="135" t="s">
        <v>513</v>
      </c>
      <c r="P57" s="135" t="s">
        <v>514</v>
      </c>
      <c r="Q57" s="135" t="s">
        <v>90</v>
      </c>
      <c r="R57" s="135" t="s">
        <v>515</v>
      </c>
      <c r="S57" s="135" t="s">
        <v>495</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516</v>
      </c>
      <c r="B58" s="135" t="s">
        <v>348</v>
      </c>
      <c r="C58" s="256" t="s">
        <v>41</v>
      </c>
      <c r="D58" s="135" t="s">
        <v>517</v>
      </c>
      <c r="E58" s="135" t="s">
        <v>518</v>
      </c>
      <c r="F58" s="135" t="s">
        <v>4</v>
      </c>
      <c r="G58" s="135" t="s">
        <v>4</v>
      </c>
      <c r="H58" s="135" t="s">
        <v>4</v>
      </c>
      <c r="I58" s="135" t="s">
        <v>4</v>
      </c>
      <c r="J58" s="135" t="s">
        <v>519</v>
      </c>
      <c r="K58" s="135" t="s">
        <v>356</v>
      </c>
      <c r="L58" s="135" t="s">
        <v>1</v>
      </c>
      <c r="M58" s="135" t="s">
        <v>1</v>
      </c>
      <c r="N58" s="135" t="s">
        <v>240</v>
      </c>
      <c r="O58" s="135" t="s">
        <v>520</v>
      </c>
      <c r="P58" s="135" t="s">
        <v>521</v>
      </c>
      <c r="Q58" s="135" t="s">
        <v>90</v>
      </c>
      <c r="R58" s="135" t="s">
        <v>522</v>
      </c>
      <c r="S58" s="135" t="s">
        <v>523</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524</v>
      </c>
      <c r="B59" s="135" t="s">
        <v>348</v>
      </c>
      <c r="C59" s="256" t="s">
        <v>41</v>
      </c>
      <c r="D59" s="135" t="s">
        <v>525</v>
      </c>
      <c r="E59" s="135" t="s">
        <v>526</v>
      </c>
      <c r="F59" s="135" t="s">
        <v>527</v>
      </c>
      <c r="G59" s="135" t="s">
        <v>528</v>
      </c>
      <c r="H59" s="135" t="s">
        <v>529</v>
      </c>
      <c r="I59" s="135" t="s">
        <v>530</v>
      </c>
      <c r="J59" s="135" t="s">
        <v>531</v>
      </c>
      <c r="K59" s="135" t="s">
        <v>356</v>
      </c>
      <c r="L59" s="135" t="s">
        <v>1</v>
      </c>
      <c r="M59" s="135" t="s">
        <v>1</v>
      </c>
      <c r="N59" s="135" t="s">
        <v>240</v>
      </c>
      <c r="O59" s="135" t="s">
        <v>532</v>
      </c>
      <c r="P59" s="135" t="s">
        <v>533</v>
      </c>
      <c r="Q59" s="135" t="s">
        <v>90</v>
      </c>
      <c r="R59" s="135" t="s">
        <v>534</v>
      </c>
      <c r="S59" s="135" t="s">
        <v>416</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535</v>
      </c>
      <c r="B60" s="135" t="s">
        <v>348</v>
      </c>
      <c r="C60" s="256" t="s">
        <v>41</v>
      </c>
      <c r="D60" s="135" t="s">
        <v>536</v>
      </c>
      <c r="E60" s="135" t="s">
        <v>537</v>
      </c>
      <c r="F60" s="135" t="s">
        <v>4</v>
      </c>
      <c r="G60" s="135" t="s">
        <v>4</v>
      </c>
      <c r="H60" s="135" t="s">
        <v>4</v>
      </c>
      <c r="I60" s="135" t="s">
        <v>4</v>
      </c>
      <c r="J60" s="135" t="s">
        <v>538</v>
      </c>
      <c r="K60" s="135" t="s">
        <v>539</v>
      </c>
      <c r="L60" s="135" t="s">
        <v>1</v>
      </c>
      <c r="M60" s="135" t="s">
        <v>1</v>
      </c>
      <c r="N60" s="135" t="s">
        <v>357</v>
      </c>
      <c r="O60" s="135" t="s">
        <v>540</v>
      </c>
      <c r="P60" s="135" t="s">
        <v>541</v>
      </c>
      <c r="Q60" s="135" t="s">
        <v>90</v>
      </c>
      <c r="R60" s="135" t="s">
        <v>542</v>
      </c>
      <c r="S60" s="135" t="s">
        <v>95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543</v>
      </c>
      <c r="B61" s="135" t="s">
        <v>348</v>
      </c>
      <c r="C61" s="256" t="s">
        <v>41</v>
      </c>
      <c r="D61" s="135" t="s">
        <v>525</v>
      </c>
      <c r="E61" s="135" t="s">
        <v>544</v>
      </c>
      <c r="F61" s="135" t="s">
        <v>545</v>
      </c>
      <c r="G61" s="135" t="s">
        <v>546</v>
      </c>
      <c r="H61" s="135" t="s">
        <v>547</v>
      </c>
      <c r="I61" s="135" t="s">
        <v>548</v>
      </c>
      <c r="J61" s="135" t="s">
        <v>549</v>
      </c>
      <c r="K61" s="135" t="s">
        <v>183</v>
      </c>
      <c r="L61" s="135" t="s">
        <v>1</v>
      </c>
      <c r="M61" s="135" t="s">
        <v>1</v>
      </c>
      <c r="N61" s="135" t="s">
        <v>357</v>
      </c>
      <c r="O61" s="135" t="s">
        <v>550</v>
      </c>
      <c r="P61" s="135" t="s">
        <v>551</v>
      </c>
      <c r="Q61" s="135" t="s">
        <v>90</v>
      </c>
      <c r="R61" s="135" t="s">
        <v>552</v>
      </c>
      <c r="S61" s="135" t="s">
        <v>95</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553</v>
      </c>
      <c r="B62" s="135" t="s">
        <v>348</v>
      </c>
      <c r="C62" s="256" t="s">
        <v>41</v>
      </c>
      <c r="D62" s="135" t="s">
        <v>554</v>
      </c>
      <c r="E62" s="135" t="s">
        <v>555</v>
      </c>
      <c r="F62" s="135" t="s">
        <v>556</v>
      </c>
      <c r="G62" s="135" t="s">
        <v>557</v>
      </c>
      <c r="H62" s="135" t="s">
        <v>558</v>
      </c>
      <c r="I62" s="135" t="s">
        <v>559</v>
      </c>
      <c r="J62" s="135" t="s">
        <v>560</v>
      </c>
      <c r="K62" s="135" t="s">
        <v>401</v>
      </c>
      <c r="L62" s="135" t="s">
        <v>1</v>
      </c>
      <c r="M62" s="135" t="s">
        <v>1</v>
      </c>
      <c r="N62" s="135" t="s">
        <v>240</v>
      </c>
      <c r="O62" s="135" t="s">
        <v>561</v>
      </c>
      <c r="P62" s="135" t="s">
        <v>562</v>
      </c>
      <c r="Q62" s="135" t="s">
        <v>90</v>
      </c>
      <c r="R62" s="135" t="s">
        <v>563</v>
      </c>
      <c r="S62" s="135" t="s">
        <v>95</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564</v>
      </c>
      <c r="B63" s="135" t="s">
        <v>348</v>
      </c>
      <c r="C63" s="256" t="s">
        <v>41</v>
      </c>
      <c r="D63" s="135" t="s">
        <v>565</v>
      </c>
      <c r="E63" s="135" t="s">
        <v>566</v>
      </c>
      <c r="F63" s="135" t="s">
        <v>567</v>
      </c>
      <c r="G63" s="135" t="s">
        <v>568</v>
      </c>
      <c r="H63" s="135" t="s">
        <v>567</v>
      </c>
      <c r="I63" s="135" t="s">
        <v>569</v>
      </c>
      <c r="J63" s="135" t="s">
        <v>570</v>
      </c>
      <c r="K63" s="135" t="s">
        <v>470</v>
      </c>
      <c r="L63" s="135" t="s">
        <v>1</v>
      </c>
      <c r="M63" s="135" t="s">
        <v>1</v>
      </c>
      <c r="N63" s="135" t="s">
        <v>240</v>
      </c>
      <c r="O63" s="135" t="s">
        <v>571</v>
      </c>
      <c r="P63" s="135" t="s">
        <v>572</v>
      </c>
      <c r="Q63" s="135" t="s">
        <v>90</v>
      </c>
      <c r="R63" s="135" t="s">
        <v>573</v>
      </c>
      <c r="S63" s="135" t="s">
        <v>210</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574</v>
      </c>
      <c r="B64" s="135" t="s">
        <v>348</v>
      </c>
      <c r="C64" s="256" t="s">
        <v>41</v>
      </c>
      <c r="D64" s="135" t="s">
        <v>575</v>
      </c>
      <c r="E64" s="135" t="s">
        <v>576</v>
      </c>
      <c r="F64" s="135" t="s">
        <v>577</v>
      </c>
      <c r="G64" s="135" t="s">
        <v>578</v>
      </c>
      <c r="H64" s="135" t="s">
        <v>529</v>
      </c>
      <c r="I64" s="135" t="s">
        <v>548</v>
      </c>
      <c r="J64" s="135" t="s">
        <v>579</v>
      </c>
      <c r="K64" s="135" t="s">
        <v>183</v>
      </c>
      <c r="L64" s="135" t="s">
        <v>1</v>
      </c>
      <c r="M64" s="135" t="s">
        <v>1</v>
      </c>
      <c r="N64" s="135" t="s">
        <v>240</v>
      </c>
      <c r="O64" s="135" t="s">
        <v>580</v>
      </c>
      <c r="P64" s="135" t="s">
        <v>581</v>
      </c>
      <c r="Q64" s="135" t="s">
        <v>90</v>
      </c>
      <c r="R64" s="135" t="s">
        <v>582</v>
      </c>
      <c r="S64" s="135" t="s">
        <v>95</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583</v>
      </c>
      <c r="B65" s="135" t="s">
        <v>348</v>
      </c>
      <c r="C65" s="256" t="s">
        <v>41</v>
      </c>
      <c r="D65" s="135" t="s">
        <v>584</v>
      </c>
      <c r="E65" s="135" t="s">
        <v>585</v>
      </c>
      <c r="F65" s="135" t="s">
        <v>4</v>
      </c>
      <c r="G65" s="135" t="s">
        <v>586</v>
      </c>
      <c r="H65" s="135" t="s">
        <v>4</v>
      </c>
      <c r="I65" s="135" t="s">
        <v>587</v>
      </c>
      <c r="J65" s="135" t="s">
        <v>588</v>
      </c>
      <c r="K65" s="135" t="s">
        <v>589</v>
      </c>
      <c r="L65" s="135" t="s">
        <v>1</v>
      </c>
      <c r="M65" s="135" t="s">
        <v>1</v>
      </c>
      <c r="N65" s="135" t="s">
        <v>590</v>
      </c>
      <c r="O65" s="135" t="s">
        <v>591</v>
      </c>
      <c r="P65" s="135" t="s">
        <v>592</v>
      </c>
      <c r="Q65" s="135" t="s">
        <v>90</v>
      </c>
      <c r="R65" s="135" t="s">
        <v>593</v>
      </c>
      <c r="S65" s="135" t="s">
        <v>382</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594</v>
      </c>
      <c r="B66" s="135" t="s">
        <v>348</v>
      </c>
      <c r="C66" s="256" t="s">
        <v>41</v>
      </c>
      <c r="D66" s="135" t="s">
        <v>584</v>
      </c>
      <c r="E66" s="135" t="s">
        <v>595</v>
      </c>
      <c r="F66" s="135" t="s">
        <v>596</v>
      </c>
      <c r="G66" s="135" t="s">
        <v>597</v>
      </c>
      <c r="H66" s="135" t="s">
        <v>598</v>
      </c>
      <c r="I66" s="135" t="s">
        <v>599</v>
      </c>
      <c r="J66" s="135" t="s">
        <v>600</v>
      </c>
      <c r="K66" s="135" t="s">
        <v>183</v>
      </c>
      <c r="L66" s="135" t="s">
        <v>1</v>
      </c>
      <c r="M66" s="135" t="s">
        <v>1</v>
      </c>
      <c r="N66" s="135" t="s">
        <v>590</v>
      </c>
      <c r="O66" s="135" t="s">
        <v>601</v>
      </c>
      <c r="P66" s="135" t="s">
        <v>602</v>
      </c>
      <c r="Q66" s="135" t="s">
        <v>90</v>
      </c>
      <c r="R66" s="135" t="s">
        <v>603</v>
      </c>
      <c r="S66" s="135" t="s">
        <v>495</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604</v>
      </c>
      <c r="B67" s="135" t="s">
        <v>348</v>
      </c>
      <c r="C67" s="256" t="s">
        <v>41</v>
      </c>
      <c r="D67" s="135" t="s">
        <v>605</v>
      </c>
      <c r="E67" s="135" t="s">
        <v>606</v>
      </c>
      <c r="F67" s="135" t="s">
        <v>4</v>
      </c>
      <c r="G67" s="135" t="s">
        <v>607</v>
      </c>
      <c r="H67" s="135" t="s">
        <v>4</v>
      </c>
      <c r="I67" s="135" t="s">
        <v>4</v>
      </c>
      <c r="J67" s="135" t="s">
        <v>608</v>
      </c>
      <c r="K67" s="135" t="s">
        <v>183</v>
      </c>
      <c r="L67" s="135" t="s">
        <v>1</v>
      </c>
      <c r="M67" s="135" t="s">
        <v>1</v>
      </c>
      <c r="N67" s="135" t="s">
        <v>590</v>
      </c>
      <c r="O67" s="135" t="s">
        <v>609</v>
      </c>
      <c r="P67" s="135" t="s">
        <v>610</v>
      </c>
      <c r="Q67" s="135" t="s">
        <v>90</v>
      </c>
      <c r="R67" s="135" t="s">
        <v>611</v>
      </c>
      <c r="S67" s="135" t="s">
        <v>449</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612</v>
      </c>
      <c r="B68" s="135" t="s">
        <v>348</v>
      </c>
      <c r="C68" s="256" t="s">
        <v>41</v>
      </c>
      <c r="D68" s="135" t="s">
        <v>613</v>
      </c>
      <c r="E68" s="135" t="s">
        <v>614</v>
      </c>
      <c r="F68" s="135" t="s">
        <v>4</v>
      </c>
      <c r="G68" s="135" t="s">
        <v>615</v>
      </c>
      <c r="H68" s="135" t="s">
        <v>4</v>
      </c>
      <c r="I68" s="135" t="s">
        <v>4</v>
      </c>
      <c r="J68" s="135" t="s">
        <v>616</v>
      </c>
      <c r="K68" s="135" t="s">
        <v>356</v>
      </c>
      <c r="L68" s="135" t="s">
        <v>1</v>
      </c>
      <c r="M68" s="135" t="s">
        <v>1</v>
      </c>
      <c r="N68" s="135" t="s">
        <v>590</v>
      </c>
      <c r="O68" s="135" t="s">
        <v>617</v>
      </c>
      <c r="P68" s="135" t="s">
        <v>618</v>
      </c>
      <c r="Q68" s="135" t="s">
        <v>90</v>
      </c>
      <c r="R68" s="135" t="s">
        <v>619</v>
      </c>
      <c r="S68" s="135" t="s">
        <v>416</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348</v>
      </c>
      <c r="C69" s="256" t="s">
        <v>41</v>
      </c>
      <c r="D69" s="135" t="s">
        <v>621</v>
      </c>
      <c r="E69" s="135" t="s">
        <v>622</v>
      </c>
      <c r="F69" s="135" t="s">
        <v>4</v>
      </c>
      <c r="G69" s="135" t="s">
        <v>623</v>
      </c>
      <c r="H69" s="135" t="s">
        <v>624</v>
      </c>
      <c r="I69" s="135" t="s">
        <v>4</v>
      </c>
      <c r="J69" s="135" t="s">
        <v>625</v>
      </c>
      <c r="K69" s="135" t="s">
        <v>90</v>
      </c>
      <c r="L69" s="135" t="s">
        <v>1</v>
      </c>
      <c r="M69" s="135" t="s">
        <v>1</v>
      </c>
      <c r="N69" s="135" t="s">
        <v>590</v>
      </c>
      <c r="O69" s="135" t="s">
        <v>626</v>
      </c>
      <c r="P69" s="135" t="s">
        <v>627</v>
      </c>
      <c r="Q69" s="135" t="s">
        <v>90</v>
      </c>
      <c r="R69" s="135" t="s">
        <v>628</v>
      </c>
      <c r="S69" s="135" t="s">
        <v>416</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629</v>
      </c>
      <c r="B70" s="135" t="s">
        <v>348</v>
      </c>
      <c r="C70" s="256" t="s">
        <v>41</v>
      </c>
      <c r="D70" s="135" t="s">
        <v>621</v>
      </c>
      <c r="E70" s="135" t="s">
        <v>630</v>
      </c>
      <c r="F70" s="135" t="s">
        <v>4</v>
      </c>
      <c r="G70" s="135" t="s">
        <v>623</v>
      </c>
      <c r="H70" s="135" t="s">
        <v>4</v>
      </c>
      <c r="I70" s="135" t="s">
        <v>4</v>
      </c>
      <c r="J70" s="135" t="s">
        <v>631</v>
      </c>
      <c r="K70" s="135" t="s">
        <v>183</v>
      </c>
      <c r="L70" s="135" t="s">
        <v>1</v>
      </c>
      <c r="M70" s="135" t="s">
        <v>1</v>
      </c>
      <c r="N70" s="135" t="s">
        <v>590</v>
      </c>
      <c r="O70" s="135" t="s">
        <v>632</v>
      </c>
      <c r="P70" s="135" t="s">
        <v>633</v>
      </c>
      <c r="Q70" s="135" t="s">
        <v>90</v>
      </c>
      <c r="R70" s="135" t="s">
        <v>634</v>
      </c>
      <c r="S70" s="135" t="s">
        <v>635</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636</v>
      </c>
      <c r="B71" s="135" t="s">
        <v>348</v>
      </c>
      <c r="C71" s="256" t="s">
        <v>41</v>
      </c>
      <c r="D71" s="135" t="s">
        <v>637</v>
      </c>
      <c r="E71" s="135" t="s">
        <v>638</v>
      </c>
      <c r="F71" s="135" t="s">
        <v>639</v>
      </c>
      <c r="G71" s="135" t="s">
        <v>640</v>
      </c>
      <c r="H71" s="135" t="s">
        <v>641</v>
      </c>
      <c r="I71" s="135" t="s">
        <v>642</v>
      </c>
      <c r="J71" s="135" t="s">
        <v>643</v>
      </c>
      <c r="K71" s="135" t="s">
        <v>183</v>
      </c>
      <c r="L71" s="135" t="s">
        <v>1</v>
      </c>
      <c r="M71" s="135" t="s">
        <v>1</v>
      </c>
      <c r="N71" s="135" t="s">
        <v>644</v>
      </c>
      <c r="O71" s="135" t="s">
        <v>645</v>
      </c>
      <c r="P71" s="135" t="s">
        <v>646</v>
      </c>
      <c r="Q71" s="135" t="s">
        <v>90</v>
      </c>
      <c r="R71" s="135" t="s">
        <v>647</v>
      </c>
      <c r="S71" s="135" t="s">
        <v>95</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648</v>
      </c>
      <c r="B72" s="135" t="s">
        <v>348</v>
      </c>
      <c r="C72" s="256" t="s">
        <v>41</v>
      </c>
      <c r="D72" s="135" t="s">
        <v>649</v>
      </c>
      <c r="E72" s="135" t="s">
        <v>650</v>
      </c>
      <c r="F72" s="135" t="s">
        <v>651</v>
      </c>
      <c r="G72" s="135" t="s">
        <v>652</v>
      </c>
      <c r="H72" s="135" t="s">
        <v>353</v>
      </c>
      <c r="I72" s="135" t="s">
        <v>653</v>
      </c>
      <c r="J72" s="135" t="s">
        <v>654</v>
      </c>
      <c r="K72" s="135" t="s">
        <v>183</v>
      </c>
      <c r="L72" s="135" t="s">
        <v>1</v>
      </c>
      <c r="M72" s="135" t="s">
        <v>1</v>
      </c>
      <c r="N72" s="135" t="s">
        <v>655</v>
      </c>
      <c r="O72" s="135" t="s">
        <v>656</v>
      </c>
      <c r="P72" s="135" t="s">
        <v>657</v>
      </c>
      <c r="Q72" s="135" t="s">
        <v>90</v>
      </c>
      <c r="R72" s="135" t="s">
        <v>658</v>
      </c>
      <c r="S72" s="135" t="s">
        <v>484</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659</v>
      </c>
      <c r="B73" s="135" t="s">
        <v>348</v>
      </c>
      <c r="C73" s="256" t="s">
        <v>41</v>
      </c>
      <c r="D73" s="135" t="s">
        <v>649</v>
      </c>
      <c r="E73" s="135" t="s">
        <v>660</v>
      </c>
      <c r="F73" s="135" t="s">
        <v>4</v>
      </c>
      <c r="G73" s="135" t="s">
        <v>661</v>
      </c>
      <c r="H73" s="135" t="s">
        <v>662</v>
      </c>
      <c r="I73" s="135" t="s">
        <v>663</v>
      </c>
      <c r="J73" s="135" t="s">
        <v>664</v>
      </c>
      <c r="K73" s="135" t="s">
        <v>183</v>
      </c>
      <c r="L73" s="135" t="s">
        <v>1</v>
      </c>
      <c r="M73" s="135" t="s">
        <v>1</v>
      </c>
      <c r="N73" s="135" t="s">
        <v>655</v>
      </c>
      <c r="O73" s="135" t="s">
        <v>665</v>
      </c>
      <c r="P73" s="135" t="s">
        <v>666</v>
      </c>
      <c r="Q73" s="135" t="s">
        <v>90</v>
      </c>
      <c r="R73" s="135" t="s">
        <v>667</v>
      </c>
      <c r="S73" s="135" t="s">
        <v>95</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348</v>
      </c>
      <c r="C74" s="256" t="s">
        <v>41</v>
      </c>
      <c r="D74" s="135" t="s">
        <v>669</v>
      </c>
      <c r="E74" s="135" t="s">
        <v>670</v>
      </c>
      <c r="F74" s="135" t="s">
        <v>4</v>
      </c>
      <c r="G74" s="135" t="s">
        <v>671</v>
      </c>
      <c r="H74" s="135" t="s">
        <v>4</v>
      </c>
      <c r="I74" s="135" t="s">
        <v>672</v>
      </c>
      <c r="J74" s="135" t="s">
        <v>673</v>
      </c>
      <c r="K74" s="135" t="s">
        <v>183</v>
      </c>
      <c r="L74" s="135" t="s">
        <v>1</v>
      </c>
      <c r="M74" s="135" t="s">
        <v>1</v>
      </c>
      <c r="N74" s="135" t="s">
        <v>655</v>
      </c>
      <c r="O74" s="135" t="s">
        <v>674</v>
      </c>
      <c r="P74" s="135" t="s">
        <v>675</v>
      </c>
      <c r="Q74" s="135" t="s">
        <v>90</v>
      </c>
      <c r="R74" s="135" t="s">
        <v>676</v>
      </c>
      <c r="S74" s="135" t="s">
        <v>95</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677</v>
      </c>
      <c r="B75" s="135" t="s">
        <v>348</v>
      </c>
      <c r="C75" s="256" t="s">
        <v>41</v>
      </c>
      <c r="D75" s="135" t="s">
        <v>649</v>
      </c>
      <c r="E75" s="135" t="s">
        <v>678</v>
      </c>
      <c r="F75" s="135" t="s">
        <v>679</v>
      </c>
      <c r="G75" s="135" t="s">
        <v>4</v>
      </c>
      <c r="H75" s="135" t="s">
        <v>4</v>
      </c>
      <c r="I75" s="135" t="s">
        <v>4</v>
      </c>
      <c r="J75" s="135" t="s">
        <v>680</v>
      </c>
      <c r="K75" s="135" t="s">
        <v>183</v>
      </c>
      <c r="L75" s="135" t="s">
        <v>1</v>
      </c>
      <c r="M75" s="135" t="s">
        <v>1</v>
      </c>
      <c r="N75" s="135" t="s">
        <v>655</v>
      </c>
      <c r="O75" s="135" t="s">
        <v>681</v>
      </c>
      <c r="P75" s="135" t="s">
        <v>682</v>
      </c>
      <c r="Q75" s="135" t="s">
        <v>90</v>
      </c>
      <c r="R75" s="135" t="s">
        <v>683</v>
      </c>
      <c r="S75" s="135" t="s">
        <v>210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684</v>
      </c>
      <c r="B76" s="135" t="s">
        <v>348</v>
      </c>
      <c r="C76" s="256" t="s">
        <v>41</v>
      </c>
      <c r="D76" s="135" t="s">
        <v>685</v>
      </c>
      <c r="E76" s="135" t="s">
        <v>686</v>
      </c>
      <c r="F76" s="135" t="s">
        <v>687</v>
      </c>
      <c r="G76" s="135" t="s">
        <v>688</v>
      </c>
      <c r="H76" s="135" t="s">
        <v>689</v>
      </c>
      <c r="I76" s="135" t="s">
        <v>690</v>
      </c>
      <c r="J76" s="135" t="s">
        <v>691</v>
      </c>
      <c r="K76" s="135" t="s">
        <v>183</v>
      </c>
      <c r="L76" s="135" t="s">
        <v>1</v>
      </c>
      <c r="M76" s="135" t="s">
        <v>1</v>
      </c>
      <c r="N76" s="135" t="s">
        <v>655</v>
      </c>
      <c r="O76" s="135" t="s">
        <v>692</v>
      </c>
      <c r="P76" s="135" t="s">
        <v>693</v>
      </c>
      <c r="Q76" s="135" t="s">
        <v>90</v>
      </c>
      <c r="R76" s="135" t="s">
        <v>694</v>
      </c>
      <c r="S76" s="135" t="s">
        <v>95</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695</v>
      </c>
      <c r="B77" s="135" t="s">
        <v>348</v>
      </c>
      <c r="C77" s="256" t="s">
        <v>41</v>
      </c>
      <c r="D77" s="135" t="s">
        <v>696</v>
      </c>
      <c r="E77" s="135" t="s">
        <v>697</v>
      </c>
      <c r="F77" s="135" t="s">
        <v>698</v>
      </c>
      <c r="G77" s="135" t="s">
        <v>699</v>
      </c>
      <c r="H77" s="135" t="s">
        <v>700</v>
      </c>
      <c r="I77" s="135" t="s">
        <v>701</v>
      </c>
      <c r="J77" s="135" t="s">
        <v>702</v>
      </c>
      <c r="K77" s="135" t="s">
        <v>703</v>
      </c>
      <c r="L77" s="135" t="s">
        <v>1</v>
      </c>
      <c r="M77" s="135" t="s">
        <v>1</v>
      </c>
      <c r="N77" s="135" t="s">
        <v>704</v>
      </c>
      <c r="O77" s="135" t="s">
        <v>705</v>
      </c>
      <c r="P77" s="135" t="s">
        <v>706</v>
      </c>
      <c r="Q77" s="135" t="s">
        <v>90</v>
      </c>
      <c r="R77" s="135" t="s">
        <v>707</v>
      </c>
      <c r="S77" s="135" t="s">
        <v>95</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708</v>
      </c>
      <c r="B78" s="135" t="s">
        <v>348</v>
      </c>
      <c r="C78" s="256" t="s">
        <v>41</v>
      </c>
      <c r="D78" s="135" t="s">
        <v>709</v>
      </c>
      <c r="E78" s="135" t="s">
        <v>710</v>
      </c>
      <c r="F78" s="135" t="s">
        <v>4</v>
      </c>
      <c r="G78" s="135" t="s">
        <v>4</v>
      </c>
      <c r="H78" s="135" t="s">
        <v>711</v>
      </c>
      <c r="I78" s="135" t="s">
        <v>712</v>
      </c>
      <c r="J78" s="135" t="s">
        <v>713</v>
      </c>
      <c r="K78" s="135" t="s">
        <v>183</v>
      </c>
      <c r="L78" s="135" t="s">
        <v>1</v>
      </c>
      <c r="M78" s="135" t="s">
        <v>1</v>
      </c>
      <c r="N78" s="135" t="s">
        <v>704</v>
      </c>
      <c r="O78" s="135" t="s">
        <v>714</v>
      </c>
      <c r="P78" s="135" t="s">
        <v>715</v>
      </c>
      <c r="Q78" s="135" t="s">
        <v>90</v>
      </c>
      <c r="R78" s="135" t="s">
        <v>716</v>
      </c>
      <c r="S78" s="135" t="s">
        <v>95</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717</v>
      </c>
      <c r="B79" s="135" t="s">
        <v>348</v>
      </c>
      <c r="C79" s="256" t="s">
        <v>41</v>
      </c>
      <c r="D79" s="135" t="s">
        <v>718</v>
      </c>
      <c r="E79" s="135" t="s">
        <v>719</v>
      </c>
      <c r="F79" s="135" t="s">
        <v>720</v>
      </c>
      <c r="G79" s="135" t="s">
        <v>721</v>
      </c>
      <c r="H79" s="135" t="s">
        <v>722</v>
      </c>
      <c r="I79" s="135" t="s">
        <v>723</v>
      </c>
      <c r="J79" s="135" t="s">
        <v>724</v>
      </c>
      <c r="K79" s="135" t="s">
        <v>183</v>
      </c>
      <c r="L79" s="135" t="s">
        <v>1</v>
      </c>
      <c r="M79" s="135" t="s">
        <v>1</v>
      </c>
      <c r="N79" s="135" t="s">
        <v>704</v>
      </c>
      <c r="O79" s="135" t="s">
        <v>725</v>
      </c>
      <c r="P79" s="135" t="s">
        <v>726</v>
      </c>
      <c r="Q79" s="135" t="s">
        <v>90</v>
      </c>
      <c r="R79" s="135" t="s">
        <v>727</v>
      </c>
      <c r="S79" s="135" t="s">
        <v>95</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728</v>
      </c>
      <c r="B80" s="135" t="s">
        <v>348</v>
      </c>
      <c r="C80" s="256" t="s">
        <v>41</v>
      </c>
      <c r="D80" s="135" t="s">
        <v>729</v>
      </c>
      <c r="E80" s="135" t="s">
        <v>730</v>
      </c>
      <c r="F80" s="135" t="s">
        <v>731</v>
      </c>
      <c r="G80" s="135" t="s">
        <v>732</v>
      </c>
      <c r="H80" s="135" t="s">
        <v>733</v>
      </c>
      <c r="I80" s="135" t="s">
        <v>734</v>
      </c>
      <c r="J80" s="135" t="s">
        <v>735</v>
      </c>
      <c r="K80" s="135" t="s">
        <v>183</v>
      </c>
      <c r="L80" s="135" t="s">
        <v>1</v>
      </c>
      <c r="M80" s="135" t="s">
        <v>1</v>
      </c>
      <c r="N80" s="135" t="s">
        <v>206</v>
      </c>
      <c r="O80" s="135" t="s">
        <v>736</v>
      </c>
      <c r="P80" s="135" t="s">
        <v>737</v>
      </c>
      <c r="Q80" s="135" t="s">
        <v>90</v>
      </c>
      <c r="R80" s="135" t="s">
        <v>738</v>
      </c>
      <c r="S80" s="135" t="s">
        <v>95</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739</v>
      </c>
      <c r="B81" s="135" t="s">
        <v>348</v>
      </c>
      <c r="C81" s="256" t="s">
        <v>41</v>
      </c>
      <c r="D81" s="135" t="s">
        <v>740</v>
      </c>
      <c r="E81" s="135" t="s">
        <v>741</v>
      </c>
      <c r="F81" s="135" t="s">
        <v>4</v>
      </c>
      <c r="G81" s="135" t="s">
        <v>742</v>
      </c>
      <c r="H81" s="135" t="s">
        <v>4</v>
      </c>
      <c r="I81" s="135" t="s">
        <v>743</v>
      </c>
      <c r="J81" s="135" t="s">
        <v>744</v>
      </c>
      <c r="K81" s="135" t="s">
        <v>183</v>
      </c>
      <c r="L81" s="135" t="s">
        <v>1</v>
      </c>
      <c r="M81" s="135" t="s">
        <v>1</v>
      </c>
      <c r="N81" s="135" t="s">
        <v>206</v>
      </c>
      <c r="O81" s="135" t="s">
        <v>745</v>
      </c>
      <c r="P81" s="135" t="s">
        <v>746</v>
      </c>
      <c r="Q81" s="135" t="s">
        <v>90</v>
      </c>
      <c r="R81" s="135" t="s">
        <v>747</v>
      </c>
      <c r="S81" s="135" t="s">
        <v>95</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748</v>
      </c>
      <c r="B82" s="135" t="s">
        <v>348</v>
      </c>
      <c r="C82" s="256" t="s">
        <v>41</v>
      </c>
      <c r="D82" s="135" t="s">
        <v>749</v>
      </c>
      <c r="E82" s="135" t="s">
        <v>750</v>
      </c>
      <c r="F82" s="135" t="s">
        <v>4</v>
      </c>
      <c r="G82" s="135" t="s">
        <v>751</v>
      </c>
      <c r="H82" s="135" t="s">
        <v>4</v>
      </c>
      <c r="I82" s="135" t="s">
        <v>752</v>
      </c>
      <c r="J82" s="135" t="s">
        <v>753</v>
      </c>
      <c r="K82" s="135" t="s">
        <v>183</v>
      </c>
      <c r="L82" s="135" t="s">
        <v>1</v>
      </c>
      <c r="M82" s="135" t="s">
        <v>1</v>
      </c>
      <c r="N82" s="135" t="s">
        <v>655</v>
      </c>
      <c r="O82" s="135" t="s">
        <v>754</v>
      </c>
      <c r="P82" s="135" t="s">
        <v>755</v>
      </c>
      <c r="Q82" s="135" t="s">
        <v>90</v>
      </c>
      <c r="R82" s="135" t="s">
        <v>756</v>
      </c>
      <c r="S82" s="135" t="s">
        <v>95</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757</v>
      </c>
      <c r="B83" s="135" t="s">
        <v>758</v>
      </c>
      <c r="C83" s="256" t="s">
        <v>41</v>
      </c>
      <c r="D83" s="135" t="s">
        <v>759</v>
      </c>
      <c r="E83" s="135" t="s">
        <v>760</v>
      </c>
      <c r="F83" s="135" t="s">
        <v>761</v>
      </c>
      <c r="G83" s="135" t="s">
        <v>762</v>
      </c>
      <c r="H83" s="135" t="s">
        <v>763</v>
      </c>
      <c r="I83" s="135" t="s">
        <v>764</v>
      </c>
      <c r="J83" s="135" t="s">
        <v>765</v>
      </c>
      <c r="K83" s="135" t="s">
        <v>183</v>
      </c>
      <c r="L83" s="135" t="s">
        <v>1</v>
      </c>
      <c r="M83" s="135" t="s">
        <v>1</v>
      </c>
      <c r="N83" s="135" t="s">
        <v>206</v>
      </c>
      <c r="O83" s="135" t="s">
        <v>766</v>
      </c>
      <c r="P83" s="135" t="s">
        <v>767</v>
      </c>
      <c r="Q83" s="135" t="s">
        <v>90</v>
      </c>
      <c r="R83" s="135" t="s">
        <v>768</v>
      </c>
      <c r="S83" s="135" t="s">
        <v>95</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769</v>
      </c>
      <c r="B84" s="135" t="s">
        <v>348</v>
      </c>
      <c r="C84" s="256" t="s">
        <v>41</v>
      </c>
      <c r="D84" s="135" t="s">
        <v>770</v>
      </c>
      <c r="E84" s="135" t="s">
        <v>771</v>
      </c>
      <c r="F84" s="135" t="s">
        <v>4</v>
      </c>
      <c r="G84" s="135" t="s">
        <v>772</v>
      </c>
      <c r="H84" s="135" t="s">
        <v>4</v>
      </c>
      <c r="I84" s="135" t="s">
        <v>773</v>
      </c>
      <c r="J84" s="135" t="s">
        <v>774</v>
      </c>
      <c r="K84" s="135" t="s">
        <v>183</v>
      </c>
      <c r="L84" s="135" t="s">
        <v>1</v>
      </c>
      <c r="M84" s="135" t="s">
        <v>1</v>
      </c>
      <c r="N84" s="135" t="s">
        <v>655</v>
      </c>
      <c r="O84" s="135" t="s">
        <v>775</v>
      </c>
      <c r="P84" s="135" t="s">
        <v>776</v>
      </c>
      <c r="Q84" s="135" t="s">
        <v>90</v>
      </c>
      <c r="R84" s="135" t="s">
        <v>777</v>
      </c>
      <c r="S84" s="135" t="s">
        <v>95</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778</v>
      </c>
      <c r="B85" s="135" t="s">
        <v>758</v>
      </c>
      <c r="C85" s="256" t="s">
        <v>41</v>
      </c>
      <c r="D85" s="135" t="s">
        <v>779</v>
      </c>
      <c r="E85" s="135" t="s">
        <v>780</v>
      </c>
      <c r="F85" s="135" t="s">
        <v>4</v>
      </c>
      <c r="G85" s="135" t="s">
        <v>781</v>
      </c>
      <c r="H85" s="135" t="s">
        <v>4</v>
      </c>
      <c r="I85" s="135" t="s">
        <v>782</v>
      </c>
      <c r="J85" s="135" t="s">
        <v>783</v>
      </c>
      <c r="K85" s="135" t="s">
        <v>183</v>
      </c>
      <c r="L85" s="135" t="s">
        <v>1</v>
      </c>
      <c r="M85" s="135" t="s">
        <v>1</v>
      </c>
      <c r="N85" s="135" t="s">
        <v>655</v>
      </c>
      <c r="O85" s="135" t="s">
        <v>784</v>
      </c>
      <c r="P85" s="135" t="s">
        <v>785</v>
      </c>
      <c r="Q85" s="135" t="s">
        <v>90</v>
      </c>
      <c r="R85" s="135" t="s">
        <v>786</v>
      </c>
      <c r="S85" s="135" t="s">
        <v>95</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787</v>
      </c>
      <c r="B86" s="135" t="s">
        <v>758</v>
      </c>
      <c r="C86" s="256" t="s">
        <v>41</v>
      </c>
      <c r="D86" s="135" t="s">
        <v>788</v>
      </c>
      <c r="E86" s="135" t="s">
        <v>789</v>
      </c>
      <c r="F86" s="135" t="s">
        <v>4</v>
      </c>
      <c r="G86" s="135" t="s">
        <v>790</v>
      </c>
      <c r="H86" s="135" t="s">
        <v>4</v>
      </c>
      <c r="I86" s="135" t="s">
        <v>791</v>
      </c>
      <c r="J86" s="135" t="s">
        <v>792</v>
      </c>
      <c r="K86" s="135" t="s">
        <v>90</v>
      </c>
      <c r="L86" s="135" t="s">
        <v>1</v>
      </c>
      <c r="M86" s="135" t="s">
        <v>1</v>
      </c>
      <c r="N86" s="135" t="s">
        <v>655</v>
      </c>
      <c r="O86" s="135" t="s">
        <v>793</v>
      </c>
      <c r="P86" s="135" t="s">
        <v>794</v>
      </c>
      <c r="Q86" s="135" t="s">
        <v>183</v>
      </c>
      <c r="R86" s="135" t="s">
        <v>795</v>
      </c>
      <c r="S86" s="135" t="s">
        <v>95</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796</v>
      </c>
      <c r="B87" s="135" t="s">
        <v>797</v>
      </c>
      <c r="C87" s="256" t="s">
        <v>41</v>
      </c>
      <c r="D87" s="135" t="s">
        <v>349</v>
      </c>
      <c r="E87" s="135" t="s">
        <v>798</v>
      </c>
      <c r="F87" s="135" t="s">
        <v>4</v>
      </c>
      <c r="G87" s="135" t="s">
        <v>4</v>
      </c>
      <c r="H87" s="135" t="s">
        <v>4</v>
      </c>
      <c r="I87" s="135" t="s">
        <v>4</v>
      </c>
      <c r="J87" s="135" t="s">
        <v>799</v>
      </c>
      <c r="K87" s="135" t="s">
        <v>800</v>
      </c>
      <c r="L87" s="135" t="s">
        <v>1</v>
      </c>
      <c r="M87" s="135" t="s">
        <v>1</v>
      </c>
      <c r="N87" s="135" t="s">
        <v>590</v>
      </c>
      <c r="O87" s="135" t="s">
        <v>801</v>
      </c>
      <c r="P87" s="135" t="s">
        <v>802</v>
      </c>
      <c r="Q87" s="135" t="s">
        <v>90</v>
      </c>
      <c r="R87" s="135" t="s">
        <v>803</v>
      </c>
      <c r="S87" s="135" t="s">
        <v>495</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804</v>
      </c>
      <c r="B88" s="135" t="s">
        <v>254</v>
      </c>
      <c r="C88" s="256" t="s">
        <v>41</v>
      </c>
      <c r="D88" s="135" t="s">
        <v>805</v>
      </c>
      <c r="E88" s="135" t="s">
        <v>806</v>
      </c>
      <c r="F88" s="135" t="s">
        <v>4</v>
      </c>
      <c r="G88" s="135" t="s">
        <v>807</v>
      </c>
      <c r="H88" s="135" t="s">
        <v>4</v>
      </c>
      <c r="I88" s="135" t="s">
        <v>808</v>
      </c>
      <c r="J88" s="135" t="s">
        <v>809</v>
      </c>
      <c r="K88" s="135" t="s">
        <v>261</v>
      </c>
      <c r="L88" s="135" t="s">
        <v>1</v>
      </c>
      <c r="M88" s="135" t="s">
        <v>1</v>
      </c>
      <c r="N88" s="135" t="s">
        <v>471</v>
      </c>
      <c r="O88" s="135" t="s">
        <v>810</v>
      </c>
      <c r="P88" s="135" t="s">
        <v>811</v>
      </c>
      <c r="Q88" s="135" t="s">
        <v>90</v>
      </c>
      <c r="R88" s="135" t="s">
        <v>812</v>
      </c>
      <c r="S88" s="135" t="s">
        <v>813</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814</v>
      </c>
      <c r="B89" s="135" t="s">
        <v>268</v>
      </c>
      <c r="C89" s="256" t="s">
        <v>41</v>
      </c>
      <c r="D89" s="135" t="s">
        <v>815</v>
      </c>
      <c r="E89" s="135" t="s">
        <v>816</v>
      </c>
      <c r="F89" s="135" t="s">
        <v>817</v>
      </c>
      <c r="G89" s="135" t="s">
        <v>818</v>
      </c>
      <c r="H89" s="135" t="s">
        <v>819</v>
      </c>
      <c r="I89" s="135" t="s">
        <v>8</v>
      </c>
      <c r="J89" s="135" t="s">
        <v>820</v>
      </c>
      <c r="K89" s="135" t="s">
        <v>356</v>
      </c>
      <c r="L89" s="135" t="s">
        <v>1</v>
      </c>
      <c r="M89" s="135" t="s">
        <v>1</v>
      </c>
      <c r="N89" s="135" t="s">
        <v>357</v>
      </c>
      <c r="O89" s="135" t="s">
        <v>821</v>
      </c>
      <c r="P89" s="135" t="s">
        <v>822</v>
      </c>
      <c r="Q89" s="135" t="s">
        <v>90</v>
      </c>
      <c r="R89" s="135" t="s">
        <v>823</v>
      </c>
      <c r="S89" s="135" t="s">
        <v>824</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825</v>
      </c>
      <c r="B90" s="135" t="s">
        <v>826</v>
      </c>
      <c r="C90" s="256" t="s">
        <v>41</v>
      </c>
      <c r="D90" s="135" t="s">
        <v>68</v>
      </c>
      <c r="E90" s="135" t="s">
        <v>827</v>
      </c>
      <c r="F90" s="135" t="s">
        <v>828</v>
      </c>
      <c r="G90" s="135" t="s">
        <v>829</v>
      </c>
      <c r="H90" s="135" t="s">
        <v>819</v>
      </c>
      <c r="I90" s="135" t="s">
        <v>830</v>
      </c>
      <c r="J90" s="135" t="s">
        <v>831</v>
      </c>
      <c r="K90" s="135" t="s">
        <v>356</v>
      </c>
      <c r="L90" s="135" t="s">
        <v>1</v>
      </c>
      <c r="M90" s="135" t="s">
        <v>1</v>
      </c>
      <c r="N90" s="135" t="s">
        <v>357</v>
      </c>
      <c r="O90" s="135" t="s">
        <v>832</v>
      </c>
      <c r="P90" s="135" t="s">
        <v>833</v>
      </c>
      <c r="Q90" s="135" t="s">
        <v>90</v>
      </c>
      <c r="R90" s="135" t="s">
        <v>834</v>
      </c>
      <c r="S90" s="135" t="s">
        <v>523</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835</v>
      </c>
      <c r="B91" s="135" t="s">
        <v>348</v>
      </c>
      <c r="C91" s="256" t="s">
        <v>41</v>
      </c>
      <c r="D91" s="135" t="s">
        <v>836</v>
      </c>
      <c r="E91" s="135" t="s">
        <v>837</v>
      </c>
      <c r="F91" s="135" t="s">
        <v>838</v>
      </c>
      <c r="G91" s="135" t="s">
        <v>839</v>
      </c>
      <c r="H91" s="135" t="s">
        <v>4</v>
      </c>
      <c r="I91" s="135" t="s">
        <v>840</v>
      </c>
      <c r="J91" s="135" t="s">
        <v>841</v>
      </c>
      <c r="K91" s="135" t="s">
        <v>183</v>
      </c>
      <c r="L91" s="135" t="s">
        <v>90</v>
      </c>
      <c r="M91" s="135" t="s">
        <v>842</v>
      </c>
      <c r="N91" s="135" t="s">
        <v>644</v>
      </c>
      <c r="O91" s="135" t="s">
        <v>843</v>
      </c>
      <c r="P91" s="135" t="s">
        <v>844</v>
      </c>
      <c r="Q91" s="135" t="s">
        <v>90</v>
      </c>
      <c r="R91" s="135" t="s">
        <v>845</v>
      </c>
      <c r="S91" s="135" t="s">
        <v>95</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846</v>
      </c>
      <c r="B92" s="135" t="s">
        <v>106</v>
      </c>
      <c r="C92" s="256" t="s">
        <v>41</v>
      </c>
      <c r="D92" s="135" t="s">
        <v>847</v>
      </c>
      <c r="E92" s="135" t="s">
        <v>848</v>
      </c>
      <c r="F92" s="135" t="s">
        <v>4</v>
      </c>
      <c r="G92" s="135" t="s">
        <v>849</v>
      </c>
      <c r="H92" s="135" t="s">
        <v>4</v>
      </c>
      <c r="I92" s="135" t="s">
        <v>850</v>
      </c>
      <c r="J92" s="135" t="s">
        <v>851</v>
      </c>
      <c r="K92" s="135" t="s">
        <v>90</v>
      </c>
      <c r="L92" s="135" t="s">
        <v>90</v>
      </c>
      <c r="M92" s="135" t="s">
        <v>101</v>
      </c>
      <c r="N92" s="135" t="s">
        <v>111</v>
      </c>
      <c r="O92" s="135" t="s">
        <v>852</v>
      </c>
      <c r="P92" s="135" t="s">
        <v>853</v>
      </c>
      <c r="Q92" s="135" t="s">
        <v>90</v>
      </c>
      <c r="R92" s="135" t="s">
        <v>854</v>
      </c>
      <c r="S92" s="135" t="s">
        <v>855</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856</v>
      </c>
      <c r="B93" s="135" t="s">
        <v>106</v>
      </c>
      <c r="C93" s="256" t="s">
        <v>41</v>
      </c>
      <c r="D93" s="135" t="s">
        <v>857</v>
      </c>
      <c r="E93" s="135" t="s">
        <v>858</v>
      </c>
      <c r="F93" s="135" t="s">
        <v>4</v>
      </c>
      <c r="G93" s="135" t="s">
        <v>4</v>
      </c>
      <c r="H93" s="135" t="s">
        <v>4</v>
      </c>
      <c r="I93" s="135" t="s">
        <v>4</v>
      </c>
      <c r="J93" s="135" t="s">
        <v>859</v>
      </c>
      <c r="K93" s="135" t="s">
        <v>90</v>
      </c>
      <c r="L93" s="135" t="s">
        <v>90</v>
      </c>
      <c r="M93" s="135" t="s">
        <v>90</v>
      </c>
      <c r="N93" s="135" t="s">
        <v>121</v>
      </c>
      <c r="O93" s="135" t="s">
        <v>860</v>
      </c>
      <c r="P93" s="135" t="s">
        <v>861</v>
      </c>
      <c r="Q93" s="135" t="s">
        <v>90</v>
      </c>
      <c r="R93" s="135" t="s">
        <v>862</v>
      </c>
      <c r="S93" s="135" t="s">
        <v>863</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864</v>
      </c>
      <c r="B94" s="135" t="s">
        <v>865</v>
      </c>
      <c r="C94" s="256" t="s">
        <v>41</v>
      </c>
      <c r="D94" s="135" t="s">
        <v>866</v>
      </c>
      <c r="E94" s="135" t="s">
        <v>867</v>
      </c>
      <c r="F94" s="135" t="s">
        <v>1</v>
      </c>
      <c r="G94" s="135" t="s">
        <v>1</v>
      </c>
      <c r="H94" s="135" t="s">
        <v>1</v>
      </c>
      <c r="I94" s="135" t="s">
        <v>868</v>
      </c>
      <c r="J94" s="135" t="s">
        <v>869</v>
      </c>
      <c r="K94" s="135" t="s">
        <v>870</v>
      </c>
      <c r="L94" s="135" t="s">
        <v>90</v>
      </c>
      <c r="M94" s="135" t="s">
        <v>871</v>
      </c>
      <c r="N94" s="135" t="s">
        <v>872</v>
      </c>
      <c r="O94" s="135" t="s">
        <v>873</v>
      </c>
      <c r="P94" s="135" t="s">
        <v>874</v>
      </c>
      <c r="Q94" s="135" t="s">
        <v>90</v>
      </c>
      <c r="R94" s="135" t="s">
        <v>875</v>
      </c>
      <c r="S94" s="135" t="s">
        <v>150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8" t="s">
        <v>876</v>
      </c>
      <c r="B95" s="138" t="s">
        <v>144</v>
      </c>
      <c r="C95" s="256" t="s">
        <v>41</v>
      </c>
      <c r="D95" s="138" t="s">
        <v>877</v>
      </c>
      <c r="E95" s="138" t="s">
        <v>878</v>
      </c>
      <c r="F95" s="138" t="s">
        <v>1</v>
      </c>
      <c r="G95" s="138" t="s">
        <v>1</v>
      </c>
      <c r="H95" s="138" t="s">
        <v>1</v>
      </c>
      <c r="I95" s="138" t="s">
        <v>1</v>
      </c>
      <c r="J95" s="138" t="s">
        <v>1</v>
      </c>
      <c r="K95" s="138" t="s">
        <v>101</v>
      </c>
      <c r="L95" s="138" t="s">
        <v>101</v>
      </c>
      <c r="M95" s="138" t="s">
        <v>101</v>
      </c>
      <c r="N95" s="138" t="s">
        <v>1</v>
      </c>
      <c r="O95" s="138" t="s">
        <v>147</v>
      </c>
      <c r="P95" s="138" t="s">
        <v>879</v>
      </c>
      <c r="Q95" s="138" t="s">
        <v>101</v>
      </c>
      <c r="R95" s="138" t="s">
        <v>149</v>
      </c>
      <c r="S95" s="138" t="s">
        <v>150</v>
      </c>
      <c r="T95" s="138" t="s">
        <v>151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Not started</v>
      </c>
      <c r="V95" s="146">
        <f>IF(T95="","",VALUE(LEFT(T95,SEARCH("/",T95)-1)))</f>
        <v>10</v>
      </c>
      <c r="W95" s="146">
        <f>IF(T95="","",VALUE(MID(T95,SEARCH("/",T95)+1,LEN(T95))))</f>
        <v>25</v>
      </c>
    </row>
    <row r="96" customFormat="false" ht="15" hidden="false" customHeight="false" outlineLevel="0" collapsed="false">
      <c r="A96" s="138" t="s">
        <v>880</v>
      </c>
      <c r="B96" s="138" t="s">
        <v>144</v>
      </c>
      <c r="C96" s="256" t="s">
        <v>41</v>
      </c>
      <c r="D96" s="138" t="s">
        <v>881</v>
      </c>
      <c r="E96" s="138" t="s">
        <v>882</v>
      </c>
      <c r="F96" s="138" t="s">
        <v>1</v>
      </c>
      <c r="G96" s="138" t="s">
        <v>1</v>
      </c>
      <c r="H96" s="138" t="s">
        <v>1</v>
      </c>
      <c r="I96" s="138" t="s">
        <v>1</v>
      </c>
      <c r="J96" s="138" t="s">
        <v>1</v>
      </c>
      <c r="K96" s="138" t="s">
        <v>101</v>
      </c>
      <c r="L96" s="138" t="s">
        <v>101</v>
      </c>
      <c r="M96" s="138" t="s">
        <v>101</v>
      </c>
      <c r="N96" s="138" t="s">
        <v>1</v>
      </c>
      <c r="O96" s="138" t="s">
        <v>147</v>
      </c>
      <c r="P96" s="138" t="s">
        <v>883</v>
      </c>
      <c r="Q96" s="138" t="s">
        <v>101</v>
      </c>
      <c r="R96" s="138" t="s">
        <v>149</v>
      </c>
      <c r="S96" s="138" t="s">
        <v>150</v>
      </c>
      <c r="T96" s="138" t="s">
        <v>151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Not started</v>
      </c>
      <c r="V96" s="146">
        <f>IF(T96="","",VALUE(LEFT(T96,SEARCH("/",T96)-1)))</f>
        <v>10</v>
      </c>
      <c r="W96" s="146">
        <f>IF(T96="","",VALUE(MID(T96,SEARCH("/",T96)+1,LEN(T96))))</f>
        <v>25</v>
      </c>
    </row>
    <row r="97" customFormat="false" ht="15" hidden="false" customHeight="false" outlineLevel="0" collapsed="false">
      <c r="A97" s="135" t="s">
        <v>884</v>
      </c>
      <c r="B97" s="135" t="s">
        <v>348</v>
      </c>
      <c r="C97" s="257" t="s">
        <v>47</v>
      </c>
      <c r="D97" s="135" t="s">
        <v>47</v>
      </c>
      <c r="E97" s="135" t="s">
        <v>885</v>
      </c>
      <c r="F97" s="135" t="s">
        <v>886</v>
      </c>
      <c r="G97" s="135" t="s">
        <v>887</v>
      </c>
      <c r="H97" s="135" t="s">
        <v>689</v>
      </c>
      <c r="I97" s="135" t="s">
        <v>888</v>
      </c>
      <c r="J97" s="135" t="s">
        <v>889</v>
      </c>
      <c r="K97" s="135" t="s">
        <v>890</v>
      </c>
      <c r="L97" s="135" t="s">
        <v>1</v>
      </c>
      <c r="M97" s="135" t="s">
        <v>1</v>
      </c>
      <c r="N97" s="135" t="s">
        <v>249</v>
      </c>
      <c r="O97" s="135" t="s">
        <v>891</v>
      </c>
      <c r="P97" s="135" t="s">
        <v>892</v>
      </c>
      <c r="Q97" s="135" t="s">
        <v>90</v>
      </c>
      <c r="R97" s="135" t="s">
        <v>893</v>
      </c>
      <c r="S97" s="135" t="s">
        <v>382</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894</v>
      </c>
      <c r="B98" s="135" t="s">
        <v>348</v>
      </c>
      <c r="C98" s="257" t="s">
        <v>47</v>
      </c>
      <c r="D98" s="135" t="s">
        <v>47</v>
      </c>
      <c r="E98" s="135" t="s">
        <v>895</v>
      </c>
      <c r="F98" s="135" t="s">
        <v>408</v>
      </c>
      <c r="G98" s="135" t="s">
        <v>896</v>
      </c>
      <c r="H98" s="135" t="s">
        <v>897</v>
      </c>
      <c r="I98" s="135" t="s">
        <v>898</v>
      </c>
      <c r="J98" s="135" t="s">
        <v>899</v>
      </c>
      <c r="K98" s="135" t="s">
        <v>183</v>
      </c>
      <c r="L98" s="135" t="s">
        <v>1</v>
      </c>
      <c r="M98" s="135" t="s">
        <v>1</v>
      </c>
      <c r="N98" s="135" t="s">
        <v>249</v>
      </c>
      <c r="O98" s="135" t="s">
        <v>900</v>
      </c>
      <c r="P98" s="135" t="s">
        <v>901</v>
      </c>
      <c r="Q98" s="135" t="s">
        <v>90</v>
      </c>
      <c r="R98" s="135" t="s">
        <v>902</v>
      </c>
      <c r="S98" s="135" t="s">
        <v>495</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903</v>
      </c>
      <c r="B99" s="135" t="s">
        <v>348</v>
      </c>
      <c r="C99" s="257" t="s">
        <v>47</v>
      </c>
      <c r="D99" s="135" t="s">
        <v>47</v>
      </c>
      <c r="E99" s="135" t="s">
        <v>904</v>
      </c>
      <c r="F99" s="135" t="s">
        <v>905</v>
      </c>
      <c r="G99" s="135" t="s">
        <v>906</v>
      </c>
      <c r="H99" s="135" t="s">
        <v>907</v>
      </c>
      <c r="I99" s="135" t="s">
        <v>908</v>
      </c>
      <c r="J99" s="135" t="s">
        <v>909</v>
      </c>
      <c r="K99" s="135" t="s">
        <v>183</v>
      </c>
      <c r="L99" s="135" t="s">
        <v>1</v>
      </c>
      <c r="M99" s="135" t="s">
        <v>1</v>
      </c>
      <c r="N99" s="135" t="s">
        <v>249</v>
      </c>
      <c r="O99" s="135" t="s">
        <v>910</v>
      </c>
      <c r="P99" s="135" t="s">
        <v>911</v>
      </c>
      <c r="Q99" s="135" t="s">
        <v>90</v>
      </c>
      <c r="R99" s="135" t="s">
        <v>912</v>
      </c>
      <c r="S99" s="135" t="s">
        <v>210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913</v>
      </c>
      <c r="B100" s="135" t="s">
        <v>914</v>
      </c>
      <c r="C100" s="257" t="s">
        <v>47</v>
      </c>
      <c r="D100" s="135" t="s">
        <v>915</v>
      </c>
      <c r="E100" s="135" t="s">
        <v>916</v>
      </c>
      <c r="F100" s="135" t="s">
        <v>917</v>
      </c>
      <c r="G100" s="135" t="s">
        <v>918</v>
      </c>
      <c r="H100" s="135" t="s">
        <v>4</v>
      </c>
      <c r="I100" s="135" t="s">
        <v>919</v>
      </c>
      <c r="J100" s="135" t="s">
        <v>920</v>
      </c>
      <c r="K100" s="135" t="s">
        <v>183</v>
      </c>
      <c r="L100" s="135" t="s">
        <v>1</v>
      </c>
      <c r="M100" s="135" t="s">
        <v>1</v>
      </c>
      <c r="N100" s="135" t="s">
        <v>921</v>
      </c>
      <c r="O100" s="135" t="s">
        <v>922</v>
      </c>
      <c r="P100" s="135" t="s">
        <v>923</v>
      </c>
      <c r="Q100" s="135" t="s">
        <v>90</v>
      </c>
      <c r="R100" s="135" t="s">
        <v>924</v>
      </c>
      <c r="S100" s="135" t="s">
        <v>346</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925</v>
      </c>
      <c r="B101" s="135" t="s">
        <v>914</v>
      </c>
      <c r="C101" s="257" t="s">
        <v>47</v>
      </c>
      <c r="D101" s="135" t="s">
        <v>926</v>
      </c>
      <c r="E101" s="135" t="s">
        <v>927</v>
      </c>
      <c r="F101" s="135" t="s">
        <v>928</v>
      </c>
      <c r="G101" s="135" t="s">
        <v>929</v>
      </c>
      <c r="H101" s="135" t="s">
        <v>4</v>
      </c>
      <c r="I101" s="135" t="s">
        <v>4</v>
      </c>
      <c r="J101" s="135" t="s">
        <v>930</v>
      </c>
      <c r="K101" s="135" t="s">
        <v>183</v>
      </c>
      <c r="L101" s="135" t="s">
        <v>1</v>
      </c>
      <c r="M101" s="135" t="s">
        <v>1</v>
      </c>
      <c r="N101" s="135" t="s">
        <v>921</v>
      </c>
      <c r="O101" s="135" t="s">
        <v>931</v>
      </c>
      <c r="P101" s="135" t="s">
        <v>932</v>
      </c>
      <c r="Q101" s="135" t="s">
        <v>90</v>
      </c>
      <c r="R101" s="135" t="s">
        <v>933</v>
      </c>
      <c r="S101" s="135" t="s">
        <v>210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934</v>
      </c>
      <c r="B102" s="135" t="s">
        <v>914</v>
      </c>
      <c r="C102" s="257" t="s">
        <v>47</v>
      </c>
      <c r="D102" s="135" t="s">
        <v>935</v>
      </c>
      <c r="E102" s="135" t="s">
        <v>936</v>
      </c>
      <c r="F102" s="135" t="s">
        <v>937</v>
      </c>
      <c r="G102" s="135" t="s">
        <v>938</v>
      </c>
      <c r="H102" s="135" t="s">
        <v>4</v>
      </c>
      <c r="I102" s="135" t="s">
        <v>4</v>
      </c>
      <c r="J102" s="135" t="s">
        <v>939</v>
      </c>
      <c r="K102" s="135" t="s">
        <v>183</v>
      </c>
      <c r="L102" s="135" t="s">
        <v>1</v>
      </c>
      <c r="M102" s="135" t="s">
        <v>1</v>
      </c>
      <c r="N102" s="135" t="s">
        <v>921</v>
      </c>
      <c r="O102" s="135" t="s">
        <v>940</v>
      </c>
      <c r="P102" s="135" t="s">
        <v>941</v>
      </c>
      <c r="Q102" s="135" t="s">
        <v>90</v>
      </c>
      <c r="R102" s="135" t="s">
        <v>942</v>
      </c>
      <c r="S102" s="135" t="s">
        <v>943</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944</v>
      </c>
      <c r="B103" s="135" t="s">
        <v>914</v>
      </c>
      <c r="C103" s="257" t="s">
        <v>47</v>
      </c>
      <c r="D103" s="135" t="s">
        <v>945</v>
      </c>
      <c r="E103" s="135" t="s">
        <v>946</v>
      </c>
      <c r="F103" s="135" t="s">
        <v>947</v>
      </c>
      <c r="G103" s="135" t="s">
        <v>948</v>
      </c>
      <c r="H103" s="135" t="s">
        <v>4</v>
      </c>
      <c r="I103" s="135" t="s">
        <v>4</v>
      </c>
      <c r="J103" s="135" t="s">
        <v>949</v>
      </c>
      <c r="K103" s="135" t="s">
        <v>183</v>
      </c>
      <c r="L103" s="135" t="s">
        <v>4</v>
      </c>
      <c r="M103" s="135" t="s">
        <v>842</v>
      </c>
      <c r="N103" s="135" t="s">
        <v>950</v>
      </c>
      <c r="O103" s="135" t="s">
        <v>951</v>
      </c>
      <c r="P103" s="135" t="s">
        <v>952</v>
      </c>
      <c r="Q103" s="135" t="s">
        <v>90</v>
      </c>
      <c r="R103" s="135" t="s">
        <v>953</v>
      </c>
      <c r="S103" s="135" t="s">
        <v>95</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954</v>
      </c>
      <c r="B104" s="135" t="s">
        <v>914</v>
      </c>
      <c r="C104" s="257" t="s">
        <v>47</v>
      </c>
      <c r="D104" s="135" t="s">
        <v>955</v>
      </c>
      <c r="E104" s="135" t="s">
        <v>956</v>
      </c>
      <c r="F104" s="135" t="s">
        <v>957</v>
      </c>
      <c r="G104" s="135" t="s">
        <v>958</v>
      </c>
      <c r="H104" s="135" t="s">
        <v>4</v>
      </c>
      <c r="I104" s="135" t="s">
        <v>959</v>
      </c>
      <c r="J104" s="135" t="s">
        <v>960</v>
      </c>
      <c r="K104" s="135" t="s">
        <v>183</v>
      </c>
      <c r="L104" s="135" t="s">
        <v>4</v>
      </c>
      <c r="M104" s="135" t="s">
        <v>842</v>
      </c>
      <c r="N104" s="135" t="s">
        <v>950</v>
      </c>
      <c r="O104" s="135" t="s">
        <v>961</v>
      </c>
      <c r="P104" s="135" t="s">
        <v>962</v>
      </c>
      <c r="Q104" s="135" t="s">
        <v>90</v>
      </c>
      <c r="R104" s="135" t="s">
        <v>963</v>
      </c>
      <c r="S104" s="135" t="s">
        <v>95</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964</v>
      </c>
      <c r="B105" s="135" t="s">
        <v>914</v>
      </c>
      <c r="C105" s="257" t="s">
        <v>47</v>
      </c>
      <c r="D105" s="135" t="s">
        <v>965</v>
      </c>
      <c r="E105" s="135" t="s">
        <v>966</v>
      </c>
      <c r="F105" s="135" t="s">
        <v>4</v>
      </c>
      <c r="G105" s="135" t="s">
        <v>967</v>
      </c>
      <c r="H105" s="135" t="s">
        <v>4</v>
      </c>
      <c r="I105" s="135" t="s">
        <v>4</v>
      </c>
      <c r="J105" s="135" t="s">
        <v>968</v>
      </c>
      <c r="K105" s="135" t="s">
        <v>183</v>
      </c>
      <c r="L105" s="135" t="s">
        <v>4</v>
      </c>
      <c r="M105" s="135" t="s">
        <v>842</v>
      </c>
      <c r="N105" s="135" t="s">
        <v>950</v>
      </c>
      <c r="O105" s="135" t="s">
        <v>969</v>
      </c>
      <c r="P105" s="135" t="s">
        <v>970</v>
      </c>
      <c r="Q105" s="135" t="s">
        <v>90</v>
      </c>
      <c r="R105" s="135" t="s">
        <v>971</v>
      </c>
      <c r="S105" s="135" t="s">
        <v>95</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972</v>
      </c>
      <c r="B106" s="135" t="s">
        <v>973</v>
      </c>
      <c r="C106" s="257" t="s">
        <v>47</v>
      </c>
      <c r="D106" s="135" t="s">
        <v>974</v>
      </c>
      <c r="E106" s="135" t="s">
        <v>975</v>
      </c>
      <c r="F106" s="135" t="s">
        <v>976</v>
      </c>
      <c r="G106" s="135" t="s">
        <v>977</v>
      </c>
      <c r="H106" s="135" t="s">
        <v>978</v>
      </c>
      <c r="I106" s="135" t="s">
        <v>979</v>
      </c>
      <c r="J106" s="135" t="s">
        <v>980</v>
      </c>
      <c r="K106" s="135" t="s">
        <v>981</v>
      </c>
      <c r="L106" s="135" t="s">
        <v>1</v>
      </c>
      <c r="M106" s="135" t="s">
        <v>1</v>
      </c>
      <c r="N106" s="135" t="s">
        <v>982</v>
      </c>
      <c r="O106" s="135" t="s">
        <v>983</v>
      </c>
      <c r="P106" s="135" t="s">
        <v>984</v>
      </c>
      <c r="Q106" s="135" t="s">
        <v>90</v>
      </c>
      <c r="R106" s="135" t="s">
        <v>985</v>
      </c>
      <c r="S106" s="135" t="s">
        <v>95</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986</v>
      </c>
      <c r="B107" s="135" t="s">
        <v>973</v>
      </c>
      <c r="C107" s="257" t="s">
        <v>47</v>
      </c>
      <c r="D107" s="135" t="s">
        <v>987</v>
      </c>
      <c r="E107" s="135" t="s">
        <v>988</v>
      </c>
      <c r="F107" s="135" t="s">
        <v>989</v>
      </c>
      <c r="G107" s="135" t="s">
        <v>990</v>
      </c>
      <c r="H107" s="135" t="s">
        <v>4</v>
      </c>
      <c r="I107" s="135" t="s">
        <v>4</v>
      </c>
      <c r="J107" s="135" t="s">
        <v>991</v>
      </c>
      <c r="K107" s="135" t="s">
        <v>183</v>
      </c>
      <c r="L107" s="135" t="s">
        <v>90</v>
      </c>
      <c r="M107" s="135" t="s">
        <v>992</v>
      </c>
      <c r="N107" s="135" t="s">
        <v>184</v>
      </c>
      <c r="O107" s="135" t="s">
        <v>993</v>
      </c>
      <c r="P107" s="135" t="s">
        <v>994</v>
      </c>
      <c r="Q107" s="135" t="s">
        <v>90</v>
      </c>
      <c r="R107" s="135" t="s">
        <v>995</v>
      </c>
      <c r="S107" s="135" t="s">
        <v>95</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996</v>
      </c>
      <c r="B108" s="135" t="s">
        <v>973</v>
      </c>
      <c r="C108" s="257" t="s">
        <v>47</v>
      </c>
      <c r="D108" s="135" t="s">
        <v>997</v>
      </c>
      <c r="E108" s="135" t="s">
        <v>998</v>
      </c>
      <c r="F108" s="135" t="s">
        <v>989</v>
      </c>
      <c r="G108" s="135" t="s">
        <v>999</v>
      </c>
      <c r="H108" s="135" t="s">
        <v>4</v>
      </c>
      <c r="I108" s="135" t="s">
        <v>4</v>
      </c>
      <c r="J108" s="135" t="s">
        <v>1000</v>
      </c>
      <c r="K108" s="135" t="s">
        <v>183</v>
      </c>
      <c r="L108" s="135" t="s">
        <v>90</v>
      </c>
      <c r="M108" s="135" t="s">
        <v>992</v>
      </c>
      <c r="N108" s="135" t="s">
        <v>184</v>
      </c>
      <c r="O108" s="135" t="s">
        <v>1001</v>
      </c>
      <c r="P108" s="135" t="s">
        <v>1002</v>
      </c>
      <c r="Q108" s="135" t="s">
        <v>90</v>
      </c>
      <c r="R108" s="135" t="s">
        <v>1003</v>
      </c>
      <c r="S108" s="135" t="s">
        <v>95</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1004</v>
      </c>
      <c r="B109" s="135" t="s">
        <v>973</v>
      </c>
      <c r="C109" s="257" t="s">
        <v>47</v>
      </c>
      <c r="D109" s="135" t="s">
        <v>1005</v>
      </c>
      <c r="E109" s="135" t="s">
        <v>1006</v>
      </c>
      <c r="F109" s="135" t="s">
        <v>1007</v>
      </c>
      <c r="G109" s="135" t="s">
        <v>1008</v>
      </c>
      <c r="H109" s="135" t="s">
        <v>4</v>
      </c>
      <c r="I109" s="135" t="s">
        <v>1009</v>
      </c>
      <c r="J109" s="135" t="s">
        <v>1010</v>
      </c>
      <c r="K109" s="135" t="s">
        <v>183</v>
      </c>
      <c r="L109" s="135" t="s">
        <v>1</v>
      </c>
      <c r="M109" s="135" t="s">
        <v>1</v>
      </c>
      <c r="N109" s="135" t="s">
        <v>184</v>
      </c>
      <c r="O109" s="135" t="s">
        <v>1011</v>
      </c>
      <c r="P109" s="135" t="s">
        <v>1012</v>
      </c>
      <c r="Q109" s="135" t="s">
        <v>90</v>
      </c>
      <c r="R109" s="135" t="s">
        <v>1013</v>
      </c>
      <c r="S109" s="135" t="s">
        <v>95</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1014</v>
      </c>
      <c r="B110" s="135" t="s">
        <v>973</v>
      </c>
      <c r="C110" s="257" t="s">
        <v>47</v>
      </c>
      <c r="D110" s="135" t="s">
        <v>1015</v>
      </c>
      <c r="E110" s="135" t="s">
        <v>1016</v>
      </c>
      <c r="F110" s="135" t="s">
        <v>1017</v>
      </c>
      <c r="G110" s="135" t="s">
        <v>1018</v>
      </c>
      <c r="H110" s="135" t="s">
        <v>4</v>
      </c>
      <c r="I110" s="135" t="s">
        <v>1019</v>
      </c>
      <c r="J110" s="135" t="s">
        <v>1020</v>
      </c>
      <c r="K110" s="135" t="s">
        <v>183</v>
      </c>
      <c r="L110" s="135" t="s">
        <v>90</v>
      </c>
      <c r="M110" s="135" t="s">
        <v>992</v>
      </c>
      <c r="N110" s="135" t="s">
        <v>184</v>
      </c>
      <c r="O110" s="135" t="s">
        <v>1021</v>
      </c>
      <c r="P110" s="135" t="s">
        <v>1022</v>
      </c>
      <c r="Q110" s="135" t="s">
        <v>90</v>
      </c>
      <c r="R110" s="135" t="s">
        <v>1023</v>
      </c>
      <c r="S110" s="135" t="s">
        <v>210</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1024</v>
      </c>
      <c r="B111" s="135" t="s">
        <v>268</v>
      </c>
      <c r="C111" s="257" t="s">
        <v>47</v>
      </c>
      <c r="D111" s="135" t="s">
        <v>1025</v>
      </c>
      <c r="E111" s="135" t="s">
        <v>1026</v>
      </c>
      <c r="F111" s="135" t="s">
        <v>4</v>
      </c>
      <c r="G111" s="135" t="s">
        <v>1027</v>
      </c>
      <c r="H111" s="135" t="s">
        <v>4</v>
      </c>
      <c r="I111" s="135" t="s">
        <v>8</v>
      </c>
      <c r="J111" s="135" t="s">
        <v>1028</v>
      </c>
      <c r="K111" s="135" t="s">
        <v>183</v>
      </c>
      <c r="L111" s="135" t="s">
        <v>90</v>
      </c>
      <c r="M111" s="135" t="s">
        <v>992</v>
      </c>
      <c r="N111" s="135" t="s">
        <v>184</v>
      </c>
      <c r="O111" s="135" t="s">
        <v>1029</v>
      </c>
      <c r="P111" s="135" t="s">
        <v>1030</v>
      </c>
      <c r="Q111" s="135" t="s">
        <v>90</v>
      </c>
      <c r="R111" s="135" t="s">
        <v>1031</v>
      </c>
      <c r="S111" s="135" t="s">
        <v>125</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8" t="s">
        <v>1032</v>
      </c>
      <c r="B112" s="138" t="s">
        <v>144</v>
      </c>
      <c r="C112" s="257" t="s">
        <v>47</v>
      </c>
      <c r="D112" s="138" t="s">
        <v>1033</v>
      </c>
      <c r="E112" s="138" t="s">
        <v>1034</v>
      </c>
      <c r="F112" s="138" t="s">
        <v>1</v>
      </c>
      <c r="G112" s="138" t="s">
        <v>1</v>
      </c>
      <c r="H112" s="138" t="s">
        <v>1</v>
      </c>
      <c r="I112" s="138" t="s">
        <v>1</v>
      </c>
      <c r="J112" s="138" t="s">
        <v>1</v>
      </c>
      <c r="K112" s="138" t="s">
        <v>101</v>
      </c>
      <c r="L112" s="138" t="s">
        <v>101</v>
      </c>
      <c r="M112" s="138" t="s">
        <v>101</v>
      </c>
      <c r="N112" s="138" t="s">
        <v>1</v>
      </c>
      <c r="O112" s="138" t="s">
        <v>147</v>
      </c>
      <c r="P112" s="138" t="s">
        <v>1035</v>
      </c>
      <c r="Q112" s="138" t="s">
        <v>101</v>
      </c>
      <c r="R112" s="138" t="s">
        <v>149</v>
      </c>
      <c r="S112" s="138" t="s">
        <v>150</v>
      </c>
      <c r="T112" s="138" t="s">
        <v>151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Not started</v>
      </c>
      <c r="V112" s="146">
        <f>IF(T112="","",VALUE(LEFT(T112,SEARCH("/",T112)-1)))</f>
        <v>10</v>
      </c>
      <c r="W112" s="146">
        <f>IF(T112="","",VALUE(MID(T112,SEARCH("/",T112)+1,LEN(T112))))</f>
        <v>25</v>
      </c>
    </row>
    <row r="113" customFormat="false" ht="15" hidden="false" customHeight="false" outlineLevel="0" collapsed="false">
      <c r="A113" s="135" t="s">
        <v>1036</v>
      </c>
      <c r="B113" s="135" t="s">
        <v>348</v>
      </c>
      <c r="C113" s="258" t="s">
        <v>53</v>
      </c>
      <c r="D113" s="135" t="s">
        <v>1037</v>
      </c>
      <c r="E113" s="135" t="s">
        <v>1038</v>
      </c>
      <c r="F113" s="135" t="s">
        <v>1039</v>
      </c>
      <c r="G113" s="135" t="s">
        <v>1040</v>
      </c>
      <c r="H113" s="135" t="s">
        <v>4</v>
      </c>
      <c r="I113" s="135" t="s">
        <v>1041</v>
      </c>
      <c r="J113" s="135" t="s">
        <v>1042</v>
      </c>
      <c r="K113" s="135" t="s">
        <v>1043</v>
      </c>
      <c r="L113" s="135" t="s">
        <v>1</v>
      </c>
      <c r="M113" s="135" t="s">
        <v>1</v>
      </c>
      <c r="N113" s="135" t="s">
        <v>590</v>
      </c>
      <c r="O113" s="135" t="s">
        <v>1044</v>
      </c>
      <c r="P113" s="135" t="s">
        <v>1045</v>
      </c>
      <c r="Q113" s="135" t="s">
        <v>90</v>
      </c>
      <c r="R113" s="135" t="s">
        <v>1046</v>
      </c>
      <c r="S113" s="135" t="s">
        <v>95</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1047</v>
      </c>
      <c r="B114" s="135" t="s">
        <v>1048</v>
      </c>
      <c r="C114" s="258" t="s">
        <v>53</v>
      </c>
      <c r="D114" s="135" t="s">
        <v>1049</v>
      </c>
      <c r="E114" s="135" t="s">
        <v>1050</v>
      </c>
      <c r="F114" s="135" t="s">
        <v>1051</v>
      </c>
      <c r="G114" s="135" t="s">
        <v>1052</v>
      </c>
      <c r="H114" s="135" t="s">
        <v>4</v>
      </c>
      <c r="I114" s="135" t="s">
        <v>1053</v>
      </c>
      <c r="J114" s="135" t="s">
        <v>1054</v>
      </c>
      <c r="K114" s="135" t="s">
        <v>183</v>
      </c>
      <c r="L114" s="135" t="s">
        <v>90</v>
      </c>
      <c r="M114" s="135" t="s">
        <v>992</v>
      </c>
      <c r="N114" s="135" t="s">
        <v>184</v>
      </c>
      <c r="O114" s="135" t="s">
        <v>1055</v>
      </c>
      <c r="P114" s="135" t="s">
        <v>1056</v>
      </c>
      <c r="Q114" s="135" t="s">
        <v>90</v>
      </c>
      <c r="R114" s="135" t="s">
        <v>1057</v>
      </c>
      <c r="S114" s="135" t="s">
        <v>95</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1058</v>
      </c>
      <c r="B115" s="135" t="s">
        <v>1048</v>
      </c>
      <c r="C115" s="258" t="s">
        <v>53</v>
      </c>
      <c r="D115" s="135" t="s">
        <v>1059</v>
      </c>
      <c r="E115" s="135" t="s">
        <v>1060</v>
      </c>
      <c r="F115" s="135" t="s">
        <v>1061</v>
      </c>
      <c r="G115" s="135" t="s">
        <v>1062</v>
      </c>
      <c r="H115" s="135" t="s">
        <v>4</v>
      </c>
      <c r="I115" s="135" t="s">
        <v>4</v>
      </c>
      <c r="J115" s="135" t="s">
        <v>1063</v>
      </c>
      <c r="K115" s="135" t="s">
        <v>183</v>
      </c>
      <c r="L115" s="135" t="s">
        <v>90</v>
      </c>
      <c r="M115" s="135" t="s">
        <v>992</v>
      </c>
      <c r="N115" s="135" t="s">
        <v>184</v>
      </c>
      <c r="O115" s="135" t="s">
        <v>1064</v>
      </c>
      <c r="P115" s="135" t="s">
        <v>1065</v>
      </c>
      <c r="Q115" s="135" t="s">
        <v>90</v>
      </c>
      <c r="R115" s="135" t="s">
        <v>1066</v>
      </c>
      <c r="S115" s="135" t="s">
        <v>210</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1067</v>
      </c>
      <c r="B116" s="135" t="s">
        <v>1048</v>
      </c>
      <c r="C116" s="258" t="s">
        <v>53</v>
      </c>
      <c r="D116" s="135" t="s">
        <v>1068</v>
      </c>
      <c r="E116" s="135" t="s">
        <v>1069</v>
      </c>
      <c r="F116" s="135" t="s">
        <v>1070</v>
      </c>
      <c r="G116" s="135" t="s">
        <v>1071</v>
      </c>
      <c r="H116" s="135" t="s">
        <v>4</v>
      </c>
      <c r="I116" s="135" t="s">
        <v>4</v>
      </c>
      <c r="J116" s="135" t="s">
        <v>1072</v>
      </c>
      <c r="K116" s="135" t="s">
        <v>183</v>
      </c>
      <c r="L116" s="135" t="s">
        <v>90</v>
      </c>
      <c r="M116" s="135" t="s">
        <v>992</v>
      </c>
      <c r="N116" s="135" t="s">
        <v>184</v>
      </c>
      <c r="O116" s="135" t="s">
        <v>1073</v>
      </c>
      <c r="P116" s="135" t="s">
        <v>1074</v>
      </c>
      <c r="Q116" s="135" t="s">
        <v>90</v>
      </c>
      <c r="R116" s="135" t="s">
        <v>1075</v>
      </c>
      <c r="S116" s="135" t="s">
        <v>495</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1076</v>
      </c>
      <c r="B117" s="135" t="s">
        <v>1048</v>
      </c>
      <c r="C117" s="258" t="s">
        <v>53</v>
      </c>
      <c r="D117" s="135" t="s">
        <v>1077</v>
      </c>
      <c r="E117" s="135" t="s">
        <v>1078</v>
      </c>
      <c r="F117" s="135" t="s">
        <v>1079</v>
      </c>
      <c r="G117" s="135" t="s">
        <v>1080</v>
      </c>
      <c r="H117" s="135" t="s">
        <v>4</v>
      </c>
      <c r="I117" s="135" t="s">
        <v>4</v>
      </c>
      <c r="J117" s="135" t="s">
        <v>1081</v>
      </c>
      <c r="K117" s="135" t="s">
        <v>183</v>
      </c>
      <c r="L117" s="135" t="s">
        <v>90</v>
      </c>
      <c r="M117" s="135" t="s">
        <v>992</v>
      </c>
      <c r="N117" s="135" t="s">
        <v>184</v>
      </c>
      <c r="O117" s="135" t="s">
        <v>1082</v>
      </c>
      <c r="P117" s="135" t="s">
        <v>1083</v>
      </c>
      <c r="Q117" s="135" t="s">
        <v>90</v>
      </c>
      <c r="R117" s="135" t="s">
        <v>1084</v>
      </c>
      <c r="S117" s="135" t="s">
        <v>495</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1085</v>
      </c>
      <c r="B118" s="135" t="s">
        <v>826</v>
      </c>
      <c r="C118" s="258" t="s">
        <v>53</v>
      </c>
      <c r="D118" s="135" t="s">
        <v>68</v>
      </c>
      <c r="E118" s="135" t="s">
        <v>1086</v>
      </c>
      <c r="F118" s="135" t="s">
        <v>1087</v>
      </c>
      <c r="G118" s="135" t="s">
        <v>1088</v>
      </c>
      <c r="H118" s="135" t="s">
        <v>4</v>
      </c>
      <c r="I118" s="135" t="s">
        <v>1089</v>
      </c>
      <c r="J118" s="135" t="s">
        <v>1090</v>
      </c>
      <c r="K118" s="135" t="s">
        <v>356</v>
      </c>
      <c r="L118" s="135" t="s">
        <v>1</v>
      </c>
      <c r="M118" s="135" t="s">
        <v>1</v>
      </c>
      <c r="N118" s="135" t="s">
        <v>590</v>
      </c>
      <c r="O118" s="135" t="s">
        <v>1091</v>
      </c>
      <c r="P118" s="135" t="s">
        <v>1092</v>
      </c>
      <c r="Q118" s="135" t="s">
        <v>90</v>
      </c>
      <c r="R118" s="135" t="s">
        <v>1093</v>
      </c>
      <c r="S118" s="135" t="s">
        <v>1094</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8" t="s">
        <v>1095</v>
      </c>
      <c r="B119" s="138" t="s">
        <v>144</v>
      </c>
      <c r="C119" s="258" t="s">
        <v>53</v>
      </c>
      <c r="D119" s="138" t="s">
        <v>1096</v>
      </c>
      <c r="E119" s="138" t="s">
        <v>1097</v>
      </c>
      <c r="F119" s="138" t="s">
        <v>1</v>
      </c>
      <c r="G119" s="138" t="s">
        <v>1</v>
      </c>
      <c r="H119" s="138" t="s">
        <v>1</v>
      </c>
      <c r="I119" s="138" t="s">
        <v>1</v>
      </c>
      <c r="J119" s="138" t="s">
        <v>1</v>
      </c>
      <c r="K119" s="138" t="s">
        <v>101</v>
      </c>
      <c r="L119" s="138" t="s">
        <v>101</v>
      </c>
      <c r="M119" s="138" t="s">
        <v>101</v>
      </c>
      <c r="N119" s="138" t="s">
        <v>1</v>
      </c>
      <c r="O119" s="138" t="s">
        <v>147</v>
      </c>
      <c r="P119" s="138" t="s">
        <v>1098</v>
      </c>
      <c r="Q119" s="138" t="s">
        <v>101</v>
      </c>
      <c r="R119" s="138" t="s">
        <v>149</v>
      </c>
      <c r="S119" s="138" t="s">
        <v>150</v>
      </c>
      <c r="T119" s="138" t="s">
        <v>151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10</v>
      </c>
      <c r="W119" s="146">
        <f>IF(T119="","",VALUE(MID(T119,SEARCH("/",T119)+1,LEN(T119))))</f>
        <v>25</v>
      </c>
    </row>
    <row r="120" customFormat="false" ht="15" hidden="false" customHeight="false" outlineLevel="0" collapsed="false">
      <c r="A120" s="138" t="s">
        <v>1099</v>
      </c>
      <c r="B120" s="138" t="s">
        <v>144</v>
      </c>
      <c r="C120" s="258" t="s">
        <v>53</v>
      </c>
      <c r="D120" s="138" t="s">
        <v>1100</v>
      </c>
      <c r="E120" s="138" t="s">
        <v>1101</v>
      </c>
      <c r="F120" s="138" t="s">
        <v>1</v>
      </c>
      <c r="G120" s="138" t="s">
        <v>1</v>
      </c>
      <c r="H120" s="138" t="s">
        <v>1</v>
      </c>
      <c r="I120" s="138" t="s">
        <v>1</v>
      </c>
      <c r="J120" s="138" t="s">
        <v>1</v>
      </c>
      <c r="K120" s="138" t="s">
        <v>101</v>
      </c>
      <c r="L120" s="138" t="s">
        <v>101</v>
      </c>
      <c r="M120" s="138" t="s">
        <v>101</v>
      </c>
      <c r="N120" s="138" t="s">
        <v>1</v>
      </c>
      <c r="O120" s="138" t="s">
        <v>147</v>
      </c>
      <c r="P120" s="138" t="s">
        <v>1102</v>
      </c>
      <c r="Q120" s="138" t="s">
        <v>101</v>
      </c>
      <c r="R120" s="138" t="s">
        <v>1103</v>
      </c>
      <c r="S120" s="138" t="s">
        <v>150</v>
      </c>
      <c r="T120" s="138" t="s">
        <v>151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V120" s="146">
        <f>IF(T120="","",VALUE(LEFT(T120,SEARCH("/",T120)-1)))</f>
        <v>10</v>
      </c>
      <c r="W120" s="146">
        <f>IF(T120="","",VALUE(MID(T120,SEARCH("/",T120)+1,LEN(T120))))</f>
        <v>25</v>
      </c>
    </row>
    <row r="121" customFormat="false" ht="15" hidden="false" customHeight="false" outlineLevel="0" collapsed="false">
      <c r="A121" s="138" t="s">
        <v>1104</v>
      </c>
      <c r="B121" s="138" t="s">
        <v>1105</v>
      </c>
      <c r="C121" s="258" t="s">
        <v>53</v>
      </c>
      <c r="D121" s="138" t="s">
        <v>1106</v>
      </c>
      <c r="E121" s="138" t="s">
        <v>1107</v>
      </c>
      <c r="F121" s="138" t="s">
        <v>1108</v>
      </c>
      <c r="G121" s="138" t="s">
        <v>1109</v>
      </c>
      <c r="H121" s="138" t="s">
        <v>4</v>
      </c>
      <c r="I121" s="138" t="s">
        <v>4</v>
      </c>
      <c r="J121" s="138" t="s">
        <v>1110</v>
      </c>
      <c r="K121" s="138" t="s">
        <v>101</v>
      </c>
      <c r="L121" s="138" t="s">
        <v>101</v>
      </c>
      <c r="M121" s="138" t="s">
        <v>1111</v>
      </c>
      <c r="N121" s="138" t="s">
        <v>1</v>
      </c>
      <c r="O121" s="138" t="s">
        <v>1112</v>
      </c>
      <c r="P121" s="138" t="s">
        <v>1113</v>
      </c>
      <c r="Q121" s="138" t="s">
        <v>101</v>
      </c>
      <c r="R121" s="138" t="s">
        <v>1114</v>
      </c>
      <c r="S121" s="138" t="s">
        <v>150</v>
      </c>
      <c r="T121" s="138" t="s">
        <v>1115</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V121" s="146">
        <f>IF(T121="","",VALUE(LEFT(T121,SEARCH("/",T121)-1)))</f>
        <v>30</v>
      </c>
      <c r="W121" s="146">
        <f>IF(T121="","",VALUE(MID(T121,SEARCH("/",T121)+1,LEN(T121))))</f>
        <v>60</v>
      </c>
    </row>
    <row r="122" customFormat="false" ht="15" hidden="false" customHeight="false" outlineLevel="0" collapsed="false">
      <c r="A122" s="135" t="s">
        <v>1116</v>
      </c>
      <c r="B122" s="135" t="s">
        <v>973</v>
      </c>
      <c r="C122" s="259" t="s">
        <v>59</v>
      </c>
      <c r="D122" s="135" t="s">
        <v>1117</v>
      </c>
      <c r="E122" s="135" t="s">
        <v>1118</v>
      </c>
      <c r="F122" s="135" t="s">
        <v>1119</v>
      </c>
      <c r="G122" s="135" t="s">
        <v>1120</v>
      </c>
      <c r="H122" s="135" t="s">
        <v>4</v>
      </c>
      <c r="I122" s="135" t="s">
        <v>4</v>
      </c>
      <c r="J122" s="135" t="s">
        <v>1121</v>
      </c>
      <c r="K122" s="135" t="s">
        <v>183</v>
      </c>
      <c r="L122" s="135" t="s">
        <v>90</v>
      </c>
      <c r="M122" s="135" t="s">
        <v>1122</v>
      </c>
      <c r="N122" s="135" t="s">
        <v>1123</v>
      </c>
      <c r="O122" s="135" t="s">
        <v>1124</v>
      </c>
      <c r="P122" s="135" t="s">
        <v>1125</v>
      </c>
      <c r="Q122" s="135" t="s">
        <v>90</v>
      </c>
      <c r="R122" s="135" t="s">
        <v>1126</v>
      </c>
      <c r="S122" s="135" t="s">
        <v>210</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1127</v>
      </c>
      <c r="B123" s="135" t="s">
        <v>973</v>
      </c>
      <c r="C123" s="259" t="s">
        <v>59</v>
      </c>
      <c r="D123" s="135" t="s">
        <v>1128</v>
      </c>
      <c r="E123" s="135" t="s">
        <v>1129</v>
      </c>
      <c r="F123" s="135" t="s">
        <v>1130</v>
      </c>
      <c r="G123" s="135" t="s">
        <v>1131</v>
      </c>
      <c r="H123" s="135" t="s">
        <v>1132</v>
      </c>
      <c r="I123" s="135" t="s">
        <v>1133</v>
      </c>
      <c r="J123" s="135" t="s">
        <v>1134</v>
      </c>
      <c r="K123" s="135" t="s">
        <v>183</v>
      </c>
      <c r="L123" s="135" t="s">
        <v>90</v>
      </c>
      <c r="M123" s="135" t="s">
        <v>1122</v>
      </c>
      <c r="N123" s="135" t="s">
        <v>1123</v>
      </c>
      <c r="O123" s="135" t="s">
        <v>1135</v>
      </c>
      <c r="P123" s="135" t="s">
        <v>1136</v>
      </c>
      <c r="Q123" s="135" t="s">
        <v>90</v>
      </c>
      <c r="R123" s="135" t="s">
        <v>1137</v>
      </c>
      <c r="S123" s="135" t="s">
        <v>495</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1138</v>
      </c>
      <c r="B124" s="135" t="s">
        <v>254</v>
      </c>
      <c r="C124" s="259" t="s">
        <v>59</v>
      </c>
      <c r="D124" s="135" t="s">
        <v>1139</v>
      </c>
      <c r="E124" s="135" t="s">
        <v>1140</v>
      </c>
      <c r="F124" s="135" t="s">
        <v>1141</v>
      </c>
      <c r="G124" s="135" t="s">
        <v>1142</v>
      </c>
      <c r="H124" s="135" t="s">
        <v>4</v>
      </c>
      <c r="I124" s="135" t="s">
        <v>1143</v>
      </c>
      <c r="J124" s="135" t="s">
        <v>1144</v>
      </c>
      <c r="K124" s="135" t="s">
        <v>183</v>
      </c>
      <c r="L124" s="135" t="s">
        <v>90</v>
      </c>
      <c r="M124" s="135" t="s">
        <v>1122</v>
      </c>
      <c r="N124" s="135" t="s">
        <v>1123</v>
      </c>
      <c r="O124" s="135" t="s">
        <v>1145</v>
      </c>
      <c r="P124" s="135" t="s">
        <v>1146</v>
      </c>
      <c r="Q124" s="135" t="s">
        <v>90</v>
      </c>
      <c r="R124" s="135" t="s">
        <v>1147</v>
      </c>
      <c r="S124" s="135" t="s">
        <v>416</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1148</v>
      </c>
      <c r="B125" s="135" t="s">
        <v>254</v>
      </c>
      <c r="C125" s="259" t="s">
        <v>59</v>
      </c>
      <c r="D125" s="135" t="s">
        <v>1149</v>
      </c>
      <c r="E125" s="135" t="s">
        <v>1150</v>
      </c>
      <c r="F125" s="135" t="s">
        <v>1151</v>
      </c>
      <c r="G125" s="135" t="s">
        <v>1152</v>
      </c>
      <c r="H125" s="135" t="s">
        <v>4</v>
      </c>
      <c r="I125" s="135" t="s">
        <v>1153</v>
      </c>
      <c r="J125" s="135" t="s">
        <v>1154</v>
      </c>
      <c r="K125" s="135" t="s">
        <v>183</v>
      </c>
      <c r="L125" s="135" t="s">
        <v>1</v>
      </c>
      <c r="M125" s="135" t="s">
        <v>1</v>
      </c>
      <c r="N125" s="135" t="s">
        <v>1155</v>
      </c>
      <c r="O125" s="135" t="s">
        <v>1156</v>
      </c>
      <c r="P125" s="135" t="s">
        <v>1157</v>
      </c>
      <c r="Q125" s="135" t="s">
        <v>90</v>
      </c>
      <c r="R125" s="135" t="s">
        <v>1158</v>
      </c>
      <c r="S125" s="135" t="s">
        <v>1159</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1160</v>
      </c>
      <c r="B126" s="135" t="s">
        <v>348</v>
      </c>
      <c r="C126" s="259" t="s">
        <v>59</v>
      </c>
      <c r="D126" s="135" t="s">
        <v>1161</v>
      </c>
      <c r="E126" s="135" t="s">
        <v>1162</v>
      </c>
      <c r="F126" s="135" t="s">
        <v>1163</v>
      </c>
      <c r="G126" s="135" t="s">
        <v>1164</v>
      </c>
      <c r="H126" s="135" t="s">
        <v>1165</v>
      </c>
      <c r="I126" s="135" t="s">
        <v>1166</v>
      </c>
      <c r="J126" s="135" t="s">
        <v>1167</v>
      </c>
      <c r="K126" s="135" t="s">
        <v>183</v>
      </c>
      <c r="L126" s="135" t="s">
        <v>1</v>
      </c>
      <c r="M126" s="135" t="s">
        <v>1</v>
      </c>
      <c r="N126" s="135" t="s">
        <v>1168</v>
      </c>
      <c r="O126" s="135" t="s">
        <v>1169</v>
      </c>
      <c r="P126" s="135" t="s">
        <v>1170</v>
      </c>
      <c r="Q126" s="135" t="s">
        <v>90</v>
      </c>
      <c r="R126" s="135" t="s">
        <v>1171</v>
      </c>
      <c r="S126" s="135" t="s">
        <v>95</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1172</v>
      </c>
      <c r="B127" s="135" t="s">
        <v>1173</v>
      </c>
      <c r="C127" s="259" t="s">
        <v>59</v>
      </c>
      <c r="D127" s="135" t="s">
        <v>1174</v>
      </c>
      <c r="E127" s="135" t="s">
        <v>1175</v>
      </c>
      <c r="F127" s="135" t="s">
        <v>1176</v>
      </c>
      <c r="G127" s="135" t="s">
        <v>1177</v>
      </c>
      <c r="H127" s="135" t="s">
        <v>4</v>
      </c>
      <c r="I127" s="135" t="s">
        <v>1178</v>
      </c>
      <c r="J127" s="135" t="s">
        <v>1179</v>
      </c>
      <c r="K127" s="135" t="s">
        <v>183</v>
      </c>
      <c r="L127" s="135" t="s">
        <v>1</v>
      </c>
      <c r="M127" s="135" t="s">
        <v>1</v>
      </c>
      <c r="N127" s="135" t="s">
        <v>1155</v>
      </c>
      <c r="O127" s="135" t="s">
        <v>1180</v>
      </c>
      <c r="P127" s="135" t="s">
        <v>1181</v>
      </c>
      <c r="Q127" s="135" t="s">
        <v>90</v>
      </c>
      <c r="R127" s="135" t="s">
        <v>1182</v>
      </c>
      <c r="S127" s="135" t="s">
        <v>210</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1183</v>
      </c>
      <c r="B128" s="135" t="s">
        <v>254</v>
      </c>
      <c r="C128" s="259" t="s">
        <v>59</v>
      </c>
      <c r="D128" s="135" t="s">
        <v>1184</v>
      </c>
      <c r="E128" s="135" t="s">
        <v>1185</v>
      </c>
      <c r="F128" s="135" t="s">
        <v>1186</v>
      </c>
      <c r="G128" s="135" t="s">
        <v>1187</v>
      </c>
      <c r="H128" s="135" t="s">
        <v>4</v>
      </c>
      <c r="I128" s="135" t="s">
        <v>1188</v>
      </c>
      <c r="J128" s="135" t="s">
        <v>1189</v>
      </c>
      <c r="K128" s="135" t="s">
        <v>183</v>
      </c>
      <c r="L128" s="135" t="s">
        <v>90</v>
      </c>
      <c r="M128" s="135" t="s">
        <v>90</v>
      </c>
      <c r="N128" s="135" t="s">
        <v>1190</v>
      </c>
      <c r="O128" s="135" t="s">
        <v>1191</v>
      </c>
      <c r="P128" s="135" t="s">
        <v>1192</v>
      </c>
      <c r="Q128" s="135" t="s">
        <v>90</v>
      </c>
      <c r="R128" s="135" t="s">
        <v>1193</v>
      </c>
      <c r="S128" s="135" t="s">
        <v>416</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1194</v>
      </c>
      <c r="B129" s="135" t="s">
        <v>127</v>
      </c>
      <c r="C129" s="531" t="s">
        <v>26</v>
      </c>
      <c r="D129" s="135" t="s">
        <v>1195</v>
      </c>
      <c r="E129" s="135" t="s">
        <v>1196</v>
      </c>
      <c r="F129" s="135" t="s">
        <v>130</v>
      </c>
      <c r="G129" s="135" t="s">
        <v>131</v>
      </c>
      <c r="H129" s="135" t="s">
        <v>132</v>
      </c>
      <c r="I129" s="135" t="s">
        <v>133</v>
      </c>
      <c r="J129" s="135" t="s">
        <v>1197</v>
      </c>
      <c r="K129" s="135" t="s">
        <v>1198</v>
      </c>
      <c r="L129" s="135" t="s">
        <v>1199</v>
      </c>
      <c r="M129" s="135" t="s">
        <v>101</v>
      </c>
      <c r="N129" s="135" t="s">
        <v>1200</v>
      </c>
      <c r="O129" s="135" t="s">
        <v>1201</v>
      </c>
      <c r="P129" s="135" t="s">
        <v>1202</v>
      </c>
      <c r="Q129" s="135" t="s">
        <v>90</v>
      </c>
      <c r="R129" s="135" t="s">
        <v>1203</v>
      </c>
      <c r="S129" s="135" t="s">
        <v>523</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1204</v>
      </c>
      <c r="B130" s="135" t="s">
        <v>127</v>
      </c>
      <c r="C130" s="531" t="s">
        <v>26</v>
      </c>
      <c r="D130" s="135" t="s">
        <v>1205</v>
      </c>
      <c r="E130" s="135" t="s">
        <v>1206</v>
      </c>
      <c r="F130" s="135" t="s">
        <v>130</v>
      </c>
      <c r="G130" s="135" t="s">
        <v>131</v>
      </c>
      <c r="H130" s="135" t="s">
        <v>132</v>
      </c>
      <c r="I130" s="135" t="s">
        <v>133</v>
      </c>
      <c r="J130" s="135" t="s">
        <v>1207</v>
      </c>
      <c r="K130" s="135" t="s">
        <v>1208</v>
      </c>
      <c r="L130" s="135" t="s">
        <v>1209</v>
      </c>
      <c r="M130" s="135" t="s">
        <v>101</v>
      </c>
      <c r="N130" s="135" t="s">
        <v>138</v>
      </c>
      <c r="O130" s="135" t="s">
        <v>1210</v>
      </c>
      <c r="P130" s="135" t="s">
        <v>1211</v>
      </c>
      <c r="Q130" s="135" t="s">
        <v>90</v>
      </c>
      <c r="R130" s="135" t="s">
        <v>1212</v>
      </c>
      <c r="S130" s="135" t="s">
        <v>484</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8" t="s">
        <v>1213</v>
      </c>
      <c r="B131" s="138" t="s">
        <v>144</v>
      </c>
      <c r="C131" s="531" t="s">
        <v>26</v>
      </c>
      <c r="D131" s="138" t="s">
        <v>1214</v>
      </c>
      <c r="E131" s="138" t="s">
        <v>1215</v>
      </c>
      <c r="F131" s="138" t="s">
        <v>1</v>
      </c>
      <c r="G131" s="138" t="s">
        <v>1</v>
      </c>
      <c r="H131" s="138" t="s">
        <v>1</v>
      </c>
      <c r="I131" s="138" t="s">
        <v>1</v>
      </c>
      <c r="J131" s="138" t="s">
        <v>1</v>
      </c>
      <c r="K131" s="138" t="s">
        <v>101</v>
      </c>
      <c r="L131" s="138" t="s">
        <v>101</v>
      </c>
      <c r="M131" s="138" t="s">
        <v>101</v>
      </c>
      <c r="N131" s="138" t="s">
        <v>1</v>
      </c>
      <c r="O131" s="138" t="s">
        <v>147</v>
      </c>
      <c r="P131" s="138" t="s">
        <v>1216</v>
      </c>
      <c r="Q131" s="138" t="s">
        <v>101</v>
      </c>
      <c r="R131" s="138" t="s">
        <v>149</v>
      </c>
      <c r="S131" s="138" t="s">
        <v>150</v>
      </c>
      <c r="T131" s="138" t="s">
        <v>151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V131" s="146">
        <f>IF(T131="","",VALUE(LEFT(T131,SEARCH("/",T131)-1)))</f>
        <v>10</v>
      </c>
      <c r="W131" s="146">
        <f>IF(T131="","",VALUE(MID(T131,SEARCH("/",T131)+1,LEN(T131))))</f>
        <v>25</v>
      </c>
    </row>
    <row r="132" customFormat="false" ht="15" hidden="false" customHeight="false" outlineLevel="0" collapsed="false">
      <c r="A132" s="138" t="s">
        <v>1217</v>
      </c>
      <c r="B132" s="138" t="s">
        <v>144</v>
      </c>
      <c r="C132" s="531" t="s">
        <v>26</v>
      </c>
      <c r="D132" s="138" t="s">
        <v>1218</v>
      </c>
      <c r="E132" s="138" t="s">
        <v>1219</v>
      </c>
      <c r="F132" s="138" t="s">
        <v>1</v>
      </c>
      <c r="G132" s="138" t="s">
        <v>1</v>
      </c>
      <c r="H132" s="138" t="s">
        <v>1</v>
      </c>
      <c r="I132" s="138" t="s">
        <v>1</v>
      </c>
      <c r="J132" s="138" t="s">
        <v>1</v>
      </c>
      <c r="K132" s="138" t="s">
        <v>101</v>
      </c>
      <c r="L132" s="138" t="s">
        <v>101</v>
      </c>
      <c r="M132" s="138" t="s">
        <v>101</v>
      </c>
      <c r="N132" s="138" t="s">
        <v>1</v>
      </c>
      <c r="O132" s="138" t="s">
        <v>147</v>
      </c>
      <c r="P132" s="138" t="s">
        <v>1220</v>
      </c>
      <c r="Q132" s="138" t="s">
        <v>101</v>
      </c>
      <c r="R132" s="138" t="s">
        <v>149</v>
      </c>
      <c r="S132" s="138" t="s">
        <v>150</v>
      </c>
      <c r="T132" s="138" t="s">
        <v>151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V132" s="146">
        <f>IF(T132="","",VALUE(LEFT(T132,SEARCH("/",T132)-1)))</f>
        <v>10</v>
      </c>
      <c r="W132" s="146">
        <f>IF(T132="","",VALUE(MID(T132,SEARCH("/",T132)+1,LEN(T132))))</f>
        <v>25</v>
      </c>
    </row>
    <row r="133" customFormat="false" ht="15" hidden="false" customHeight="false" outlineLevel="0" collapsed="false">
      <c r="A133" s="138" t="s">
        <v>1221</v>
      </c>
      <c r="B133" s="138" t="s">
        <v>144</v>
      </c>
      <c r="C133" s="531" t="s">
        <v>26</v>
      </c>
      <c r="D133" s="138" t="s">
        <v>1222</v>
      </c>
      <c r="E133" s="138" t="s">
        <v>1223</v>
      </c>
      <c r="F133" s="138" t="s">
        <v>1</v>
      </c>
      <c r="G133" s="138" t="s">
        <v>1</v>
      </c>
      <c r="H133" s="138" t="s">
        <v>1</v>
      </c>
      <c r="I133" s="138" t="s">
        <v>1</v>
      </c>
      <c r="J133" s="138" t="s">
        <v>1</v>
      </c>
      <c r="K133" s="138" t="s">
        <v>101</v>
      </c>
      <c r="L133" s="138" t="s">
        <v>101</v>
      </c>
      <c r="M133" s="138" t="s">
        <v>101</v>
      </c>
      <c r="N133" s="138" t="s">
        <v>1</v>
      </c>
      <c r="O133" s="138" t="s">
        <v>147</v>
      </c>
      <c r="P133" s="138" t="s">
        <v>1224</v>
      </c>
      <c r="Q133" s="138" t="s">
        <v>101</v>
      </c>
      <c r="R133" s="138" t="s">
        <v>149</v>
      </c>
      <c r="S133" s="138" t="s">
        <v>150</v>
      </c>
      <c r="T133" s="138" t="s">
        <v>151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V133" s="146">
        <f>IF(T133="","",VALUE(LEFT(T133,SEARCH("/",T133)-1)))</f>
        <v>10</v>
      </c>
      <c r="W133" s="146">
        <f>IF(T133="","",VALUE(MID(T133,SEARCH("/",T133)+1,LEN(T133))))</f>
        <v>25</v>
      </c>
    </row>
    <row r="134" customFormat="false" ht="15" hidden="false" customHeight="false" outlineLevel="0" collapsed="false">
      <c r="A134" s="138" t="s">
        <v>1225</v>
      </c>
      <c r="B134" s="138" t="s">
        <v>144</v>
      </c>
      <c r="C134" s="531" t="s">
        <v>26</v>
      </c>
      <c r="D134" s="138" t="s">
        <v>1226</v>
      </c>
      <c r="E134" s="138" t="s">
        <v>1227</v>
      </c>
      <c r="F134" s="138" t="s">
        <v>1</v>
      </c>
      <c r="G134" s="138" t="s">
        <v>1</v>
      </c>
      <c r="H134" s="138" t="s">
        <v>1</v>
      </c>
      <c r="I134" s="138" t="s">
        <v>1</v>
      </c>
      <c r="J134" s="138" t="s">
        <v>1</v>
      </c>
      <c r="K134" s="138" t="s">
        <v>101</v>
      </c>
      <c r="L134" s="138" t="s">
        <v>101</v>
      </c>
      <c r="M134" s="138" t="s">
        <v>101</v>
      </c>
      <c r="N134" s="138" t="s">
        <v>1</v>
      </c>
      <c r="O134" s="138" t="s">
        <v>147</v>
      </c>
      <c r="P134" s="138" t="s">
        <v>1228</v>
      </c>
      <c r="Q134" s="138" t="s">
        <v>101</v>
      </c>
      <c r="R134" s="138" t="s">
        <v>149</v>
      </c>
      <c r="S134" s="138" t="s">
        <v>150</v>
      </c>
      <c r="T134" s="138" t="s">
        <v>151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V134" s="146">
        <f>IF(T134="","",VALUE(LEFT(T134,SEARCH("/",T134)-1)))</f>
        <v>10</v>
      </c>
      <c r="W134" s="146">
        <f>IF(T134="","",VALUE(MID(T134,SEARCH("/",T134)+1,LEN(T134))))</f>
        <v>25</v>
      </c>
    </row>
    <row r="135" customFormat="false" ht="15" hidden="false" customHeight="false" outlineLevel="0" collapsed="false">
      <c r="A135" s="138" t="s">
        <v>1229</v>
      </c>
      <c r="B135" s="138" t="s">
        <v>144</v>
      </c>
      <c r="C135" s="531" t="s">
        <v>26</v>
      </c>
      <c r="D135" s="138" t="s">
        <v>1230</v>
      </c>
      <c r="E135" s="138" t="s">
        <v>1231</v>
      </c>
      <c r="F135" s="138" t="s">
        <v>1</v>
      </c>
      <c r="G135" s="138" t="s">
        <v>1</v>
      </c>
      <c r="H135" s="138" t="s">
        <v>1</v>
      </c>
      <c r="I135" s="138" t="s">
        <v>1</v>
      </c>
      <c r="J135" s="138" t="s">
        <v>1</v>
      </c>
      <c r="K135" s="138" t="s">
        <v>101</v>
      </c>
      <c r="L135" s="138" t="s">
        <v>101</v>
      </c>
      <c r="M135" s="138" t="s">
        <v>101</v>
      </c>
      <c r="N135" s="138" t="s">
        <v>1</v>
      </c>
      <c r="O135" s="138" t="s">
        <v>147</v>
      </c>
      <c r="P135" s="138" t="s">
        <v>1232</v>
      </c>
      <c r="Q135" s="138" t="s">
        <v>101</v>
      </c>
      <c r="R135" s="138" t="s">
        <v>149</v>
      </c>
      <c r="S135" s="138" t="s">
        <v>150</v>
      </c>
      <c r="T135" s="138" t="s">
        <v>151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V135" s="146">
        <f>IF(T135="","",VALUE(LEFT(T135,SEARCH("/",T135)-1)))</f>
        <v>10</v>
      </c>
      <c r="W135" s="146">
        <f>IF(T135="","",VALUE(MID(T135,SEARCH("/",T135)+1,LEN(T135))))</f>
        <v>25</v>
      </c>
    </row>
    <row r="136" customFormat="false" ht="15" hidden="false" customHeight="false" outlineLevel="0" collapsed="false">
      <c r="A136" s="138" t="s">
        <v>1233</v>
      </c>
      <c r="B136" s="138" t="s">
        <v>144</v>
      </c>
      <c r="C136" s="531" t="s">
        <v>26</v>
      </c>
      <c r="D136" s="138" t="s">
        <v>1234</v>
      </c>
      <c r="E136" s="138" t="s">
        <v>1235</v>
      </c>
      <c r="F136" s="138" t="s">
        <v>1</v>
      </c>
      <c r="G136" s="138" t="s">
        <v>1</v>
      </c>
      <c r="H136" s="138" t="s">
        <v>1</v>
      </c>
      <c r="I136" s="138" t="s">
        <v>1</v>
      </c>
      <c r="J136" s="138" t="s">
        <v>1</v>
      </c>
      <c r="K136" s="138" t="s">
        <v>101</v>
      </c>
      <c r="L136" s="138" t="s">
        <v>101</v>
      </c>
      <c r="M136" s="138" t="s">
        <v>101</v>
      </c>
      <c r="N136" s="138" t="s">
        <v>1</v>
      </c>
      <c r="O136" s="138" t="s">
        <v>147</v>
      </c>
      <c r="P136" s="138" t="s">
        <v>1236</v>
      </c>
      <c r="Q136" s="138" t="s">
        <v>101</v>
      </c>
      <c r="R136" s="138" t="s">
        <v>149</v>
      </c>
      <c r="S136" s="138" t="s">
        <v>150</v>
      </c>
      <c r="T136" s="138" t="s">
        <v>151</v>
      </c>
      <c r="U136" s="146" t="str">
        <f>IF(OR(ISNUMBER(SEARCH("FAIL",K136&amp;" "&amp;Q136)),ISNUMBER(SEARCH("CLEAN RETEST REQUIRED",K136&amp;" "&amp;Q136))),"Failed",IF(OR(ISNUMBER(SEARCH("NOT RUN",K136&amp;" "&amp;Q136)),ISNUMBER(SEARCH("NOT IMPLEMENTED",K136&amp;" "&amp;Q136))),"Not started",IF(OR(ISNUMBER(SEARCH("PARTIAL",K136&amp;" "&amp;Q136)),ISNUMBER(SEARCH("PENDING",K136&amp;" "&amp;Q136)),ISNUMBER(SEARCH("IN PROGRESS",K136&amp;" "&amp;Q136)),ISNUMBER(SEARCH("OPEN",K136&amp;" "&amp;Q136)),ISNUMBER(SEARCH("RETEST REQUIRED",K136&amp;" "&amp;Q136)),ISNUMBER(SEARCH("IMPLEMENTATION UPDATED",K136&amp;" "&amp;Q136)),ISNUMBER(SEARCH("REQUIRED EVERY SESSION",K136&amp;" "&amp;Q136))),"Pending",IF(OR(Q136="PASS",ISNUMBER(SEARCH("PASS",K136&amp;" "&amp;Q136))),"Done","Pending"))))</f>
        <v>Not started</v>
      </c>
      <c r="V136" s="146">
        <f>IF(T136="","",VALUE(LEFT(T136,SEARCH("/",T136)-1)))</f>
        <v>10</v>
      </c>
      <c r="W136" s="146">
        <f>IF(T136="","",VALUE(MID(T136,SEARCH("/",T136)+1,LEN(T136))))</f>
        <v>25</v>
      </c>
    </row>
    <row r="137" customFormat="false" ht="15" hidden="false" customHeight="false" outlineLevel="0" collapsed="false">
      <c r="A137" s="138" t="s">
        <v>1237</v>
      </c>
      <c r="B137" s="138" t="s">
        <v>144</v>
      </c>
      <c r="C137" s="531" t="s">
        <v>26</v>
      </c>
      <c r="D137" s="138" t="s">
        <v>1238</v>
      </c>
      <c r="E137" s="138" t="s">
        <v>1239</v>
      </c>
      <c r="F137" s="138" t="s">
        <v>1</v>
      </c>
      <c r="G137" s="138" t="s">
        <v>1</v>
      </c>
      <c r="H137" s="138" t="s">
        <v>1</v>
      </c>
      <c r="I137" s="138" t="s">
        <v>1</v>
      </c>
      <c r="J137" s="138" t="s">
        <v>1</v>
      </c>
      <c r="K137" s="138" t="s">
        <v>101</v>
      </c>
      <c r="L137" s="138" t="s">
        <v>101</v>
      </c>
      <c r="M137" s="138" t="s">
        <v>101</v>
      </c>
      <c r="N137" s="138" t="s">
        <v>1</v>
      </c>
      <c r="O137" s="138" t="s">
        <v>147</v>
      </c>
      <c r="P137" s="138" t="s">
        <v>1240</v>
      </c>
      <c r="Q137" s="138" t="s">
        <v>101</v>
      </c>
      <c r="R137" s="138" t="s">
        <v>149</v>
      </c>
      <c r="S137" s="138" t="s">
        <v>150</v>
      </c>
      <c r="T137" s="138" t="s">
        <v>151</v>
      </c>
      <c r="U137" s="146" t="str">
        <f>IF(OR(ISNUMBER(SEARCH("FAIL",K137&amp;" "&amp;Q137)),ISNUMBER(SEARCH("CLEAN RETEST REQUIRED",K137&amp;" "&amp;Q137))),"Failed",IF(OR(ISNUMBER(SEARCH("NOT RUN",K137&amp;" "&amp;Q137)),ISNUMBER(SEARCH("NOT IMPLEMENTED",K137&amp;" "&amp;Q137))),"Not started",IF(OR(ISNUMBER(SEARCH("PARTIAL",K137&amp;" "&amp;Q137)),ISNUMBER(SEARCH("PENDING",K137&amp;" "&amp;Q137)),ISNUMBER(SEARCH("IN PROGRESS",K137&amp;" "&amp;Q137)),ISNUMBER(SEARCH("OPEN",K137&amp;" "&amp;Q137)),ISNUMBER(SEARCH("RETEST REQUIRED",K137&amp;" "&amp;Q137)),ISNUMBER(SEARCH("IMPLEMENTATION UPDATED",K137&amp;" "&amp;Q137)),ISNUMBER(SEARCH("REQUIRED EVERY SESSION",K137&amp;" "&amp;Q137))),"Pending",IF(OR(Q137="PASS",ISNUMBER(SEARCH("PASS",K137&amp;" "&amp;Q137))),"Done","Pending"))))</f>
        <v>Not started</v>
      </c>
      <c r="V137" s="146">
        <f>IF(T137="","",VALUE(LEFT(T137,SEARCH("/",T137)-1)))</f>
        <v>10</v>
      </c>
      <c r="W137" s="146">
        <f>IF(T137="","",VALUE(MID(T137,SEARCH("/",T137)+1,LEN(T137))))</f>
        <v>25</v>
      </c>
    </row>
    <row r="138" customFormat="false" ht="15" hidden="false" customHeight="false" outlineLevel="0" collapsed="false">
      <c r="A138" s="138" t="s">
        <v>1241</v>
      </c>
      <c r="B138" s="138" t="s">
        <v>144</v>
      </c>
      <c r="C138" s="531" t="s">
        <v>26</v>
      </c>
      <c r="D138" s="138" t="s">
        <v>1242</v>
      </c>
      <c r="E138" s="138" t="s">
        <v>1243</v>
      </c>
      <c r="F138" s="138" t="s">
        <v>1</v>
      </c>
      <c r="G138" s="138" t="s">
        <v>1</v>
      </c>
      <c r="H138" s="138" t="s">
        <v>1</v>
      </c>
      <c r="I138" s="138" t="s">
        <v>1</v>
      </c>
      <c r="J138" s="138" t="s">
        <v>1</v>
      </c>
      <c r="K138" s="138" t="s">
        <v>101</v>
      </c>
      <c r="L138" s="138" t="s">
        <v>101</v>
      </c>
      <c r="M138" s="138" t="s">
        <v>101</v>
      </c>
      <c r="N138" s="138" t="s">
        <v>1</v>
      </c>
      <c r="O138" s="138" t="s">
        <v>147</v>
      </c>
      <c r="P138" s="138" t="s">
        <v>1244</v>
      </c>
      <c r="Q138" s="138" t="s">
        <v>101</v>
      </c>
      <c r="R138" s="138" t="s">
        <v>149</v>
      </c>
      <c r="S138" s="138" t="s">
        <v>150</v>
      </c>
      <c r="T138" s="138" t="s">
        <v>151</v>
      </c>
      <c r="U138" s="146" t="str">
        <f>IF(OR(ISNUMBER(SEARCH("FAIL",K138&amp;" "&amp;Q138)),ISNUMBER(SEARCH("CLEAN RETEST REQUIRED",K138&amp;" "&amp;Q138))),"Failed",IF(OR(ISNUMBER(SEARCH("NOT RUN",K138&amp;" "&amp;Q138)),ISNUMBER(SEARCH("NOT IMPLEMENTED",K138&amp;" "&amp;Q138))),"Not started",IF(OR(ISNUMBER(SEARCH("PARTIAL",K138&amp;" "&amp;Q138)),ISNUMBER(SEARCH("PENDING",K138&amp;" "&amp;Q138)),ISNUMBER(SEARCH("IN PROGRESS",K138&amp;" "&amp;Q138)),ISNUMBER(SEARCH("OPEN",K138&amp;" "&amp;Q138)),ISNUMBER(SEARCH("RETEST REQUIRED",K138&amp;" "&amp;Q138)),ISNUMBER(SEARCH("IMPLEMENTATION UPDATED",K138&amp;" "&amp;Q138)),ISNUMBER(SEARCH("REQUIRED EVERY SESSION",K138&amp;" "&amp;Q138))),"Pending",IF(OR(Q138="PASS",ISNUMBER(SEARCH("PASS",K138&amp;" "&amp;Q138))),"Done","Pending"))))</f>
        <v>Not started</v>
      </c>
      <c r="V138" s="146">
        <f>IF(T138="","",VALUE(LEFT(T138,SEARCH("/",T138)-1)))</f>
        <v>10</v>
      </c>
      <c r="W138" s="146">
        <f>IF(T138="","",VALUE(MID(T138,SEARCH("/",T138)+1,LEN(T138))))</f>
        <v>25</v>
      </c>
    </row>
    <row r="139" customFormat="false" ht="15" hidden="false" customHeight="false" outlineLevel="0" collapsed="false">
      <c r="A139" s="138" t="s">
        <v>1245</v>
      </c>
      <c r="B139" s="138" t="s">
        <v>144</v>
      </c>
      <c r="C139" s="531" t="s">
        <v>26</v>
      </c>
      <c r="D139" s="138" t="s">
        <v>1246</v>
      </c>
      <c r="E139" s="138" t="s">
        <v>1247</v>
      </c>
      <c r="F139" s="138" t="s">
        <v>1</v>
      </c>
      <c r="G139" s="138" t="s">
        <v>1</v>
      </c>
      <c r="H139" s="138" t="s">
        <v>1</v>
      </c>
      <c r="I139" s="138" t="s">
        <v>1</v>
      </c>
      <c r="J139" s="138" t="s">
        <v>1</v>
      </c>
      <c r="K139" s="138" t="s">
        <v>101</v>
      </c>
      <c r="L139" s="138" t="s">
        <v>101</v>
      </c>
      <c r="M139" s="138" t="s">
        <v>101</v>
      </c>
      <c r="N139" s="138" t="s">
        <v>1</v>
      </c>
      <c r="O139" s="138" t="s">
        <v>147</v>
      </c>
      <c r="P139" s="138" t="s">
        <v>1248</v>
      </c>
      <c r="Q139" s="138" t="s">
        <v>101</v>
      </c>
      <c r="R139" s="138" t="s">
        <v>149</v>
      </c>
      <c r="S139" s="138" t="s">
        <v>150</v>
      </c>
      <c r="T139" s="138" t="s">
        <v>151</v>
      </c>
      <c r="U139" s="146" t="str">
        <f>IF(OR(ISNUMBER(SEARCH("FAIL",K139&amp;" "&amp;Q139)),ISNUMBER(SEARCH("CLEAN RETEST REQUIRED",K139&amp;" "&amp;Q139))),"Failed",IF(OR(ISNUMBER(SEARCH("NOT RUN",K139&amp;" "&amp;Q139)),ISNUMBER(SEARCH("NOT IMPLEMENTED",K139&amp;" "&amp;Q139))),"Not started",IF(OR(ISNUMBER(SEARCH("PARTIAL",K139&amp;" "&amp;Q139)),ISNUMBER(SEARCH("PENDING",K139&amp;" "&amp;Q139)),ISNUMBER(SEARCH("IN PROGRESS",K139&amp;" "&amp;Q139)),ISNUMBER(SEARCH("OPEN",K139&amp;" "&amp;Q139)),ISNUMBER(SEARCH("RETEST REQUIRED",K139&amp;" "&amp;Q139)),ISNUMBER(SEARCH("IMPLEMENTATION UPDATED",K139&amp;" "&amp;Q139)),ISNUMBER(SEARCH("REQUIRED EVERY SESSION",K139&amp;" "&amp;Q139))),"Pending",IF(OR(Q139="PASS",ISNUMBER(SEARCH("PASS",K139&amp;" "&amp;Q139))),"Done","Pending"))))</f>
        <v>Not started</v>
      </c>
      <c r="V139" s="146">
        <f>IF(T139="","",VALUE(LEFT(T139,SEARCH("/",T139)-1)))</f>
        <v>10</v>
      </c>
      <c r="W139" s="146">
        <f>IF(T139="","",VALUE(MID(T139,SEARCH("/",T139)+1,LEN(T139))))</f>
        <v>25</v>
      </c>
    </row>
    <row r="140" customFormat="false" ht="15" hidden="false" customHeight="false" outlineLevel="0" collapsed="false">
      <c r="A140" s="138" t="s">
        <v>1249</v>
      </c>
      <c r="B140" s="138" t="s">
        <v>153</v>
      </c>
      <c r="C140" s="531" t="s">
        <v>26</v>
      </c>
      <c r="D140" s="138" t="s">
        <v>1250</v>
      </c>
      <c r="E140" s="138" t="s">
        <v>1251</v>
      </c>
      <c r="F140" s="138" t="s">
        <v>4</v>
      </c>
      <c r="G140" s="138" t="s">
        <v>156</v>
      </c>
      <c r="H140" s="138" t="s">
        <v>4</v>
      </c>
      <c r="I140" s="138" t="s">
        <v>4</v>
      </c>
      <c r="J140" s="138" t="s">
        <v>157</v>
      </c>
      <c r="K140" s="138" t="s">
        <v>1252</v>
      </c>
      <c r="L140" s="138" t="s">
        <v>101</v>
      </c>
      <c r="M140" s="138" t="s">
        <v>101</v>
      </c>
      <c r="N140" s="138" t="s">
        <v>1</v>
      </c>
      <c r="O140" s="138" t="s">
        <v>1253</v>
      </c>
      <c r="P140" s="138" t="s">
        <v>1254</v>
      </c>
      <c r="Q140" s="138" t="s">
        <v>101</v>
      </c>
      <c r="R140" s="138" t="s">
        <v>1255</v>
      </c>
      <c r="S140" s="138" t="s">
        <v>1256</v>
      </c>
      <c r="T140" s="138" t="s">
        <v>1115</v>
      </c>
      <c r="U140" s="146" t="str">
        <f>IF(OR(ISNUMBER(SEARCH("FAIL",K140&amp;" "&amp;Q140)),ISNUMBER(SEARCH("CLEAN RETEST REQUIRED",K140&amp;" "&amp;Q140))),"Failed",IF(OR(ISNUMBER(SEARCH("NOT RUN",K140&amp;" "&amp;Q140)),ISNUMBER(SEARCH("NOT IMPLEMENTED",K140&amp;" "&amp;Q140))),"Not started",IF(OR(ISNUMBER(SEARCH("PARTIAL",K140&amp;" "&amp;Q140)),ISNUMBER(SEARCH("PENDING",K140&amp;" "&amp;Q140)),ISNUMBER(SEARCH("IN PROGRESS",K140&amp;" "&amp;Q140)),ISNUMBER(SEARCH("OPEN",K140&amp;" "&amp;Q140)),ISNUMBER(SEARCH("RETEST REQUIRED",K140&amp;" "&amp;Q140)),ISNUMBER(SEARCH("IMPLEMENTATION UPDATED",K140&amp;" "&amp;Q140)),ISNUMBER(SEARCH("REQUIRED EVERY SESSION",K140&amp;" "&amp;Q140))),"Pending",IF(OR(Q140="PASS",ISNUMBER(SEARCH("PASS",K140&amp;" "&amp;Q140))),"Done","Pending"))))</f>
        <v>Not started</v>
      </c>
      <c r="V140" s="146">
        <f>IF(T140="","",VALUE(LEFT(T140,SEARCH("/",T140)-1)))</f>
        <v>30</v>
      </c>
      <c r="W140" s="146">
        <f>IF(T140="","",VALUE(MID(T140,SEARCH("/",T140)+1,LEN(T140))))</f>
        <v>60</v>
      </c>
    </row>
    <row r="141" customFormat="false" ht="15" hidden="false" customHeight="false" outlineLevel="0" collapsed="false">
      <c r="A141" s="135" t="s">
        <v>1257</v>
      </c>
      <c r="B141" s="135" t="s">
        <v>348</v>
      </c>
      <c r="C141" s="261" t="s">
        <v>32</v>
      </c>
      <c r="D141" s="135" t="s">
        <v>1258</v>
      </c>
      <c r="E141" s="135" t="s">
        <v>1259</v>
      </c>
      <c r="F141" s="135" t="s">
        <v>4</v>
      </c>
      <c r="G141" s="135" t="s">
        <v>4</v>
      </c>
      <c r="H141" s="135" t="s">
        <v>4</v>
      </c>
      <c r="I141" s="135" t="s">
        <v>4</v>
      </c>
      <c r="J141" s="135" t="s">
        <v>1260</v>
      </c>
      <c r="K141" s="135" t="s">
        <v>890</v>
      </c>
      <c r="L141" s="135" t="s">
        <v>1</v>
      </c>
      <c r="M141" s="135" t="s">
        <v>1</v>
      </c>
      <c r="N141" s="135" t="s">
        <v>590</v>
      </c>
      <c r="O141" s="135" t="s">
        <v>1261</v>
      </c>
      <c r="P141" s="135" t="s">
        <v>1262</v>
      </c>
      <c r="Q141" s="135" t="s">
        <v>90</v>
      </c>
      <c r="R141" s="135" t="s">
        <v>1263</v>
      </c>
      <c r="S141" s="135" t="s">
        <v>416</v>
      </c>
      <c r="T141" s="135" t="s">
        <v>1</v>
      </c>
      <c r="U141" s="146" t="str">
        <f>IF(OR(ISNUMBER(SEARCH("FAIL",K141&amp;" "&amp;Q141)),ISNUMBER(SEARCH("CLEAN RETEST REQUIRED",K141&amp;" "&amp;Q141))),"Failed",IF(OR(ISNUMBER(SEARCH("NOT RUN",K141&amp;" "&amp;Q141)),ISNUMBER(SEARCH("NOT IMPLEMENTED",K141&amp;" "&amp;Q141))),"Not started",IF(OR(ISNUMBER(SEARCH("PARTIAL",K141&amp;" "&amp;Q141)),ISNUMBER(SEARCH("PENDING",K141&amp;" "&amp;Q141)),ISNUMBER(SEARCH("IN PROGRESS",K141&amp;" "&amp;Q141)),ISNUMBER(SEARCH("OPEN",K141&amp;" "&amp;Q141)),ISNUMBER(SEARCH("RETEST REQUIRED",K141&amp;" "&amp;Q141)),ISNUMBER(SEARCH("IMPLEMENTATION UPDATED",K141&amp;" "&amp;Q141)),ISNUMBER(SEARCH("REQUIRED EVERY SESSION",K141&amp;" "&amp;Q141))),"Pending",IF(OR(Q141="PASS",ISNUMBER(SEARCH("PASS",K141&amp;" "&amp;Q141))),"Done","Pending"))))</f>
        <v>Done</v>
      </c>
      <c r="V141" s="146">
        <f>IF(T141="","",VALUE(LEFT(T141,SEARCH("/",T141)-1)))</f>
        <v/>
      </c>
      <c r="W141" s="146">
        <f>IF(T141="","",VALUE(MID(T141,SEARCH("/",T141)+1,LEN(T141))))</f>
        <v/>
      </c>
    </row>
    <row r="142" customFormat="false" ht="15" hidden="false" customHeight="false" outlineLevel="0" collapsed="false">
      <c r="A142" s="135" t="s">
        <v>1264</v>
      </c>
      <c r="B142" s="135" t="s">
        <v>348</v>
      </c>
      <c r="C142" s="261" t="s">
        <v>32</v>
      </c>
      <c r="D142" s="135" t="s">
        <v>1265</v>
      </c>
      <c r="E142" s="135" t="s">
        <v>1266</v>
      </c>
      <c r="F142" s="135" t="s">
        <v>4</v>
      </c>
      <c r="G142" s="135" t="s">
        <v>4</v>
      </c>
      <c r="H142" s="135" t="s">
        <v>4</v>
      </c>
      <c r="I142" s="135" t="s">
        <v>4</v>
      </c>
      <c r="J142" s="135" t="s">
        <v>1267</v>
      </c>
      <c r="K142" s="135" t="s">
        <v>890</v>
      </c>
      <c r="L142" s="135" t="s">
        <v>1</v>
      </c>
      <c r="M142" s="135" t="s">
        <v>1</v>
      </c>
      <c r="N142" s="135" t="s">
        <v>590</v>
      </c>
      <c r="O142" s="135" t="s">
        <v>1268</v>
      </c>
      <c r="P142" s="135" t="s">
        <v>1269</v>
      </c>
      <c r="Q142" s="135" t="s">
        <v>90</v>
      </c>
      <c r="R142" s="135" t="s">
        <v>1270</v>
      </c>
      <c r="S142" s="135" t="s">
        <v>484</v>
      </c>
      <c r="T142" s="135" t="s">
        <v>1</v>
      </c>
      <c r="U142" s="146" t="str">
        <f>IF(OR(ISNUMBER(SEARCH("FAIL",K142&amp;" "&amp;Q142)),ISNUMBER(SEARCH("CLEAN RETEST REQUIRED",K142&amp;" "&amp;Q142))),"Failed",IF(OR(ISNUMBER(SEARCH("NOT RUN",K142&amp;" "&amp;Q142)),ISNUMBER(SEARCH("NOT IMPLEMENTED",K142&amp;" "&amp;Q142))),"Not started",IF(OR(ISNUMBER(SEARCH("PARTIAL",K142&amp;" "&amp;Q142)),ISNUMBER(SEARCH("PENDING",K142&amp;" "&amp;Q142)),ISNUMBER(SEARCH("IN PROGRESS",K142&amp;" "&amp;Q142)),ISNUMBER(SEARCH("OPEN",K142&amp;" "&amp;Q142)),ISNUMBER(SEARCH("RETEST REQUIRED",K142&amp;" "&amp;Q142)),ISNUMBER(SEARCH("IMPLEMENTATION UPDATED",K142&amp;" "&amp;Q142)),ISNUMBER(SEARCH("REQUIRED EVERY SESSION",K142&amp;" "&amp;Q142))),"Pending",IF(OR(Q142="PASS",ISNUMBER(SEARCH("PASS",K142&amp;" "&amp;Q142))),"Done","Pending"))))</f>
        <v>Done</v>
      </c>
      <c r="V142" s="146">
        <f>IF(T142="","",VALUE(LEFT(T142,SEARCH("/",T142)-1)))</f>
        <v/>
      </c>
      <c r="W142" s="146">
        <f>IF(T142="","",VALUE(MID(T142,SEARCH("/",T142)+1,LEN(T142))))</f>
        <v/>
      </c>
    </row>
    <row r="143" customFormat="false" ht="15" hidden="false" customHeight="false" outlineLevel="0" collapsed="false">
      <c r="A143" s="135" t="s">
        <v>1271</v>
      </c>
      <c r="B143" s="135" t="s">
        <v>254</v>
      </c>
      <c r="C143" s="261" t="s">
        <v>32</v>
      </c>
      <c r="D143" s="135" t="s">
        <v>1272</v>
      </c>
      <c r="E143" s="135" t="s">
        <v>1273</v>
      </c>
      <c r="F143" s="135" t="s">
        <v>1274</v>
      </c>
      <c r="G143" s="135" t="s">
        <v>1275</v>
      </c>
      <c r="H143" s="135" t="s">
        <v>4</v>
      </c>
      <c r="I143" s="135" t="s">
        <v>4</v>
      </c>
      <c r="J143" s="135" t="s">
        <v>1276</v>
      </c>
      <c r="K143" s="135" t="s">
        <v>183</v>
      </c>
      <c r="L143" s="135" t="s">
        <v>90</v>
      </c>
      <c r="M143" s="135" t="s">
        <v>90</v>
      </c>
      <c r="N143" s="135" t="s">
        <v>1190</v>
      </c>
      <c r="O143" s="135" t="s">
        <v>1277</v>
      </c>
      <c r="P143" s="135" t="s">
        <v>1278</v>
      </c>
      <c r="Q143" s="135" t="s">
        <v>90</v>
      </c>
      <c r="R143" s="135" t="s">
        <v>1279</v>
      </c>
      <c r="S143" s="135" t="s">
        <v>1280</v>
      </c>
      <c r="T143" s="135" t="s">
        <v>1</v>
      </c>
      <c r="U143" s="146" t="str">
        <f>IF(OR(ISNUMBER(SEARCH("FAIL",K143&amp;" "&amp;Q143)),ISNUMBER(SEARCH("CLEAN RETEST REQUIRED",K143&amp;" "&amp;Q143))),"Failed",IF(OR(ISNUMBER(SEARCH("NOT RUN",K143&amp;" "&amp;Q143)),ISNUMBER(SEARCH("NOT IMPLEMENTED",K143&amp;" "&amp;Q143))),"Not started",IF(OR(ISNUMBER(SEARCH("PARTIAL",K143&amp;" "&amp;Q143)),ISNUMBER(SEARCH("PENDING",K143&amp;" "&amp;Q143)),ISNUMBER(SEARCH("IN PROGRESS",K143&amp;" "&amp;Q143)),ISNUMBER(SEARCH("OPEN",K143&amp;" "&amp;Q143)),ISNUMBER(SEARCH("RETEST REQUIRED",K143&amp;" "&amp;Q143)),ISNUMBER(SEARCH("IMPLEMENTATION UPDATED",K143&amp;" "&amp;Q143)),ISNUMBER(SEARCH("REQUIRED EVERY SESSION",K143&amp;" "&amp;Q143))),"Pending",IF(OR(Q143="PASS",ISNUMBER(SEARCH("PASS",K143&amp;" "&amp;Q143))),"Done","Pending"))))</f>
        <v>Done</v>
      </c>
      <c r="V143" s="146">
        <f>IF(T143="","",VALUE(LEFT(T143,SEARCH("/",T143)-1)))</f>
        <v/>
      </c>
      <c r="W143" s="146">
        <f>IF(T143="","",VALUE(MID(T143,SEARCH("/",T143)+1,LEN(T143))))</f>
        <v/>
      </c>
    </row>
    <row r="144" customFormat="false" ht="15" hidden="false" customHeight="false" outlineLevel="0" collapsed="false">
      <c r="A144" s="138" t="s">
        <v>1281</v>
      </c>
      <c r="B144" s="138" t="s">
        <v>144</v>
      </c>
      <c r="C144" s="261" t="s">
        <v>32</v>
      </c>
      <c r="D144" s="138" t="s">
        <v>1282</v>
      </c>
      <c r="E144" s="138" t="s">
        <v>1283</v>
      </c>
      <c r="F144" s="138" t="s">
        <v>1</v>
      </c>
      <c r="G144" s="138" t="s">
        <v>1</v>
      </c>
      <c r="H144" s="138" t="s">
        <v>1</v>
      </c>
      <c r="I144" s="138" t="s">
        <v>1</v>
      </c>
      <c r="J144" s="138" t="s">
        <v>1</v>
      </c>
      <c r="K144" s="138" t="s">
        <v>101</v>
      </c>
      <c r="L144" s="138" t="s">
        <v>101</v>
      </c>
      <c r="M144" s="138" t="s">
        <v>101</v>
      </c>
      <c r="N144" s="138" t="s">
        <v>1</v>
      </c>
      <c r="O144" s="138" t="s">
        <v>147</v>
      </c>
      <c r="P144" s="138" t="s">
        <v>1284</v>
      </c>
      <c r="Q144" s="138" t="s">
        <v>101</v>
      </c>
      <c r="R144" s="138" t="s">
        <v>149</v>
      </c>
      <c r="S144" s="138" t="s">
        <v>150</v>
      </c>
      <c r="T144" s="138" t="s">
        <v>151</v>
      </c>
      <c r="U144" s="146" t="str">
        <f>IF(OR(ISNUMBER(SEARCH("FAIL",K144&amp;" "&amp;Q144)),ISNUMBER(SEARCH("CLEAN RETEST REQUIRED",K144&amp;" "&amp;Q144))),"Failed",IF(OR(ISNUMBER(SEARCH("NOT RUN",K144&amp;" "&amp;Q144)),ISNUMBER(SEARCH("NOT IMPLEMENTED",K144&amp;" "&amp;Q144))),"Not started",IF(OR(ISNUMBER(SEARCH("PARTIAL",K144&amp;" "&amp;Q144)),ISNUMBER(SEARCH("PENDING",K144&amp;" "&amp;Q144)),ISNUMBER(SEARCH("IN PROGRESS",K144&amp;" "&amp;Q144)),ISNUMBER(SEARCH("OPEN",K144&amp;" "&amp;Q144)),ISNUMBER(SEARCH("RETEST REQUIRED",K144&amp;" "&amp;Q144)),ISNUMBER(SEARCH("IMPLEMENTATION UPDATED",K144&amp;" "&amp;Q144)),ISNUMBER(SEARCH("REQUIRED EVERY SESSION",K144&amp;" "&amp;Q144))),"Pending",IF(OR(Q144="PASS",ISNUMBER(SEARCH("PASS",K144&amp;" "&amp;Q144))),"Done","Pending"))))</f>
        <v>Not started</v>
      </c>
      <c r="V144" s="146">
        <f>IF(T144="","",VALUE(LEFT(T144,SEARCH("/",T144)-1)))</f>
        <v>10</v>
      </c>
      <c r="W144" s="146">
        <f>IF(T144="","",VALUE(MID(T144,SEARCH("/",T144)+1,LEN(T144))))</f>
        <v>25</v>
      </c>
    </row>
    <row r="145" customFormat="false" ht="15" hidden="false" customHeight="false" outlineLevel="0" collapsed="false">
      <c r="A145" s="135" t="s">
        <v>1285</v>
      </c>
      <c r="B145" s="135" t="s">
        <v>254</v>
      </c>
      <c r="C145" s="255" t="s">
        <v>38</v>
      </c>
      <c r="D145" s="135" t="s">
        <v>1286</v>
      </c>
      <c r="E145" s="135" t="s">
        <v>1287</v>
      </c>
      <c r="F145" s="135" t="s">
        <v>1288</v>
      </c>
      <c r="G145" s="135" t="s">
        <v>1289</v>
      </c>
      <c r="H145" s="135" t="s">
        <v>4</v>
      </c>
      <c r="I145" s="135" t="s">
        <v>1290</v>
      </c>
      <c r="J145" s="135" t="s">
        <v>1291</v>
      </c>
      <c r="K145" s="135" t="s">
        <v>1292</v>
      </c>
      <c r="L145" s="135" t="s">
        <v>1</v>
      </c>
      <c r="M145" s="135" t="s">
        <v>1</v>
      </c>
      <c r="N145" s="135" t="s">
        <v>1293</v>
      </c>
      <c r="O145" s="135" t="s">
        <v>1294</v>
      </c>
      <c r="P145" s="135" t="s">
        <v>1295</v>
      </c>
      <c r="Q145" s="135" t="s">
        <v>90</v>
      </c>
      <c r="R145" s="135" t="s">
        <v>1296</v>
      </c>
      <c r="S145" s="135" t="s">
        <v>210</v>
      </c>
      <c r="T145" s="135" t="s">
        <v>1</v>
      </c>
      <c r="U145" s="146" t="str">
        <f>IF(OR(ISNUMBER(SEARCH("FAIL",K145&amp;" "&amp;Q145)),ISNUMBER(SEARCH("CLEAN RETEST REQUIRED",K145&amp;" "&amp;Q145))),"Failed",IF(OR(ISNUMBER(SEARCH("NOT RUN",K145&amp;" "&amp;Q145)),ISNUMBER(SEARCH("NOT IMPLEMENTED",K145&amp;" "&amp;Q145))),"Not started",IF(OR(ISNUMBER(SEARCH("PARTIAL",K145&amp;" "&amp;Q145)),ISNUMBER(SEARCH("PENDING",K145&amp;" "&amp;Q145)),ISNUMBER(SEARCH("IN PROGRESS",K145&amp;" "&amp;Q145)),ISNUMBER(SEARCH("OPEN",K145&amp;" "&amp;Q145)),ISNUMBER(SEARCH("RETEST REQUIRED",K145&amp;" "&amp;Q145)),ISNUMBER(SEARCH("IMPLEMENTATION UPDATED",K145&amp;" "&amp;Q145)),ISNUMBER(SEARCH("REQUIRED EVERY SESSION",K145&amp;" "&amp;Q145))),"Pending",IF(OR(Q145="PASS",ISNUMBER(SEARCH("PASS",K145&amp;" "&amp;Q145))),"Done","Pending"))))</f>
        <v>Done</v>
      </c>
      <c r="V145" s="146">
        <f>IF(T145="","",VALUE(LEFT(T145,SEARCH("/",T145)-1)))</f>
        <v/>
      </c>
      <c r="W145" s="146">
        <f>IF(T145="","",VALUE(MID(T145,SEARCH("/",T145)+1,LEN(T145))))</f>
        <v/>
      </c>
    </row>
    <row r="146" customFormat="false" ht="15" hidden="false" customHeight="false" outlineLevel="0" collapsed="false">
      <c r="A146" s="135" t="s">
        <v>1297</v>
      </c>
      <c r="B146" s="135" t="s">
        <v>254</v>
      </c>
      <c r="C146" s="255" t="s">
        <v>38</v>
      </c>
      <c r="D146" s="135" t="s">
        <v>1298</v>
      </c>
      <c r="E146" s="135" t="s">
        <v>1299</v>
      </c>
      <c r="F146" s="135" t="s">
        <v>1300</v>
      </c>
      <c r="G146" s="135" t="s">
        <v>1301</v>
      </c>
      <c r="H146" s="135" t="s">
        <v>1302</v>
      </c>
      <c r="I146" s="135" t="s">
        <v>1303</v>
      </c>
      <c r="J146" s="135" t="s">
        <v>1304</v>
      </c>
      <c r="K146" s="135" t="s">
        <v>90</v>
      </c>
      <c r="L146" s="135" t="s">
        <v>1</v>
      </c>
      <c r="M146" s="135" t="s">
        <v>1</v>
      </c>
      <c r="N146" s="135" t="s">
        <v>1293</v>
      </c>
      <c r="O146" s="135" t="s">
        <v>1305</v>
      </c>
      <c r="P146" s="135" t="s">
        <v>1306</v>
      </c>
      <c r="Q146" s="135" t="s">
        <v>90</v>
      </c>
      <c r="R146" s="135" t="s">
        <v>1307</v>
      </c>
      <c r="S146" s="135" t="s">
        <v>428</v>
      </c>
      <c r="T146" s="135" t="s">
        <v>1</v>
      </c>
      <c r="U146" s="146" t="str">
        <f>IF(OR(ISNUMBER(SEARCH("FAIL",K146&amp;" "&amp;Q146)),ISNUMBER(SEARCH("CLEAN RETEST REQUIRED",K146&amp;" "&amp;Q146))),"Failed",IF(OR(ISNUMBER(SEARCH("NOT RUN",K146&amp;" "&amp;Q146)),ISNUMBER(SEARCH("NOT IMPLEMENTED",K146&amp;" "&amp;Q146))),"Not started",IF(OR(ISNUMBER(SEARCH("PARTIAL",K146&amp;" "&amp;Q146)),ISNUMBER(SEARCH("PENDING",K146&amp;" "&amp;Q146)),ISNUMBER(SEARCH("IN PROGRESS",K146&amp;" "&amp;Q146)),ISNUMBER(SEARCH("OPEN",K146&amp;" "&amp;Q146)),ISNUMBER(SEARCH("RETEST REQUIRED",K146&amp;" "&amp;Q146)),ISNUMBER(SEARCH("IMPLEMENTATION UPDATED",K146&amp;" "&amp;Q146)),ISNUMBER(SEARCH("REQUIRED EVERY SESSION",K146&amp;" "&amp;Q146))),"Pending",IF(OR(Q146="PASS",ISNUMBER(SEARCH("PASS",K146&amp;" "&amp;Q146))),"Done","Pending"))))</f>
        <v>Done</v>
      </c>
      <c r="V146" s="146">
        <f>IF(T146="","",VALUE(LEFT(T146,SEARCH("/",T146)-1)))</f>
        <v/>
      </c>
      <c r="W146" s="146">
        <f>IF(T146="","",VALUE(MID(T146,SEARCH("/",T146)+1,LEN(T146))))</f>
        <v/>
      </c>
    </row>
    <row r="147" customFormat="false" ht="15" hidden="false" customHeight="false" outlineLevel="0" collapsed="false">
      <c r="A147" s="135" t="s">
        <v>1308</v>
      </c>
      <c r="B147" s="135" t="s">
        <v>268</v>
      </c>
      <c r="C147" s="255" t="s">
        <v>38</v>
      </c>
      <c r="D147" s="135" t="s">
        <v>1309</v>
      </c>
      <c r="E147" s="135" t="s">
        <v>1310</v>
      </c>
      <c r="F147" s="135" t="s">
        <v>4</v>
      </c>
      <c r="G147" s="135" t="s">
        <v>1311</v>
      </c>
      <c r="H147" s="135" t="s">
        <v>4</v>
      </c>
      <c r="I147" s="135" t="s">
        <v>8</v>
      </c>
      <c r="J147" s="135" t="s">
        <v>1312</v>
      </c>
      <c r="K147" s="135" t="s">
        <v>90</v>
      </c>
      <c r="L147" s="135" t="s">
        <v>1</v>
      </c>
      <c r="M147" s="135" t="s">
        <v>1</v>
      </c>
      <c r="N147" s="135" t="s">
        <v>1293</v>
      </c>
      <c r="O147" s="135" t="s">
        <v>1313</v>
      </c>
      <c r="P147" s="135" t="s">
        <v>1314</v>
      </c>
      <c r="Q147" s="135" t="s">
        <v>90</v>
      </c>
      <c r="R147" s="135" t="s">
        <v>1315</v>
      </c>
      <c r="S147" s="135" t="s">
        <v>125</v>
      </c>
      <c r="T147" s="135" t="s">
        <v>1</v>
      </c>
      <c r="U147" s="146" t="str">
        <f>IF(OR(ISNUMBER(SEARCH("FAIL",K147&amp;" "&amp;Q147)),ISNUMBER(SEARCH("CLEAN RETEST REQUIRED",K147&amp;" "&amp;Q147))),"Failed",IF(OR(ISNUMBER(SEARCH("NOT RUN",K147&amp;" "&amp;Q147)),ISNUMBER(SEARCH("NOT IMPLEMENTED",K147&amp;" "&amp;Q147))),"Not started",IF(OR(ISNUMBER(SEARCH("PARTIAL",K147&amp;" "&amp;Q147)),ISNUMBER(SEARCH("PENDING",K147&amp;" "&amp;Q147)),ISNUMBER(SEARCH("IN PROGRESS",K147&amp;" "&amp;Q147)),ISNUMBER(SEARCH("OPEN",K147&amp;" "&amp;Q147)),ISNUMBER(SEARCH("RETEST REQUIRED",K147&amp;" "&amp;Q147)),ISNUMBER(SEARCH("IMPLEMENTATION UPDATED",K147&amp;" "&amp;Q147)),ISNUMBER(SEARCH("REQUIRED EVERY SESSION",K147&amp;" "&amp;Q147))),"Pending",IF(OR(Q147="PASS",ISNUMBER(SEARCH("PASS",K147&amp;" "&amp;Q147))),"Done","Pending"))))</f>
        <v>Done</v>
      </c>
      <c r="V147" s="146">
        <f>IF(T147="","",VALUE(LEFT(T147,SEARCH("/",T147)-1)))</f>
        <v/>
      </c>
      <c r="W147" s="146">
        <f>IF(T147="","",VALUE(MID(T147,SEARCH("/",T147)+1,LEN(T147))))</f>
        <v/>
      </c>
    </row>
    <row r="148" customFormat="false" ht="15" hidden="false" customHeight="false" outlineLevel="0" collapsed="false">
      <c r="A148" s="135" t="s">
        <v>1316</v>
      </c>
      <c r="B148" s="135" t="s">
        <v>254</v>
      </c>
      <c r="C148" s="255" t="s">
        <v>38</v>
      </c>
      <c r="D148" s="135" t="s">
        <v>1317</v>
      </c>
      <c r="E148" s="135" t="s">
        <v>1318</v>
      </c>
      <c r="F148" s="135" t="s">
        <v>1319</v>
      </c>
      <c r="G148" s="135" t="s">
        <v>1320</v>
      </c>
      <c r="H148" s="135" t="s">
        <v>4</v>
      </c>
      <c r="I148" s="135" t="s">
        <v>1321</v>
      </c>
      <c r="J148" s="135" t="s">
        <v>1322</v>
      </c>
      <c r="K148" s="135" t="s">
        <v>90</v>
      </c>
      <c r="L148" s="135" t="s">
        <v>1</v>
      </c>
      <c r="M148" s="135" t="s">
        <v>1</v>
      </c>
      <c r="N148" s="135" t="s">
        <v>1293</v>
      </c>
      <c r="O148" s="135" t="s">
        <v>1323</v>
      </c>
      <c r="P148" s="135" t="s">
        <v>1324</v>
      </c>
      <c r="Q148" s="135" t="s">
        <v>90</v>
      </c>
      <c r="R148" s="135" t="s">
        <v>1325</v>
      </c>
      <c r="S148" s="135" t="s">
        <v>495</v>
      </c>
      <c r="T148" s="135" t="s">
        <v>1</v>
      </c>
      <c r="U148" s="146" t="str">
        <f>IF(OR(ISNUMBER(SEARCH("FAIL",K148&amp;" "&amp;Q148)),ISNUMBER(SEARCH("CLEAN RETEST REQUIRED",K148&amp;" "&amp;Q148))),"Failed",IF(OR(ISNUMBER(SEARCH("NOT RUN",K148&amp;" "&amp;Q148)),ISNUMBER(SEARCH("NOT IMPLEMENTED",K148&amp;" "&amp;Q148))),"Not started",IF(OR(ISNUMBER(SEARCH("PARTIAL",K148&amp;" "&amp;Q148)),ISNUMBER(SEARCH("PENDING",K148&amp;" "&amp;Q148)),ISNUMBER(SEARCH("IN PROGRESS",K148&amp;" "&amp;Q148)),ISNUMBER(SEARCH("OPEN",K148&amp;" "&amp;Q148)),ISNUMBER(SEARCH("RETEST REQUIRED",K148&amp;" "&amp;Q148)),ISNUMBER(SEARCH("IMPLEMENTATION UPDATED",K148&amp;" "&amp;Q148)),ISNUMBER(SEARCH("REQUIRED EVERY SESSION",K148&amp;" "&amp;Q148))),"Pending",IF(OR(Q148="PASS",ISNUMBER(SEARCH("PASS",K148&amp;" "&amp;Q148))),"Done","Pending"))))</f>
        <v>Done</v>
      </c>
      <c r="V148" s="146">
        <f>IF(T148="","",VALUE(LEFT(T148,SEARCH("/",T148)-1)))</f>
        <v/>
      </c>
      <c r="W148" s="146">
        <f>IF(T148="","",VALUE(MID(T148,SEARCH("/",T148)+1,LEN(T148))))</f>
        <v/>
      </c>
    </row>
    <row r="149" customFormat="false" ht="15" hidden="false" customHeight="false" outlineLevel="0" collapsed="false">
      <c r="A149" s="135" t="s">
        <v>1326</v>
      </c>
      <c r="B149" s="135" t="s">
        <v>254</v>
      </c>
      <c r="C149" s="255" t="s">
        <v>38</v>
      </c>
      <c r="D149" s="135" t="s">
        <v>1327</v>
      </c>
      <c r="E149" s="135" t="s">
        <v>1328</v>
      </c>
      <c r="F149" s="135" t="s">
        <v>1329</v>
      </c>
      <c r="G149" s="135" t="s">
        <v>1330</v>
      </c>
      <c r="H149" s="135" t="s">
        <v>4</v>
      </c>
      <c r="I149" s="135" t="s">
        <v>1331</v>
      </c>
      <c r="J149" s="135" t="s">
        <v>1332</v>
      </c>
      <c r="K149" s="135" t="s">
        <v>1333</v>
      </c>
      <c r="L149" s="135" t="s">
        <v>1</v>
      </c>
      <c r="M149" s="135" t="s">
        <v>1</v>
      </c>
      <c r="N149" s="135" t="s">
        <v>1293</v>
      </c>
      <c r="O149" s="135" t="s">
        <v>1334</v>
      </c>
      <c r="P149" s="135" t="s">
        <v>1335</v>
      </c>
      <c r="Q149" s="135" t="s">
        <v>90</v>
      </c>
      <c r="R149" s="135" t="s">
        <v>1336</v>
      </c>
      <c r="S149" s="135" t="s">
        <v>95</v>
      </c>
      <c r="T149" s="135" t="s">
        <v>1</v>
      </c>
      <c r="U149" s="146" t="str">
        <f>IF(OR(ISNUMBER(SEARCH("FAIL",K149&amp;" "&amp;Q149)),ISNUMBER(SEARCH("CLEAN RETEST REQUIRED",K149&amp;" "&amp;Q149))),"Failed",IF(OR(ISNUMBER(SEARCH("NOT RUN",K149&amp;" "&amp;Q149)),ISNUMBER(SEARCH("NOT IMPLEMENTED",K149&amp;" "&amp;Q149))),"Not started",IF(OR(ISNUMBER(SEARCH("PARTIAL",K149&amp;" "&amp;Q149)),ISNUMBER(SEARCH("PENDING",K149&amp;" "&amp;Q149)),ISNUMBER(SEARCH("IN PROGRESS",K149&amp;" "&amp;Q149)),ISNUMBER(SEARCH("OPEN",K149&amp;" "&amp;Q149)),ISNUMBER(SEARCH("RETEST REQUIRED",K149&amp;" "&amp;Q149)),ISNUMBER(SEARCH("IMPLEMENTATION UPDATED",K149&amp;" "&amp;Q149)),ISNUMBER(SEARCH("REQUIRED EVERY SESSION",K149&amp;" "&amp;Q149))),"Pending",IF(OR(Q149="PASS",ISNUMBER(SEARCH("PASS",K149&amp;" "&amp;Q149))),"Done","Pending"))))</f>
        <v>Done</v>
      </c>
      <c r="V149" s="146">
        <f>IF(T149="","",VALUE(LEFT(T149,SEARCH("/",T149)-1)))</f>
        <v/>
      </c>
      <c r="W149" s="146">
        <f>IF(T149="","",VALUE(MID(T149,SEARCH("/",T149)+1,LEN(T149))))</f>
        <v/>
      </c>
    </row>
    <row r="150" customFormat="false" ht="15" hidden="false" customHeight="false" outlineLevel="0" collapsed="false">
      <c r="A150" s="135" t="s">
        <v>1337</v>
      </c>
      <c r="B150" s="135" t="s">
        <v>1338</v>
      </c>
      <c r="C150" s="255" t="s">
        <v>38</v>
      </c>
      <c r="D150" s="135" t="s">
        <v>1339</v>
      </c>
      <c r="E150" s="135" t="s">
        <v>1340</v>
      </c>
      <c r="F150" s="135" t="s">
        <v>4</v>
      </c>
      <c r="G150" s="135" t="s">
        <v>4</v>
      </c>
      <c r="H150" s="135" t="s">
        <v>4</v>
      </c>
      <c r="I150" s="135" t="s">
        <v>1341</v>
      </c>
      <c r="J150" s="135" t="s">
        <v>1342</v>
      </c>
      <c r="K150" s="135" t="s">
        <v>1343</v>
      </c>
      <c r="L150" s="135" t="s">
        <v>1</v>
      </c>
      <c r="M150" s="135" t="s">
        <v>1</v>
      </c>
      <c r="N150" s="135" t="s">
        <v>1344</v>
      </c>
      <c r="O150" s="135" t="s">
        <v>1345</v>
      </c>
      <c r="P150" s="135" t="s">
        <v>1346</v>
      </c>
      <c r="Q150" s="135" t="s">
        <v>90</v>
      </c>
      <c r="R150" s="135" t="s">
        <v>1347</v>
      </c>
      <c r="S150" s="135" t="s">
        <v>1348</v>
      </c>
      <c r="T150" s="135" t="s">
        <v>1</v>
      </c>
      <c r="U150" s="146" t="str">
        <f>IF(OR(ISNUMBER(SEARCH("FAIL",K150&amp;" "&amp;Q150)),ISNUMBER(SEARCH("CLEAN RETEST REQUIRED",K150&amp;" "&amp;Q150))),"Failed",IF(OR(ISNUMBER(SEARCH("NOT RUN",K150&amp;" "&amp;Q150)),ISNUMBER(SEARCH("NOT IMPLEMENTED",K150&amp;" "&amp;Q150))),"Not started",IF(OR(ISNUMBER(SEARCH("PARTIAL",K150&amp;" "&amp;Q150)),ISNUMBER(SEARCH("PENDING",K150&amp;" "&amp;Q150)),ISNUMBER(SEARCH("IN PROGRESS",K150&amp;" "&amp;Q150)),ISNUMBER(SEARCH("OPEN",K150&amp;" "&amp;Q150)),ISNUMBER(SEARCH("RETEST REQUIRED",K150&amp;" "&amp;Q150)),ISNUMBER(SEARCH("IMPLEMENTATION UPDATED",K150&amp;" "&amp;Q150)),ISNUMBER(SEARCH("REQUIRED EVERY SESSION",K150&amp;" "&amp;Q150))),"Pending",IF(OR(Q150="PASS",ISNUMBER(SEARCH("PASS",K150&amp;" "&amp;Q150))),"Done","Pending"))))</f>
        <v>Done</v>
      </c>
      <c r="V150" s="146">
        <f>IF(T150="","",VALUE(LEFT(T150,SEARCH("/",T150)-1)))</f>
        <v/>
      </c>
      <c r="W150" s="146">
        <f>IF(T150="","",VALUE(MID(T150,SEARCH("/",T150)+1,LEN(T150))))</f>
        <v/>
      </c>
    </row>
    <row r="151" customFormat="false" ht="15" hidden="false" customHeight="false" outlineLevel="0" collapsed="false">
      <c r="A151" s="135" t="s">
        <v>1349</v>
      </c>
      <c r="B151" s="135" t="s">
        <v>1350</v>
      </c>
      <c r="C151" s="263" t="s">
        <v>44</v>
      </c>
      <c r="D151" s="135" t="s">
        <v>68</v>
      </c>
      <c r="E151" s="135" t="s">
        <v>1351</v>
      </c>
      <c r="F151" s="135" t="s">
        <v>1352</v>
      </c>
      <c r="G151" s="135" t="s">
        <v>4</v>
      </c>
      <c r="H151" s="135" t="s">
        <v>4</v>
      </c>
      <c r="I151" s="135" t="s">
        <v>4</v>
      </c>
      <c r="J151" s="135" t="s">
        <v>4</v>
      </c>
      <c r="K151" s="135" t="s">
        <v>890</v>
      </c>
      <c r="L151" s="135" t="s">
        <v>1</v>
      </c>
      <c r="M151" s="135" t="s">
        <v>1</v>
      </c>
      <c r="N151" s="135" t="s">
        <v>357</v>
      </c>
      <c r="O151" s="135" t="s">
        <v>1353</v>
      </c>
      <c r="P151" s="135" t="s">
        <v>1354</v>
      </c>
      <c r="Q151" s="135" t="s">
        <v>90</v>
      </c>
      <c r="R151" s="135" t="s">
        <v>1355</v>
      </c>
      <c r="S151" s="135" t="s">
        <v>1356</v>
      </c>
      <c r="T151" s="135" t="s">
        <v>1</v>
      </c>
      <c r="U151" s="146" t="str">
        <f>IF(OR(ISNUMBER(SEARCH("FAIL",K151&amp;" "&amp;Q151)),ISNUMBER(SEARCH("CLEAN RETEST REQUIRED",K151&amp;" "&amp;Q151))),"Failed",IF(OR(ISNUMBER(SEARCH("NOT RUN",K151&amp;" "&amp;Q151)),ISNUMBER(SEARCH("NOT IMPLEMENTED",K151&amp;" "&amp;Q151))),"Not started",IF(OR(ISNUMBER(SEARCH("PARTIAL",K151&amp;" "&amp;Q151)),ISNUMBER(SEARCH("PENDING",K151&amp;" "&amp;Q151)),ISNUMBER(SEARCH("IN PROGRESS",K151&amp;" "&amp;Q151)),ISNUMBER(SEARCH("OPEN",K151&amp;" "&amp;Q151)),ISNUMBER(SEARCH("RETEST REQUIRED",K151&amp;" "&amp;Q151)),ISNUMBER(SEARCH("IMPLEMENTATION UPDATED",K151&amp;" "&amp;Q151)),ISNUMBER(SEARCH("REQUIRED EVERY SESSION",K151&amp;" "&amp;Q151))),"Pending",IF(OR(Q151="PASS",ISNUMBER(SEARCH("PASS",K151&amp;" "&amp;Q151))),"Done","Pending"))))</f>
        <v>Done</v>
      </c>
      <c r="V151" s="146">
        <f>IF(T151="","",VALUE(LEFT(T151,SEARCH("/",T151)-1)))</f>
        <v/>
      </c>
      <c r="W151" s="146">
        <f>IF(T151="","",VALUE(MID(T151,SEARCH("/",T151)+1,LEN(T151))))</f>
        <v/>
      </c>
    </row>
    <row r="152" customFormat="false" ht="15" hidden="false" customHeight="false" outlineLevel="0" collapsed="false">
      <c r="A152" s="135" t="s">
        <v>1357</v>
      </c>
      <c r="B152" s="135" t="s">
        <v>254</v>
      </c>
      <c r="C152" s="263" t="s">
        <v>44</v>
      </c>
      <c r="D152" s="135" t="s">
        <v>1358</v>
      </c>
      <c r="E152" s="135" t="s">
        <v>1359</v>
      </c>
      <c r="F152" s="135" t="s">
        <v>1360</v>
      </c>
      <c r="G152" s="135" t="s">
        <v>1361</v>
      </c>
      <c r="H152" s="135" t="s">
        <v>1362</v>
      </c>
      <c r="I152" s="135" t="s">
        <v>1363</v>
      </c>
      <c r="J152" s="135" t="s">
        <v>1364</v>
      </c>
      <c r="K152" s="135" t="s">
        <v>183</v>
      </c>
      <c r="L152" s="135" t="s">
        <v>1</v>
      </c>
      <c r="M152" s="135" t="s">
        <v>1</v>
      </c>
      <c r="N152" s="135" t="s">
        <v>1365</v>
      </c>
      <c r="O152" s="135" t="s">
        <v>1366</v>
      </c>
      <c r="P152" s="135" t="s">
        <v>1367</v>
      </c>
      <c r="Q152" s="135" t="s">
        <v>90</v>
      </c>
      <c r="R152" s="135" t="s">
        <v>1368</v>
      </c>
      <c r="S152" s="135" t="s">
        <v>416</v>
      </c>
      <c r="T152" s="135" t="s">
        <v>1</v>
      </c>
      <c r="U152" s="146" t="str">
        <f>IF(OR(ISNUMBER(SEARCH("FAIL",K152&amp;" "&amp;Q152)),ISNUMBER(SEARCH("CLEAN RETEST REQUIRED",K152&amp;" "&amp;Q152))),"Failed",IF(OR(ISNUMBER(SEARCH("NOT RUN",K152&amp;" "&amp;Q152)),ISNUMBER(SEARCH("NOT IMPLEMENTED",K152&amp;" "&amp;Q152))),"Not started",IF(OR(ISNUMBER(SEARCH("PARTIAL",K152&amp;" "&amp;Q152)),ISNUMBER(SEARCH("PENDING",K152&amp;" "&amp;Q152)),ISNUMBER(SEARCH("IN PROGRESS",K152&amp;" "&amp;Q152)),ISNUMBER(SEARCH("OPEN",K152&amp;" "&amp;Q152)),ISNUMBER(SEARCH("RETEST REQUIRED",K152&amp;" "&amp;Q152)),ISNUMBER(SEARCH("IMPLEMENTATION UPDATED",K152&amp;" "&amp;Q152)),ISNUMBER(SEARCH("REQUIRED EVERY SESSION",K152&amp;" "&amp;Q152))),"Pending",IF(OR(Q152="PASS",ISNUMBER(SEARCH("PASS",K152&amp;" "&amp;Q152))),"Done","Pending"))))</f>
        <v>Done</v>
      </c>
      <c r="V152" s="146">
        <f>IF(T152="","",VALUE(LEFT(T152,SEARCH("/",T152)-1)))</f>
        <v/>
      </c>
      <c r="W152" s="146">
        <f>IF(T152="","",VALUE(MID(T152,SEARCH("/",T152)+1,LEN(T152))))</f>
        <v/>
      </c>
    </row>
    <row r="153" customFormat="false" ht="15" hidden="false" customHeight="false" outlineLevel="0" collapsed="false">
      <c r="A153" s="135" t="s">
        <v>1369</v>
      </c>
      <c r="B153" s="135" t="s">
        <v>254</v>
      </c>
      <c r="C153" s="263" t="s">
        <v>44</v>
      </c>
      <c r="D153" s="135" t="s">
        <v>1370</v>
      </c>
      <c r="E153" s="135" t="s">
        <v>1371</v>
      </c>
      <c r="F153" s="135" t="s">
        <v>1372</v>
      </c>
      <c r="G153" s="135" t="s">
        <v>1373</v>
      </c>
      <c r="H153" s="135" t="s">
        <v>1374</v>
      </c>
      <c r="I153" s="135" t="s">
        <v>1375</v>
      </c>
      <c r="J153" s="135" t="s">
        <v>1376</v>
      </c>
      <c r="K153" s="135" t="s">
        <v>183</v>
      </c>
      <c r="L153" s="135" t="s">
        <v>1</v>
      </c>
      <c r="M153" s="135" t="s">
        <v>1</v>
      </c>
      <c r="N153" s="135" t="s">
        <v>1365</v>
      </c>
      <c r="O153" s="135" t="s">
        <v>1377</v>
      </c>
      <c r="P153" s="135" t="s">
        <v>1378</v>
      </c>
      <c r="Q153" s="135" t="s">
        <v>90</v>
      </c>
      <c r="R153" s="135" t="s">
        <v>1379</v>
      </c>
      <c r="S153" s="135" t="s">
        <v>1380</v>
      </c>
      <c r="T153" s="135" t="s">
        <v>1</v>
      </c>
      <c r="U153" s="146" t="str">
        <f>IF(OR(ISNUMBER(SEARCH("FAIL",K153&amp;" "&amp;Q153)),ISNUMBER(SEARCH("CLEAN RETEST REQUIRED",K153&amp;" "&amp;Q153))),"Failed",IF(OR(ISNUMBER(SEARCH("NOT RUN",K153&amp;" "&amp;Q153)),ISNUMBER(SEARCH("NOT IMPLEMENTED",K153&amp;" "&amp;Q153))),"Not started",IF(OR(ISNUMBER(SEARCH("PARTIAL",K153&amp;" "&amp;Q153)),ISNUMBER(SEARCH("PENDING",K153&amp;" "&amp;Q153)),ISNUMBER(SEARCH("IN PROGRESS",K153&amp;" "&amp;Q153)),ISNUMBER(SEARCH("OPEN",K153&amp;" "&amp;Q153)),ISNUMBER(SEARCH("RETEST REQUIRED",K153&amp;" "&amp;Q153)),ISNUMBER(SEARCH("IMPLEMENTATION UPDATED",K153&amp;" "&amp;Q153)),ISNUMBER(SEARCH("REQUIRED EVERY SESSION",K153&amp;" "&amp;Q153))),"Pending",IF(OR(Q153="PASS",ISNUMBER(SEARCH("PASS",K153&amp;" "&amp;Q153))),"Done","Pending"))))</f>
        <v>Done</v>
      </c>
      <c r="V153" s="146">
        <f>IF(T153="","",VALUE(LEFT(T153,SEARCH("/",T153)-1)))</f>
        <v/>
      </c>
      <c r="W153" s="146">
        <f>IF(T153="","",VALUE(MID(T153,SEARCH("/",T153)+1,LEN(T153))))</f>
        <v/>
      </c>
    </row>
    <row r="154" customFormat="false" ht="15" hidden="false" customHeight="false" outlineLevel="0" collapsed="false">
      <c r="A154" s="135" t="s">
        <v>1381</v>
      </c>
      <c r="B154" s="135" t="s">
        <v>254</v>
      </c>
      <c r="C154" s="263" t="s">
        <v>44</v>
      </c>
      <c r="D154" s="135" t="s">
        <v>1382</v>
      </c>
      <c r="E154" s="135" t="s">
        <v>1383</v>
      </c>
      <c r="F154" s="135" t="s">
        <v>1384</v>
      </c>
      <c r="G154" s="135" t="s">
        <v>1385</v>
      </c>
      <c r="H154" s="135" t="s">
        <v>1386</v>
      </c>
      <c r="I154" s="135" t="s">
        <v>1387</v>
      </c>
      <c r="J154" s="135" t="s">
        <v>1388</v>
      </c>
      <c r="K154" s="135" t="s">
        <v>90</v>
      </c>
      <c r="L154" s="135" t="s">
        <v>1</v>
      </c>
      <c r="M154" s="135" t="s">
        <v>1</v>
      </c>
      <c r="N154" s="135" t="s">
        <v>1365</v>
      </c>
      <c r="O154" s="135" t="s">
        <v>1389</v>
      </c>
      <c r="P154" s="135" t="s">
        <v>1390</v>
      </c>
      <c r="Q154" s="135" t="s">
        <v>90</v>
      </c>
      <c r="R154" s="135" t="s">
        <v>1391</v>
      </c>
      <c r="S154" s="135" t="s">
        <v>1392</v>
      </c>
      <c r="T154" s="135" t="s">
        <v>1</v>
      </c>
      <c r="U154" s="146" t="str">
        <f>IF(OR(ISNUMBER(SEARCH("FAIL",K154&amp;" "&amp;Q154)),ISNUMBER(SEARCH("CLEAN RETEST REQUIRED",K154&amp;" "&amp;Q154))),"Failed",IF(OR(ISNUMBER(SEARCH("NOT RUN",K154&amp;" "&amp;Q154)),ISNUMBER(SEARCH("NOT IMPLEMENTED",K154&amp;" "&amp;Q154))),"Not started",IF(OR(ISNUMBER(SEARCH("PARTIAL",K154&amp;" "&amp;Q154)),ISNUMBER(SEARCH("PENDING",K154&amp;" "&amp;Q154)),ISNUMBER(SEARCH("IN PROGRESS",K154&amp;" "&amp;Q154)),ISNUMBER(SEARCH("OPEN",K154&amp;" "&amp;Q154)),ISNUMBER(SEARCH("RETEST REQUIRED",K154&amp;" "&amp;Q154)),ISNUMBER(SEARCH("IMPLEMENTATION UPDATED",K154&amp;" "&amp;Q154)),ISNUMBER(SEARCH("REQUIRED EVERY SESSION",K154&amp;" "&amp;Q154))),"Pending",IF(OR(Q154="PASS",ISNUMBER(SEARCH("PASS",K154&amp;" "&amp;Q154))),"Done","Pending"))))</f>
        <v>Done</v>
      </c>
      <c r="V154" s="146">
        <f>IF(T154="","",VALUE(LEFT(T154,SEARCH("/",T154)-1)))</f>
        <v/>
      </c>
      <c r="W154" s="146">
        <f>IF(T154="","",VALUE(MID(T154,SEARCH("/",T154)+1,LEN(T154))))</f>
        <v/>
      </c>
    </row>
    <row r="155" customFormat="false" ht="15" hidden="false" customHeight="false" outlineLevel="0" collapsed="false">
      <c r="A155" s="138" t="s">
        <v>1393</v>
      </c>
      <c r="B155" s="138" t="s">
        <v>144</v>
      </c>
      <c r="C155" s="263" t="s">
        <v>44</v>
      </c>
      <c r="D155" s="138" t="s">
        <v>1394</v>
      </c>
      <c r="E155" s="138" t="s">
        <v>1395</v>
      </c>
      <c r="F155" s="138" t="s">
        <v>1</v>
      </c>
      <c r="G155" s="138" t="s">
        <v>1</v>
      </c>
      <c r="H155" s="138" t="s">
        <v>1</v>
      </c>
      <c r="I155" s="138" t="s">
        <v>1</v>
      </c>
      <c r="J155" s="138" t="s">
        <v>1</v>
      </c>
      <c r="K155" s="138" t="s">
        <v>101</v>
      </c>
      <c r="L155" s="138" t="s">
        <v>101</v>
      </c>
      <c r="M155" s="138" t="s">
        <v>101</v>
      </c>
      <c r="N155" s="138" t="s">
        <v>1</v>
      </c>
      <c r="O155" s="138" t="s">
        <v>293</v>
      </c>
      <c r="P155" s="138" t="s">
        <v>1396</v>
      </c>
      <c r="Q155" s="138" t="s">
        <v>101</v>
      </c>
      <c r="R155" s="138" t="s">
        <v>149</v>
      </c>
      <c r="S155" s="138" t="s">
        <v>150</v>
      </c>
      <c r="T155" s="138" t="s">
        <v>151</v>
      </c>
      <c r="U155" s="146" t="str">
        <f>IF(OR(ISNUMBER(SEARCH("FAIL",K155&amp;" "&amp;Q155)),ISNUMBER(SEARCH("CLEAN RETEST REQUIRED",K155&amp;" "&amp;Q155))),"Failed",IF(OR(ISNUMBER(SEARCH("NOT RUN",K155&amp;" "&amp;Q155)),ISNUMBER(SEARCH("NOT IMPLEMENTED",K155&amp;" "&amp;Q155))),"Not started",IF(OR(ISNUMBER(SEARCH("PARTIAL",K155&amp;" "&amp;Q155)),ISNUMBER(SEARCH("PENDING",K155&amp;" "&amp;Q155)),ISNUMBER(SEARCH("IN PROGRESS",K155&amp;" "&amp;Q155)),ISNUMBER(SEARCH("OPEN",K155&amp;" "&amp;Q155)),ISNUMBER(SEARCH("RETEST REQUIRED",K155&amp;" "&amp;Q155)),ISNUMBER(SEARCH("IMPLEMENTATION UPDATED",K155&amp;" "&amp;Q155)),ISNUMBER(SEARCH("REQUIRED EVERY SESSION",K155&amp;" "&amp;Q155))),"Pending",IF(OR(Q155="PASS",ISNUMBER(SEARCH("PASS",K155&amp;" "&amp;Q155))),"Done","Pending"))))</f>
        <v>Not started</v>
      </c>
      <c r="V155" s="146">
        <f>IF(T155="","",VALUE(LEFT(T155,SEARCH("/",T155)-1)))</f>
        <v>10</v>
      </c>
      <c r="W155" s="146">
        <f>IF(T155="","",VALUE(MID(T155,SEARCH("/",T155)+1,LEN(T155))))</f>
        <v>25</v>
      </c>
    </row>
    <row r="156" customFormat="false" ht="15" hidden="false" customHeight="false" outlineLevel="0" collapsed="false">
      <c r="A156" s="138" t="s">
        <v>1397</v>
      </c>
      <c r="B156" s="138" t="s">
        <v>144</v>
      </c>
      <c r="C156" s="263" t="s">
        <v>44</v>
      </c>
      <c r="D156" s="138" t="s">
        <v>1398</v>
      </c>
      <c r="E156" s="138" t="s">
        <v>1399</v>
      </c>
      <c r="F156" s="138" t="s">
        <v>1</v>
      </c>
      <c r="G156" s="138" t="s">
        <v>1</v>
      </c>
      <c r="H156" s="138" t="s">
        <v>1</v>
      </c>
      <c r="I156" s="138" t="s">
        <v>1</v>
      </c>
      <c r="J156" s="138" t="s">
        <v>1</v>
      </c>
      <c r="K156" s="138" t="s">
        <v>101</v>
      </c>
      <c r="L156" s="138" t="s">
        <v>101</v>
      </c>
      <c r="M156" s="138" t="s">
        <v>101</v>
      </c>
      <c r="N156" s="138" t="s">
        <v>1</v>
      </c>
      <c r="O156" s="138" t="s">
        <v>147</v>
      </c>
      <c r="P156" s="138" t="s">
        <v>1400</v>
      </c>
      <c r="Q156" s="138" t="s">
        <v>101</v>
      </c>
      <c r="R156" s="138" t="s">
        <v>149</v>
      </c>
      <c r="S156" s="138" t="s">
        <v>150</v>
      </c>
      <c r="T156" s="138" t="s">
        <v>151</v>
      </c>
      <c r="U156" s="146" t="str">
        <f>IF(OR(ISNUMBER(SEARCH("FAIL",K156&amp;" "&amp;Q156)),ISNUMBER(SEARCH("CLEAN RETEST REQUIRED",K156&amp;" "&amp;Q156))),"Failed",IF(OR(ISNUMBER(SEARCH("NOT RUN",K156&amp;" "&amp;Q156)),ISNUMBER(SEARCH("NOT IMPLEMENTED",K156&amp;" "&amp;Q156))),"Not started",IF(OR(ISNUMBER(SEARCH("PARTIAL",K156&amp;" "&amp;Q156)),ISNUMBER(SEARCH("PENDING",K156&amp;" "&amp;Q156)),ISNUMBER(SEARCH("IN PROGRESS",K156&amp;" "&amp;Q156)),ISNUMBER(SEARCH("OPEN",K156&amp;" "&amp;Q156)),ISNUMBER(SEARCH("RETEST REQUIRED",K156&amp;" "&amp;Q156)),ISNUMBER(SEARCH("IMPLEMENTATION UPDATED",K156&amp;" "&amp;Q156)),ISNUMBER(SEARCH("REQUIRED EVERY SESSION",K156&amp;" "&amp;Q156))),"Pending",IF(OR(Q156="PASS",ISNUMBER(SEARCH("PASS",K156&amp;" "&amp;Q156))),"Done","Pending"))))</f>
        <v>Not started</v>
      </c>
      <c r="V156" s="146">
        <f>IF(T156="","",VALUE(LEFT(T156,SEARCH("/",T156)-1)))</f>
        <v>10</v>
      </c>
      <c r="W156" s="146">
        <f>IF(T156="","",VALUE(MID(T156,SEARCH("/",T156)+1,LEN(T156))))</f>
        <v>25</v>
      </c>
    </row>
    <row r="157" customFormat="false" ht="15" hidden="false" customHeight="false" outlineLevel="0" collapsed="false">
      <c r="A157" s="138" t="s">
        <v>1401</v>
      </c>
      <c r="B157" s="138" t="s">
        <v>254</v>
      </c>
      <c r="C157" s="540" t="s">
        <v>50</v>
      </c>
      <c r="D157" s="138" t="s">
        <v>1402</v>
      </c>
      <c r="E157" s="138" t="s">
        <v>1403</v>
      </c>
      <c r="F157" s="138" t="s">
        <v>1</v>
      </c>
      <c r="G157" s="138" t="s">
        <v>1</v>
      </c>
      <c r="H157" s="138" t="s">
        <v>1</v>
      </c>
      <c r="I157" s="138" t="s">
        <v>1</v>
      </c>
      <c r="J157" s="138" t="s">
        <v>1404</v>
      </c>
      <c r="K157" s="138" t="s">
        <v>1405</v>
      </c>
      <c r="L157" s="138" t="s">
        <v>101</v>
      </c>
      <c r="M157" s="138" t="s">
        <v>101</v>
      </c>
      <c r="N157" s="138" t="s">
        <v>872</v>
      </c>
      <c r="O157" s="138" t="s">
        <v>1406</v>
      </c>
      <c r="P157" s="138" t="s">
        <v>1407</v>
      </c>
      <c r="Q157" s="138" t="s">
        <v>101</v>
      </c>
      <c r="R157" s="138" t="s">
        <v>1408</v>
      </c>
      <c r="S157" s="138" t="s">
        <v>150</v>
      </c>
      <c r="T157" s="138" t="s">
        <v>304</v>
      </c>
      <c r="U157" s="146" t="str">
        <f>IF(OR(ISNUMBER(SEARCH("FAIL",K157&amp;" "&amp;Q157)),ISNUMBER(SEARCH("CLEAN RETEST REQUIRED",K157&amp;" "&amp;Q157))),"Failed",IF(OR(ISNUMBER(SEARCH("NOT RUN",K157&amp;" "&amp;Q157)),ISNUMBER(SEARCH("NOT IMPLEMENTED",K157&amp;" "&amp;Q157))),"Not started",IF(OR(ISNUMBER(SEARCH("PARTIAL",K157&amp;" "&amp;Q157)),ISNUMBER(SEARCH("PENDING",K157&amp;" "&amp;Q157)),ISNUMBER(SEARCH("IN PROGRESS",K157&amp;" "&amp;Q157)),ISNUMBER(SEARCH("OPEN",K157&amp;" "&amp;Q157)),ISNUMBER(SEARCH("RETEST REQUIRED",K157&amp;" "&amp;Q157)),ISNUMBER(SEARCH("IMPLEMENTATION UPDATED",K157&amp;" "&amp;Q157)),ISNUMBER(SEARCH("REQUIRED EVERY SESSION",K157&amp;" "&amp;Q157))),"Pending",IF(OR(Q157="PASS",ISNUMBER(SEARCH("PASS",K157&amp;" "&amp;Q157))),"Done","Pending"))))</f>
        <v>Not started</v>
      </c>
      <c r="V157" s="146">
        <f>IF(T157="","",VALUE(LEFT(T157,SEARCH("/",T157)-1)))</f>
        <v>60</v>
      </c>
      <c r="W157" s="146">
        <f>IF(T157="","",VALUE(MID(T157,SEARCH("/",T157)+1,LEN(T157))))</f>
        <v>120</v>
      </c>
    </row>
    <row r="158" customFormat="false" ht="15" hidden="false" customHeight="false" outlineLevel="0" collapsed="false">
      <c r="A158" s="138" t="s">
        <v>1409</v>
      </c>
      <c r="B158" s="138" t="s">
        <v>144</v>
      </c>
      <c r="C158" s="540" t="s">
        <v>50</v>
      </c>
      <c r="D158" s="138" t="s">
        <v>1410</v>
      </c>
      <c r="E158" s="138" t="s">
        <v>1411</v>
      </c>
      <c r="F158" s="138" t="s">
        <v>1</v>
      </c>
      <c r="G158" s="138" t="s">
        <v>1</v>
      </c>
      <c r="H158" s="138" t="s">
        <v>1</v>
      </c>
      <c r="I158" s="138" t="s">
        <v>1</v>
      </c>
      <c r="J158" s="138" t="s">
        <v>1</v>
      </c>
      <c r="K158" s="138" t="s">
        <v>101</v>
      </c>
      <c r="L158" s="138" t="s">
        <v>101</v>
      </c>
      <c r="M158" s="138" t="s">
        <v>101</v>
      </c>
      <c r="N158" s="138" t="s">
        <v>1</v>
      </c>
      <c r="O158" s="138" t="s">
        <v>147</v>
      </c>
      <c r="P158" s="138" t="s">
        <v>1412</v>
      </c>
      <c r="Q158" s="138" t="s">
        <v>101</v>
      </c>
      <c r="R158" s="138" t="s">
        <v>149</v>
      </c>
      <c r="S158" s="138" t="s">
        <v>150</v>
      </c>
      <c r="T158" s="138" t="s">
        <v>151</v>
      </c>
      <c r="U158" s="146" t="str">
        <f>IF(OR(ISNUMBER(SEARCH("FAIL",K158&amp;" "&amp;Q158)),ISNUMBER(SEARCH("CLEAN RETEST REQUIRED",K158&amp;" "&amp;Q158))),"Failed",IF(OR(ISNUMBER(SEARCH("NOT RUN",K158&amp;" "&amp;Q158)),ISNUMBER(SEARCH("NOT IMPLEMENTED",K158&amp;" "&amp;Q158))),"Not started",IF(OR(ISNUMBER(SEARCH("PARTIAL",K158&amp;" "&amp;Q158)),ISNUMBER(SEARCH("PENDING",K158&amp;" "&amp;Q158)),ISNUMBER(SEARCH("IN PROGRESS",K158&amp;" "&amp;Q158)),ISNUMBER(SEARCH("OPEN",K158&amp;" "&amp;Q158)),ISNUMBER(SEARCH("RETEST REQUIRED",K158&amp;" "&amp;Q158)),ISNUMBER(SEARCH("IMPLEMENTATION UPDATED",K158&amp;" "&amp;Q158)),ISNUMBER(SEARCH("REQUIRED EVERY SESSION",K158&amp;" "&amp;Q158))),"Pending",IF(OR(Q158="PASS",ISNUMBER(SEARCH("PASS",K158&amp;" "&amp;Q158))),"Done","Pending"))))</f>
        <v>Not started</v>
      </c>
      <c r="V158" s="146">
        <f>IF(T158="","",VALUE(LEFT(T158,SEARCH("/",T158)-1)))</f>
        <v>10</v>
      </c>
      <c r="W158" s="146">
        <f>IF(T158="","",VALUE(MID(T158,SEARCH("/",T158)+1,LEN(T158))))</f>
        <v>25</v>
      </c>
    </row>
    <row r="159" customFormat="false" ht="15" hidden="false" customHeight="false" outlineLevel="0" collapsed="false">
      <c r="A159" s="135" t="s">
        <v>1413</v>
      </c>
      <c r="B159" s="135" t="s">
        <v>254</v>
      </c>
      <c r="C159" s="243" t="s">
        <v>56</v>
      </c>
      <c r="D159" s="135" t="s">
        <v>1414</v>
      </c>
      <c r="E159" s="135" t="s">
        <v>1415</v>
      </c>
      <c r="F159" s="135" t="s">
        <v>4</v>
      </c>
      <c r="G159" s="135" t="s">
        <v>1416</v>
      </c>
      <c r="H159" s="135" t="s">
        <v>4</v>
      </c>
      <c r="I159" s="135" t="s">
        <v>1417</v>
      </c>
      <c r="J159" s="135" t="s">
        <v>1418</v>
      </c>
      <c r="K159" s="135" t="s">
        <v>183</v>
      </c>
      <c r="L159" s="135" t="s">
        <v>1</v>
      </c>
      <c r="M159" s="135" t="s">
        <v>1</v>
      </c>
      <c r="N159" s="135" t="s">
        <v>1365</v>
      </c>
      <c r="O159" s="135" t="s">
        <v>1419</v>
      </c>
      <c r="P159" s="135" t="s">
        <v>1420</v>
      </c>
      <c r="Q159" s="135" t="s">
        <v>90</v>
      </c>
      <c r="R159" s="135" t="s">
        <v>1421</v>
      </c>
      <c r="S159" s="135" t="s">
        <v>95</v>
      </c>
      <c r="T159" s="135" t="s">
        <v>1</v>
      </c>
      <c r="U159" s="146" t="str">
        <f>IF(OR(ISNUMBER(SEARCH("FAIL",K159&amp;" "&amp;Q159)),ISNUMBER(SEARCH("CLEAN RETEST REQUIRED",K159&amp;" "&amp;Q159))),"Failed",IF(OR(ISNUMBER(SEARCH("NOT RUN",K159&amp;" "&amp;Q159)),ISNUMBER(SEARCH("NOT IMPLEMENTED",K159&amp;" "&amp;Q159))),"Not started",IF(OR(ISNUMBER(SEARCH("PARTIAL",K159&amp;" "&amp;Q159)),ISNUMBER(SEARCH("PENDING",K159&amp;" "&amp;Q159)),ISNUMBER(SEARCH("IN PROGRESS",K159&amp;" "&amp;Q159)),ISNUMBER(SEARCH("OPEN",K159&amp;" "&amp;Q159)),ISNUMBER(SEARCH("RETEST REQUIRED",K159&amp;" "&amp;Q159)),ISNUMBER(SEARCH("IMPLEMENTATION UPDATED",K159&amp;" "&amp;Q159)),ISNUMBER(SEARCH("REQUIRED EVERY SESSION",K159&amp;" "&amp;Q159))),"Pending",IF(OR(Q159="PASS",ISNUMBER(SEARCH("PASS",K159&amp;" "&amp;Q159))),"Done","Pending"))))</f>
        <v>Done</v>
      </c>
      <c r="V159" s="146">
        <f>IF(T159="","",VALUE(LEFT(T159,SEARCH("/",T159)-1)))</f>
        <v/>
      </c>
      <c r="W159" s="146">
        <f>IF(T159="","",VALUE(MID(T159,SEARCH("/",T159)+1,LEN(T159))))</f>
        <v/>
      </c>
    </row>
    <row r="160" customFormat="false" ht="15" hidden="false" customHeight="false" outlineLevel="0" collapsed="false">
      <c r="A160" s="135" t="s">
        <v>1422</v>
      </c>
      <c r="B160" s="135" t="s">
        <v>254</v>
      </c>
      <c r="C160" s="243" t="s">
        <v>56</v>
      </c>
      <c r="D160" s="135" t="s">
        <v>1423</v>
      </c>
      <c r="E160" s="135" t="s">
        <v>1424</v>
      </c>
      <c r="F160" s="135" t="s">
        <v>1425</v>
      </c>
      <c r="G160" s="135" t="s">
        <v>1426</v>
      </c>
      <c r="H160" s="135" t="s">
        <v>1427</v>
      </c>
      <c r="I160" s="135" t="s">
        <v>1428</v>
      </c>
      <c r="J160" s="135" t="s">
        <v>1429</v>
      </c>
      <c r="K160" s="135" t="s">
        <v>90</v>
      </c>
      <c r="L160" s="135" t="s">
        <v>90</v>
      </c>
      <c r="M160" s="135" t="s">
        <v>1</v>
      </c>
      <c r="N160" s="135" t="s">
        <v>1365</v>
      </c>
      <c r="O160" s="135" t="s">
        <v>1430</v>
      </c>
      <c r="P160" s="135" t="s">
        <v>1431</v>
      </c>
      <c r="Q160" s="135" t="s">
        <v>90</v>
      </c>
      <c r="R160" s="135" t="s">
        <v>1432</v>
      </c>
      <c r="S160" s="135" t="s">
        <v>95</v>
      </c>
      <c r="T160" s="135" t="s">
        <v>1</v>
      </c>
      <c r="U160" s="146" t="str">
        <f>IF(OR(ISNUMBER(SEARCH("FAIL",K160&amp;" "&amp;Q160)),ISNUMBER(SEARCH("CLEAN RETEST REQUIRED",K160&amp;" "&amp;Q160))),"Failed",IF(OR(ISNUMBER(SEARCH("NOT RUN",K160&amp;" "&amp;Q160)),ISNUMBER(SEARCH("NOT IMPLEMENTED",K160&amp;" "&amp;Q160))),"Not started",IF(OR(ISNUMBER(SEARCH("PARTIAL",K160&amp;" "&amp;Q160)),ISNUMBER(SEARCH("PENDING",K160&amp;" "&amp;Q160)),ISNUMBER(SEARCH("IN PROGRESS",K160&amp;" "&amp;Q160)),ISNUMBER(SEARCH("OPEN",K160&amp;" "&amp;Q160)),ISNUMBER(SEARCH("RETEST REQUIRED",K160&amp;" "&amp;Q160)),ISNUMBER(SEARCH("IMPLEMENTATION UPDATED",K160&amp;" "&amp;Q160)),ISNUMBER(SEARCH("REQUIRED EVERY SESSION",K160&amp;" "&amp;Q160))),"Pending",IF(OR(Q160="PASS",ISNUMBER(SEARCH("PASS",K160&amp;" "&amp;Q160))),"Done","Pending"))))</f>
        <v>Done</v>
      </c>
      <c r="V160" s="146">
        <f>IF(T160="","",VALUE(LEFT(T160,SEARCH("/",T160)-1)))</f>
        <v/>
      </c>
      <c r="W160" s="146">
        <f>IF(T160="","",VALUE(MID(T160,SEARCH("/",T160)+1,LEN(T160))))</f>
        <v/>
      </c>
    </row>
    <row r="161" customFormat="false" ht="15" hidden="false" customHeight="false" outlineLevel="0" collapsed="false">
      <c r="A161" s="135" t="s">
        <v>1433</v>
      </c>
      <c r="B161" s="135" t="s">
        <v>254</v>
      </c>
      <c r="C161" s="243" t="s">
        <v>56</v>
      </c>
      <c r="D161" s="135" t="s">
        <v>1434</v>
      </c>
      <c r="E161" s="135" t="s">
        <v>1435</v>
      </c>
      <c r="F161" s="135" t="s">
        <v>4</v>
      </c>
      <c r="G161" s="135" t="s">
        <v>1436</v>
      </c>
      <c r="H161" s="135" t="s">
        <v>4</v>
      </c>
      <c r="I161" s="135" t="s">
        <v>1437</v>
      </c>
      <c r="J161" s="135" t="s">
        <v>1438</v>
      </c>
      <c r="K161" s="135" t="s">
        <v>183</v>
      </c>
      <c r="L161" s="135" t="s">
        <v>1</v>
      </c>
      <c r="M161" s="135" t="s">
        <v>1</v>
      </c>
      <c r="N161" s="135" t="s">
        <v>1365</v>
      </c>
      <c r="O161" s="135" t="s">
        <v>1439</v>
      </c>
      <c r="P161" s="135" t="s">
        <v>1440</v>
      </c>
      <c r="Q161" s="135" t="s">
        <v>90</v>
      </c>
      <c r="R161" s="135" t="s">
        <v>1441</v>
      </c>
      <c r="S161" s="135" t="s">
        <v>210</v>
      </c>
      <c r="T161" s="135" t="s">
        <v>1</v>
      </c>
      <c r="U161" s="146" t="str">
        <f>IF(OR(ISNUMBER(SEARCH("FAIL",K161&amp;" "&amp;Q161)),ISNUMBER(SEARCH("CLEAN RETEST REQUIRED",K161&amp;" "&amp;Q161))),"Failed",IF(OR(ISNUMBER(SEARCH("NOT RUN",K161&amp;" "&amp;Q161)),ISNUMBER(SEARCH("NOT IMPLEMENTED",K161&amp;" "&amp;Q161))),"Not started",IF(OR(ISNUMBER(SEARCH("PARTIAL",K161&amp;" "&amp;Q161)),ISNUMBER(SEARCH("PENDING",K161&amp;" "&amp;Q161)),ISNUMBER(SEARCH("IN PROGRESS",K161&amp;" "&amp;Q161)),ISNUMBER(SEARCH("OPEN",K161&amp;" "&amp;Q161)),ISNUMBER(SEARCH("RETEST REQUIRED",K161&amp;" "&amp;Q161)),ISNUMBER(SEARCH("IMPLEMENTATION UPDATED",K161&amp;" "&amp;Q161)),ISNUMBER(SEARCH("REQUIRED EVERY SESSION",K161&amp;" "&amp;Q161))),"Pending",IF(OR(Q161="PASS",ISNUMBER(SEARCH("PASS",K161&amp;" "&amp;Q161))),"Done","Pending"))))</f>
        <v>Done</v>
      </c>
      <c r="V161" s="146">
        <f>IF(T161="","",VALUE(LEFT(T161,SEARCH("/",T161)-1)))</f>
        <v/>
      </c>
      <c r="W161" s="146">
        <f>IF(T161="","",VALUE(MID(T161,SEARCH("/",T161)+1,LEN(T161))))</f>
        <v/>
      </c>
    </row>
    <row r="162" customFormat="false" ht="15" hidden="false" customHeight="false" outlineLevel="0" collapsed="false">
      <c r="A162" s="135" t="s">
        <v>1442</v>
      </c>
      <c r="B162" s="135" t="s">
        <v>254</v>
      </c>
      <c r="C162" s="243" t="s">
        <v>56</v>
      </c>
      <c r="D162" s="135" t="s">
        <v>1443</v>
      </c>
      <c r="E162" s="135" t="s">
        <v>1444</v>
      </c>
      <c r="F162" s="135" t="s">
        <v>1445</v>
      </c>
      <c r="G162" s="135" t="s">
        <v>1446</v>
      </c>
      <c r="H162" s="135" t="s">
        <v>4</v>
      </c>
      <c r="I162" s="135" t="s">
        <v>1447</v>
      </c>
      <c r="J162" s="135" t="s">
        <v>1448</v>
      </c>
      <c r="K162" s="135" t="s">
        <v>90</v>
      </c>
      <c r="L162" s="135" t="s">
        <v>90</v>
      </c>
      <c r="M162" s="135" t="s">
        <v>1</v>
      </c>
      <c r="N162" s="135" t="s">
        <v>1365</v>
      </c>
      <c r="O162" s="135" t="s">
        <v>1449</v>
      </c>
      <c r="P162" s="135" t="s">
        <v>1450</v>
      </c>
      <c r="Q162" s="135" t="s">
        <v>90</v>
      </c>
      <c r="R162" s="135" t="s">
        <v>1451</v>
      </c>
      <c r="S162" s="135" t="s">
        <v>1280</v>
      </c>
      <c r="T162" s="135" t="s">
        <v>1</v>
      </c>
      <c r="U162" s="146" t="str">
        <f>IF(OR(ISNUMBER(SEARCH("FAIL",K162&amp;" "&amp;Q162)),ISNUMBER(SEARCH("CLEAN RETEST REQUIRED",K162&amp;" "&amp;Q162))),"Failed",IF(OR(ISNUMBER(SEARCH("NOT RUN",K162&amp;" "&amp;Q162)),ISNUMBER(SEARCH("NOT IMPLEMENTED",K162&amp;" "&amp;Q162))),"Not started",IF(OR(ISNUMBER(SEARCH("PARTIAL",K162&amp;" "&amp;Q162)),ISNUMBER(SEARCH("PENDING",K162&amp;" "&amp;Q162)),ISNUMBER(SEARCH("IN PROGRESS",K162&amp;" "&amp;Q162)),ISNUMBER(SEARCH("OPEN",K162&amp;" "&amp;Q162)),ISNUMBER(SEARCH("RETEST REQUIRED",K162&amp;" "&amp;Q162)),ISNUMBER(SEARCH("IMPLEMENTATION UPDATED",K162&amp;" "&amp;Q162)),ISNUMBER(SEARCH("REQUIRED EVERY SESSION",K162&amp;" "&amp;Q162))),"Pending",IF(OR(Q162="PASS",ISNUMBER(SEARCH("PASS",K162&amp;" "&amp;Q162))),"Done","Pending"))))</f>
        <v>Done</v>
      </c>
      <c r="V162" s="146">
        <f>IF(T162="","",VALUE(LEFT(T162,SEARCH("/",T162)-1)))</f>
        <v/>
      </c>
      <c r="W162" s="146">
        <f>IF(T162="","",VALUE(MID(T162,SEARCH("/",T162)+1,LEN(T162))))</f>
        <v/>
      </c>
    </row>
    <row r="163" customFormat="false" ht="15" hidden="false" customHeight="false" outlineLevel="0" collapsed="false">
      <c r="A163" s="135" t="s">
        <v>1452</v>
      </c>
      <c r="B163" s="135" t="s">
        <v>106</v>
      </c>
      <c r="C163" s="243" t="s">
        <v>56</v>
      </c>
      <c r="D163" s="135" t="s">
        <v>1453</v>
      </c>
      <c r="E163" s="135" t="s">
        <v>1454</v>
      </c>
      <c r="F163" s="135" t="s">
        <v>4</v>
      </c>
      <c r="G163" s="135" t="s">
        <v>1455</v>
      </c>
      <c r="H163" s="135" t="s">
        <v>4</v>
      </c>
      <c r="I163" s="135" t="s">
        <v>1456</v>
      </c>
      <c r="J163" s="135" t="s">
        <v>1457</v>
      </c>
      <c r="K163" s="135" t="s">
        <v>90</v>
      </c>
      <c r="L163" s="135" t="s">
        <v>90</v>
      </c>
      <c r="M163" s="135" t="s">
        <v>101</v>
      </c>
      <c r="N163" s="135" t="s">
        <v>111</v>
      </c>
      <c r="O163" s="135" t="s">
        <v>1458</v>
      </c>
      <c r="P163" s="135" t="s">
        <v>1459</v>
      </c>
      <c r="Q163" s="135" t="s">
        <v>90</v>
      </c>
      <c r="R163" s="135" t="s">
        <v>1460</v>
      </c>
      <c r="S163" s="135" t="s">
        <v>1461</v>
      </c>
      <c r="T163" s="135" t="s">
        <v>1</v>
      </c>
      <c r="U163" s="146" t="str">
        <f>IF(OR(ISNUMBER(SEARCH("FAIL",K163&amp;" "&amp;Q163)),ISNUMBER(SEARCH("CLEAN RETEST REQUIRED",K163&amp;" "&amp;Q163))),"Failed",IF(OR(ISNUMBER(SEARCH("NOT RUN",K163&amp;" "&amp;Q163)),ISNUMBER(SEARCH("NOT IMPLEMENTED",K163&amp;" "&amp;Q163))),"Not started",IF(OR(ISNUMBER(SEARCH("PARTIAL",K163&amp;" "&amp;Q163)),ISNUMBER(SEARCH("PENDING",K163&amp;" "&amp;Q163)),ISNUMBER(SEARCH("IN PROGRESS",K163&amp;" "&amp;Q163)),ISNUMBER(SEARCH("OPEN",K163&amp;" "&amp;Q163)),ISNUMBER(SEARCH("RETEST REQUIRED",K163&amp;" "&amp;Q163)),ISNUMBER(SEARCH("IMPLEMENTATION UPDATED",K163&amp;" "&amp;Q163)),ISNUMBER(SEARCH("REQUIRED EVERY SESSION",K163&amp;" "&amp;Q163))),"Pending",IF(OR(Q163="PASS",ISNUMBER(SEARCH("PASS",K163&amp;" "&amp;Q163))),"Done","Pending"))))</f>
        <v>Done</v>
      </c>
      <c r="V163" s="146">
        <f>IF(T163="","",VALUE(LEFT(T163,SEARCH("/",T163)-1)))</f>
        <v/>
      </c>
      <c r="W163" s="146">
        <f>IF(T163="","",VALUE(MID(T163,SEARCH("/",T163)+1,LEN(T163))))</f>
        <v/>
      </c>
    </row>
  </sheetData>
  <mergeCells count="36">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B14"/>
    <mergeCell ref="D14:E14"/>
    <mergeCell ref="F14:G14"/>
    <mergeCell ref="I14:J14"/>
    <mergeCell ref="A15:T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