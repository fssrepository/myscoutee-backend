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ns2="http://schemas.libreoffice.org/"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DMIN_DYNAMIC_SURFACES_QA_MATRI" sheetId="1" state="visible" r:id="rId2"/>
  </sheets>
  <calcPr iterateCount="100" refMode="A1" iterate="false" iterateDelta="0.001" calcMode="auto" fullCalcOnLoad="1" forceFullCalc="1"/>
  <extLst>
    <ext uri="{7626C862-2A13-11E5-B345-FEFF819CDC9F}">
      <ns2:extCalcPr stringRefSyntax="CalcA1"/>
    </ext>
  </extLst>
</workbook>
</file>

<file path=xl/sharedStrings.xml><?xml version="1.0" encoding="utf-8"?>
<sst xmlns="http://schemas.openxmlformats.org/spreadsheetml/2006/main" count="4598" uniqueCount="2173">
  <si>
    <t>EFFECT / SCOPE MARKERS</t>
  </si>
  <si>
    <t/>
  </si>
  <si>
    <t>Done</t>
  </si>
  <si>
    <t>62 (48%)</t>
  </si>
  <si>
    <t>X</t>
  </si>
  <si>
    <t>No expected effect — An unchanged X cell is PASS</t>
  </si>
  <si>
    <t>Pending</t>
  </si>
  <si>
    <t>15</t>
  </si>
  <si>
    <t>DELTA</t>
  </si>
  <si>
    <t>Required direct effect — Record before/after count and direction</t>
  </si>
  <si>
    <t>Not started</t>
  </si>
  <si>
    <t>51</t>
  </si>
  <si>
    <t>INDIRECT</t>
  </si>
  <si>
    <t>Conditional effect — State the condition and prove it occurred</t>
  </si>
  <si>
    <t>Failed</t>
  </si>
  <si>
    <t>0</t>
  </si>
  <si>
    <t>GAP</t>
  </si>
  <si>
    <t>Known observability gap — Record FAIL/GAP separately from domain PASS</t>
  </si>
  <si>
    <t>Core</t>
  </si>
  <si>
    <t>128</t>
  </si>
  <si>
    <t>EXT</t>
  </si>
  <si>
    <t>Deferred minimum-launch qualification: Admin optional plus Operator, Payment, Registry or Deployment — Admin optional and IDs beginning OPERATOR-, PAYMENT- or DEPLOY- receive the external/optional color</t>
  </si>
  <si>
    <t>External / optional</t>
  </si>
  <si>
    <t>97</t>
  </si>
  <si>
    <t>Total</t>
  </si>
  <si>
    <t>225</t>
  </si>
  <si>
    <t>DOMAIN PRIORITY</t>
  </si>
  <si>
    <t>QA domain</t>
  </si>
  <si>
    <t>Priority</t>
  </si>
  <si>
    <t>Progress</t>
  </si>
  <si>
    <t>QA domain (EXT / optional)</t>
  </si>
  <si>
    <t>QA infrastructure</t>
  </si>
  <si>
    <t>14</t>
  </si>
  <si>
    <t>0 passed / 2 total (0%)</t>
  </si>
  <si>
    <t>Asset</t>
  </si>
  <si>
    <t>9</t>
  </si>
  <si>
    <t>0 passed / 9 total (0%)</t>
  </si>
  <si>
    <t>Admin optional</t>
  </si>
  <si>
    <t>4</t>
  </si>
  <si>
    <t>3 passed / 41 total (7%)</t>
  </si>
  <si>
    <t>Identity &amp; access</t>
  </si>
  <si>
    <t>13</t>
  </si>
  <si>
    <t>5 passed / 14 total (36%)</t>
  </si>
  <si>
    <t>Content</t>
  </si>
  <si>
    <t>8</t>
  </si>
  <si>
    <t>2 passed / 2 total (100%)</t>
  </si>
  <si>
    <t>Operator</t>
  </si>
  <si>
    <t>3</t>
  </si>
  <si>
    <t>0 passed / 32 total (0%)</t>
  </si>
  <si>
    <t>Event</t>
  </si>
  <si>
    <t>12</t>
  </si>
  <si>
    <t>42 passed / 52 total (81%)</t>
  </si>
  <si>
    <t>Notifications</t>
  </si>
  <si>
    <t>7</t>
  </si>
  <si>
    <t>0 passed / 7 total (0%)</t>
  </si>
  <si>
    <t>Payment</t>
  </si>
  <si>
    <t>2</t>
  </si>
  <si>
    <t>0 passed / 16 total (0%)</t>
  </si>
  <si>
    <t>Tournament</t>
  </si>
  <si>
    <t>11</t>
  </si>
  <si>
    <t>12 passed / 15 total (80%)</t>
  </si>
  <si>
    <t>Client platform</t>
  </si>
  <si>
    <t>6</t>
  </si>
  <si>
    <t>0 passed / 5 total (0%)</t>
  </si>
  <si>
    <t>Deployment</t>
  </si>
  <si>
    <t>1</t>
  </si>
  <si>
    <t>0 passed / 8 total (0%)</t>
  </si>
  <si>
    <t>Chat</t>
  </si>
  <si>
    <t>10</t>
  </si>
  <si>
    <t>1 passed / 20 total (5%)</t>
  </si>
  <si>
    <t>Administration</t>
  </si>
  <si>
    <t>5</t>
  </si>
  <si>
    <t>QA TEST CASES</t>
  </si>
  <si>
    <t>ENVIRONMENTS</t>
  </si>
  <si>
    <t>ID</t>
  </si>
  <si>
    <t>Type</t>
  </si>
  <si>
    <t>Area</t>
  </si>
  <si>
    <t>Scenario</t>
  </si>
  <si>
    <t>Statistics</t>
  </si>
  <si>
    <t>Monitoring / Metrics</t>
  </si>
  <si>
    <t>Affinity Graph</t>
  </si>
  <si>
    <t>Admin Jobs</t>
  </si>
  <si>
    <t>Domain / other UI</t>
  </si>
  <si>
    <t>Manual status</t>
  </si>
  <si>
    <t>Dev</t>
  </si>
  <si>
    <t>Local</t>
  </si>
  <si>
    <t>Last manual date</t>
  </si>
  <si>
    <t>Automated coverage</t>
  </si>
  <si>
    <t>Next manual oracle</t>
  </si>
  <si>
    <t>Result</t>
  </si>
  <si>
    <t>Evidence / notes</t>
  </si>
  <si>
    <t>Manual QA priority</t>
  </si>
  <si>
    <t>CLEANUP</t>
  </si>
  <si>
    <t>Safety</t>
  </si>
  <si>
    <t>Environment</t>
  </si>
  <si>
    <t>Reset fixture and revert parameters</t>
  </si>
  <si>
    <t>No fixture-induced future delta</t>
  </si>
  <si>
    <t>No fixture queue left pending/failed</t>
  </si>
  <si>
    <t>Baseline graph restored where data was reverted</t>
  </si>
  <si>
    <t>No fixture rule running; original rule config restored</t>
  </si>
  <si>
    <t>No prepared fixture; original parameter versions active by value</t>
  </si>
  <si>
    <t>REQUIRED every session; stale random-room snapshot found</t>
  </si>
  <si>
    <t>2026-08-04</t>
  </si>
  <si>
    <t>Fixture reset guards</t>
  </si>
  <si>
    <t>Start next session with guarded status/reset; record final status and database identity</t>
  </si>
  <si>
    <t>OPEN</t>
  </si>
  <si>
    <t>Random-room source/generated fixture data absent, but balanced snapshot from 2026-07-31 remains; do not delete directly</t>
  </si>
  <si>
    <t>P0 100</t>
  </si>
  <si>
    <t>QA-RESET-001</t>
  </si>
  <si>
    <t>Harness defect retest</t>
  </si>
  <si>
    <t>Manual QA isolation</t>
  </si>
  <si>
    <t>Reset a scheduler scenario after it creates an invitation and notification</t>
  </si>
  <si>
    <t>Reloaded invitee shows the exact pre-stage Invitations and Notifications badge values and no fixture-owned rows</t>
  </si>
  <si>
    <t>FIXED; MANUAL UI RECHECK PENDING</t>
  </si>
  <si>
    <t>STAT-012 helper snapshots and restores both selected users' activity projections; JavaScript syntax check passed</t>
  </si>
  <si>
    <t>Reload Nova after the current guarded repair; verify both empty lists have zero badges</t>
  </si>
  <si>
    <t>OPEN / PARTIAL</t>
  </si>
  <si>
    <t>Initial STAT-012 reset removed the event, member and notification rows but left Nova activities.invitations, activities.event.all, activities.event.invitations and activities.notifications at 1. Read-only evidence proved no remaining Nova event membership, owned/admin event or notification. A guarded exact-state update repaired all four counters, and the reusable reset now restores the pre-stage activities projections. Cleanup isolation is P0 by policy.</t>
  </si>
  <si>
    <t>P0 88</t>
  </si>
  <si>
    <t>ENTRY-DEMO-REG-001</t>
  </si>
  <si>
    <t>Expansion checkpoint CP03</t>
  </si>
  <si>
    <t>Entry and registration</t>
  </si>
  <si>
    <t>Register and onboard one fresh identity with Firebase inactive</t>
  </si>
  <si>
    <t>INDIRECT user inventory</t>
  </si>
  <si>
    <t>DELTA one user/profile and consent lineage</t>
  </si>
  <si>
    <t>INDIRECT after normal profile processing</t>
  </si>
  <si>
    <t>Demo/bootstrap auth reaches required onboarding once without manufacturing Firebase state; pasted numeric profile input remains identical in the draft and Review</t>
  </si>
  <si>
    <t>MANUAL UI + SERVER ORACLE PASS / CLOSED</t>
  </si>
  <si>
    <t>2026-08-13</t>
  </si>
  <si>
    <t>Focused FormFlow paste regression added; active frontend watcher compile passed; standalone test not run during the owned dev build</t>
  </si>
  <si>
    <t>Closed: replay only if demo identity, onboarding persistence or shared numeric-control behavior changes</t>
  </si>
  <si>
    <t>PASS</t>
  </si>
  <si>
    <t>• Pre-Save open, Basics, three images and Review retained zero post-baseline users; no media error.
• One Save created demo-profile-7e3c471d-d5fb-4175-ba07-885db86856fe: public/A, form v2, 3 images, 1 experience profile, 0 provider identities and one unique stable development-email owner.
• Height paste defect reproduced as DOM 170 versus draft/Review 0170; shared FormFlow number write fixed. Fresh-bundle focused replay returned input/draft/Review 170 and created no second user.</t>
  </si>
  <si>
    <t>P0 98</t>
  </si>
  <si>
    <t>ENTRY-FIREBASE-REG-001</t>
  </si>
  <si>
    <t>Register and onboard one new verified Firebase identity</t>
  </si>
  <si>
    <t>DELTA one subject/user/profile link</t>
  </si>
  <si>
    <t>Reload/login reuses one user and cannot collide with demo or global identity</t>
  </si>
  <si>
    <t>DESIGN CAPTURED / NOT RUN</t>
  </si>
  <si>
    <t>Firebase and registration components exist; integrated activated-revision flow not run</t>
  </si>
  <si>
    <t>Compare Firebase subject, internal user ID, profile and second-login reuse</t>
  </si>
  <si>
    <t>Requires verified operator Firebase revision from CP04 preparation</t>
  </si>
  <si>
    <t>ENTRY-CONSENT-001</t>
  </si>
  <si>
    <t>Entry privacy consent</t>
  </si>
  <si>
    <t>Accept required privacy and selected optional sections before registration</t>
  </si>
  <si>
    <t>DELTA immutable exact-revision consent</t>
  </si>
  <si>
    <t>Anonymous evidence transfers once to authenticated user without broadening selected consent</t>
  </si>
  <si>
    <t>Versioned entry-consent fixture, read-only browser-state oracle and terminal Mongo oracle passed</t>
  </si>
  <si>
    <t>Closed: replay only if consent selection, anonymous transfer or revision enforcement changes</t>
  </si>
  <si>
    <t>• Controlled English privacy v2 started from 25 consents, 0 ownerless consents and no post-baseline user.
• Anonymous acceptance retained only qa-analytics for the exact revision, wrote one entry audit and created no session or server consent before registration.
• One Save created demo-profile-5b569629-0a7b-46c8-b7e3-044f8f8f80dd with 3 images and exactly one user-owned consent; total delta +1, ownerless delta 0, qa-marketing absent, and /game did not reopen privacy.
• Reset restored privacy-default-v1 as sole active revision and retained the inactive QA revision, profile and consent evidence.</t>
  </si>
  <si>
    <t>ENTRY-CONSENT-002</t>
  </si>
  <si>
    <t>Reject once, activate a newer revision, then reaccept</t>
  </si>
  <si>
    <t>DELTA rejection/no-session then new immutable consent</t>
  </si>
  <si>
    <t>Old acceptance cannot satisfy new privacy revision and old audit history remains intact</t>
  </si>
  <si>
    <t>Versioned two-revision fixture, browser-state oracles and terminal Mongo oracle passed</t>
  </si>
  <si>
    <t>Closed: replay only if rejection, revision enforcement, audit retention or immutable consent semantics change</t>
  </si>
  <si>
    <t>• Previous v3 started as sole active revision; controlled newer v4 was inactive.
• Baseline: Nova consents 2, total consents 26, ownerless 0, controlled-revision consents 0.
• Fresh anonymous /entry browser shows exact v3 with no selected optional IDs, consent, audit or session; Cancel/Accept boundary visible.
• One Cancel wrote exactly one rejected v3 audit; browser consent/session stayed absent and all server consent deltas stayed 0.
• Login/Member reopened the same v3 gate without mutating the rejection audit, optional selection, session or server cardinality.
• Accepting only Previous analytics stored the exact local v3 consent and prepended one accepted audit without removing the rejection; session stayed absent and server deltas stayed 0.
• Nova login transferred one entry-source v3 consent (6a7e170d67960971c52a31b6): only qa-previous-analytics, target/total delta +1, ownerless 0, v4 consent absent.
• Guarded activation made only v4 active at 19:13:40.771Z; v3 consent remained byte-identical and v4 consent stayed absent before reload.
• Reload retained Nova/v3/audit history but forced a non-backdrop-dismissible v4 popup with empty selection; server still had no v4 consent and cardinality stayed +1/+1/0.
• Approving only Current analytics created settings-source v4 consent 6a7e188067960971c52a31b8; v3 stayed immutable, marketing absent, target/total +2, ownerless 0.</t>
  </si>
  <si>
    <t>ENTRY-CONSENT-003</t>
  </si>
  <si>
    <t>Carry stable optional choices into a new revision that adds one rubric</t>
  </si>
  <si>
    <t>DELTA one immutable v5 consent; v4 unchanged</t>
  </si>
  <si>
    <t>Only previously approved matching stable IDs are preselected; new and prior-unselected rubrics remain opt-in</t>
  </si>
  <si>
    <t>PASS / CLOSED</t>
  </si>
  <si>
    <t>Versioned inheritance fixture, repair path and browser/server oracles implemented; display and save branches passed</t>
  </si>
  <si>
    <t>Closed; reset restores the original active privacy revision while retaining immutable v4/v5 consent evidence</t>
  </si>
  <si>
    <t>• Distinct v5 revision staged from exact retained v4 consent; baseline Nova/total/ownerless counts 4/28/0 and every delta 0.
• Fresh Nova browser with no local consent bootstrap forced v5 and preselected only qa-current-analytics from v4.
• Previously unselected qa-current-marketing and new qa-product-research both started unselected; v5 consent was absent before the user action.
• Nova approved exactly qa-current-analytics plus qa-product-research; the popup closed and the demo session remained active.
• Initial terminal verification found a fixture-stage defect, not an application write: stage had updated metadata on all English privacy revisions. Stage now deactivates only the active revision; versioned repair-stage restored three inactive snapshots without touching consents.
• Final terminal oracle PASS 2026-08-13T19:40:23.017Z: v5 consent 6a7e1ce567960971c52a31b9 is settings-source with exactly analytics + product research; marketing absent; v4 revision/consent byte-identical; target/total/ownerless deltas +1/+1/0.</t>
  </si>
  <si>
    <t>AUTH-SESSION-001</t>
  </si>
  <si>
    <t>Security checkpoint</t>
  </si>
  <si>
    <t>Authentication / concurrent sessions</t>
  </si>
  <si>
    <t>Authenticate one controlled user from three isolated clients and enforce a server-side maximum of two active sessions</t>
  </si>
  <si>
    <t>INDIRECT authentication/security metrics only if separately attributed</t>
  </si>
  <si>
    <t>DELTA one immutable login audit per explicit attempt and one security warning for every distinct additional or blocked client login; refresh X</t>
  </si>
  <si>
    <t>Client A is accepted without a remote-login warning; distinct B is accepted and warns with a normalized machine label; distinct C is blocked while A/B remain valid and warns; after one slot is explicitly released C is accepted and warns. Notification time is supplied by its timestamp, active sessions never exceed two and credentials/raw tokens are absent from UI and audit</t>
  </si>
  <si>
    <t>2026-08-14</t>
  </si>
  <si>
    <t>Server-authoritative two-slot session registry, immutable login audit and normalized security notification implementation; guarded auth-session fixture/oracle; tracked-demo publication-order regression source; existing backend/frontend watcher builds PASS</t>
  </si>
  <si>
    <t>Closed; repeat only after authentication/session registration, logout/revocation, client-label normalization, login audit, security notification delivery, demo-selector error propagation or i18n scope changes</t>
  </si>
  <si>
    <t>• Clean Nova baseline: sessions/audits/notifications/outbox all 0.
• A accepted once with no warning; reload retained the same one slot/audit.
• B accepted as slot 2; A/B stayed usable and converged to the same warning counter.
• C remained blocked at two slots. A generic selector-message defect was fixed and replayed without deleting the first immutable audit; the exact repair-run order was ACCEPTED/ACCEPTED/BLOCKED_LIMIT/BLOCKED_LIMIT/ACCEPTED.
• Explicit A logout released only A; accepted C then joined B as the exact final two sessions.
• Final oracle: 2 active opaque sessions, 5 explicit-attempt audits, 4 normalized security notification/outbox rows, B/C counters 4, no raw UA/IP/token/session ID in UI.
• C loaded demo.en .56 with Got it translated. Screenshot 2026-08-14 22-21-30 shows two New login and two Blocked login attempt rows; list open left all four unread.</t>
  </si>
  <si>
    <t>LANDING-ELIGIBILITY-001</t>
  </si>
  <si>
    <t>Public landing / regional login eligibility</t>
  </si>
  <si>
    <t>• Budapest and London with granted browser geolocation
• Paris as an absent-country control
• Paris target after permission reset and Block</t>
  </si>
  <si>
    <t>X for read-only eligibility checks unless dedicated security metrics are later specified</t>
  </si>
  <si>
    <t>• Budapest 47.4979/19.0402 resolves eligible=true and country:hu
• London 51.5074/-0.1278 resolves eligible=true and country:gb from the versioned OSM partition
• Paris 48.8566/2.3522 resolves eligible=false while country:fr is absent, without implying a ban
• Denied permission keeps Allow location without assuming a country or creating a session
• Switching branches cannot reuse stale coordinates</t>
  </si>
  <si>
    <t>PARTIAL PASS / FIREBASE LOGIN PENDING</t>
  </si>
  <si>
    <t>2026-08-15</t>
  </si>
  <si>
    <t>Budapest/HU, London/GB and Paris/FR-absent granted branches PASS with exact requests and screenshot 2026-08-14 23-05-56. Paris permission denied -&gt; explicit Allow location -&gt; native Chrome grant -&gt; one exact Paris retry PASS; screenshot 2026-08-15 00-44-26. Public Start exploring remained available; demo entry no longer persisted Paris into the seeded profile. Normal Logout revoked the exact backend demo session. Guarded cleanup removed only 2 session states, 3 accepted demo audits, 1 security outbox and 1 inbox row, reversed both +1 projections, and final status/verify/reset restored 56/0/0 with HU/GB unchanged. Real Firebase login partition retention is not executed because deployment Firebase client configuration is inactive.</t>
  </si>
  <si>
    <t>• Activate a verified deployment Firebase client revision in its operator checkpoint
• In a fresh eligible browser complete ordinary Firebase authentication
• Prove the resolved country partition survives the authentication/profile path and no demo fallback was used</t>
  </si>
  <si>
    <t>Coordinates come from the browser and are untrusted input. Eligibility is allowlist-based: absence of an enabled countryPartition means not yet available, not forbidden. Functional geolocation gating does not by itself prevent spoofing; a server-trusted corroborating signal needs a separate security design if required. Demo selection is a public CTA control, not evidence for Firebase authentication.</t>
  </si>
  <si>
    <t>ROLE-TRIAD-001</t>
  </si>
  <si>
    <t>Expansion checkpoint CP11</t>
  </si>
  <si>
    <t>Three-role authorization</t>
  </si>
  <si>
    <t>Keep member, admin and operator sessions open and probe route families</t>
  </si>
  <si>
    <t>INDIRECT role-scoped counters</t>
  </si>
  <si>
    <t>DELTA denied access audit where defined</t>
  </si>
  <si>
    <t>Each role sees only its capabilities and direct cross-role calls are denied without state mutation</t>
  </si>
  <si>
    <t>Role/security tests exist; complete three-account route matrix not run</t>
  </si>
  <si>
    <t>Use exactly three isolated browser accounts and compare UI plus direct HTTP denials</t>
  </si>
  <si>
    <t>No fourth browser identity is permitted</t>
  </si>
  <si>
    <t>ROLE-TRIAD-002</t>
  </si>
  <si>
    <t>Three-role public config</t>
  </si>
  <si>
    <t>Operator changes branding while member and admin surfaces stay open</t>
  </si>
  <si>
    <t>DELTA one public revision and client reconciliation</t>
  </si>
  <si>
    <t>Both consumers converge without logout/state loss and neither can edit operator config</t>
  </si>
  <si>
    <t>Config/branding coverage partial; simultaneous three-role flow not run</t>
  </si>
  <si>
    <t>Compare open member/admin, fresh read, operator revision and direct authorization controls</t>
  </si>
  <si>
    <t>Carry the same three sessions forward</t>
  </si>
  <si>
    <t>P1 94</t>
  </si>
  <si>
    <t>ROLE-TRIAD-003</t>
  </si>
  <si>
    <t>Three-role Firebase activation</t>
  </si>
  <si>
    <t>Operator activates verified Firebase while admin works and member starts new login</t>
  </si>
  <si>
    <t>DELTA active auth revision</t>
  </si>
  <si>
    <t>CONDITIONAL capability test only; activation notification X</t>
  </si>
  <si>
    <t>New login uses Firebase; existing admin work stays stable and roles/notifications do not mutate</t>
  </si>
  <si>
    <t>Firebase/role coverage exists in parts; concurrent three-role sequence not run</t>
  </si>
  <si>
    <t>Compare member login mode, admin state, operator revision and all notification controls</t>
  </si>
  <si>
    <t>Requires verified disposable Firebase configuration</t>
  </si>
  <si>
    <t>ROLE-TRIAD-004</t>
  </si>
  <si>
    <t>Three-role moderation</t>
  </si>
  <si>
    <t>Admin blocks member while operator monitors deployment</t>
  </si>
  <si>
    <t>INDIRECT member access state</t>
  </si>
  <si>
    <t>DELTA moderation audit</t>
  </si>
  <si>
    <t>Member access closes per policy; operator network/session remains intact and admin cannot alter operator authority</t>
  </si>
  <si>
    <t>Block and operator access coverage partial; concurrent three-role sequence not run</t>
  </si>
  <si>
    <t>Compare old/new member requests, admin audit, operator state and role documents</t>
  </si>
  <si>
    <t>Use disposable member; restore only the block state</t>
  </si>
  <si>
    <t>ROLE-TRIAD-005</t>
  </si>
  <si>
    <t>Three-role deployment state</t>
  </si>
  <si>
    <t>Operator deactivates deployment while member/admin are open, then reactivates</t>
  </si>
  <si>
    <t>INDIRECT consumer/admin availability</t>
  </si>
  <si>
    <t>DELTA local/registry deployment state</t>
  </si>
  <si>
    <t>CONDITIONAL state propagation only</t>
  </si>
  <si>
    <t>Member/admin fail closed without stale writes; operator recovery works and roles reconstruct after activation</t>
  </si>
  <si>
    <t>Deployment state and role gates exist; live three-role transition not run</t>
  </si>
  <si>
    <t>Compare open/fresh member/admin writes, operator recovery and both deployment-state authorities</t>
  </si>
  <si>
    <t>Deployment inactive is not browser offline mode</t>
  </si>
  <si>
    <t>ADMIN-ACCESS-001</t>
  </si>
  <si>
    <t>Expansion checkpoint CP08</t>
  </si>
  <si>
    <t>Admin authorization</t>
  </si>
  <si>
    <t>Call admin route families as admin, operator and member</t>
  </si>
  <si>
    <t>DELTA denial audit where defined</t>
  </si>
  <si>
    <t>Admin succeeds within policy; operator/member direct calls are denied without data leakage or mutation</t>
  </si>
  <si>
    <t>Backend security tests exist; complete route-family three-role audit not run</t>
  </si>
  <si>
    <t>Probe UI and direct HTTP with three isolated sessions and unchanged controls</t>
  </si>
  <si>
    <t>Frontend hiding alone is not PASS</t>
  </si>
  <si>
    <t>JOB-PURGE</t>
  </si>
  <si>
    <t>Scheduled job</t>
  </si>
  <si>
    <t>account-purge</t>
  </si>
  <si>
    <t>Real scheduler purges due deleted account</t>
  </si>
  <si>
    <t>INDIRECT network graph after user removal; ordinary deletion counted earlier</t>
  </si>
  <si>
    <t>DELTA scheduler/audit; X for new profile.deleted event at purge time</t>
  </si>
  <si>
    <t>INDIRECT member/edge totals after removal</t>
  </si>
  <si>
    <t>DELTA removed/anonymized data and terminal purge job</t>
  </si>
  <si>
    <t>MANUAL FUNCTIONAL PASS</t>
  </si>
  <si>
    <t>2026-07-29</t>
  </si>
  <si>
    <t>Fixture/service/common lifecycle tests</t>
  </si>
  <si>
    <t>Capture graph totals and Monitoring delta</t>
  </si>
  <si>
    <t>PASS / PARTIAL</t>
  </si>
  <si>
    <t>Primary domain oracle passed</t>
  </si>
  <si>
    <t>EVENT-EDITOR-001</t>
  </si>
  <si>
    <t>Checkpoint</t>
  </si>
  <si>
    <t>Event Editor</t>
  </si>
  <si>
    <t>Create, save and reopen one draft event</t>
  </si>
  <si>
    <t>INDIRECT after the statistics snapshot worker</t>
  </si>
  <si>
    <t>DELTA event write and recompute queue</t>
  </si>
  <si>
    <t>INDIRECT after recompute</t>
  </si>
  <si>
    <t>DELTA affinity recompute task; active-only schedulers X</t>
  </si>
  <si>
    <t>Draft appears once in Hosting/Drafts and every saved field reopens exactly</t>
  </si>
  <si>
    <t>MANUAL UI + FUNCTIONAL PASS</t>
  </si>
  <si>
    <t>Event sync/service coverage partial; focused HTTP/local timezone regressions pass</t>
  </si>
  <si>
    <t>Retain as a release-change sample; continue the same canonical draft into EVENT-EDITOR-002</t>
  </si>
  <si>
    <t>One canonical draft, one deduplicated recompute task, zero outbox, no read-only duplicate, and no Nova All/Active/Invitations visibility. Venue label remained Austin while proximity coordinates exactly matched Casey. The fixed retest stored local 18:00-20:00 as 16:00Z-18:00Z and both card and reopened editor showed 18:00-20:00.</t>
  </si>
  <si>
    <t>EVENT-TIMEZONE-001</t>
  </si>
  <si>
    <t>Defect retest</t>
  </si>
  <si>
    <t>Event Editor date/time</t>
  </si>
  <si>
    <t>Preserve a locally entered event range across UTC persistence and editor reopen</t>
  </si>
  <si>
    <t>INDIRECT only after the normal snapshot worker</t>
  </si>
  <si>
    <t>DELTA only for the intentional corrective Save</t>
  </si>
  <si>
    <t>INDIRECT only after recompute</t>
  </si>
  <si>
    <t>Time-dependent jobs consume the corrected UTC instant; no job is invoked by reopen</t>
  </si>
  <si>
    <t>Europe/Bratislava 18:00-20:00 persists as 16:00Z-18:00Z and reopens as 18:00-20:00</t>
  </si>
  <si>
    <t>Focused HTTP and local IndexedDB service regressions pass 12/12 under Europe/Bratislava</t>
  </si>
  <si>
    <t>Retain as a release-change timezone sample</t>
  </si>
  <si>
    <t>Initial failure was a timezone-free local datetime sent unchanged to a backend UTC field. After the shared persistence-payload fix and hot deploy, MongoDB contained 16:00Z-18:00Z while the card and reopened editor both showed 18:00-20:00; the editor model remained local and unchanged before persistence.</t>
  </si>
  <si>
    <t>EVENT-EDITOR-002</t>
  </si>
  <si>
    <t>Publish one controlled draft</t>
  </si>
  <si>
    <t>INDIRECT event inventory delta</t>
  </si>
  <si>
    <t>DELTA event lifecycle and recompute</t>
  </si>
  <si>
    <t>DELTA affinity recompute; slot/reminder consumers conditional</t>
  </si>
  <si>
    <t>Hosting and Explore visibility obey user and visibility boundaries</t>
  </si>
  <si>
    <t>Publish/service coverage partial</t>
  </si>
  <si>
    <t>Retain the same event for the Unpublish and EVENT-EDITOR-003 draft-save checkpoints; repeat visibility after publication changes</t>
  </si>
  <si>
    <t>Casey published once: the same h1785836388222 identity became active, remained once in My Events, left Drafts and kept 18:00-20:00 local / 16:00Z-18:00Z persisted. One deduplicated recompute task refreshed, outbox stayed zero, and Nova received no invitation/counter and saw no Aug 6 event in Explore. A helper-only dynamic-ID selector defect was corrected before the final oracle.</t>
  </si>
  <si>
    <t>P0 90</t>
  </si>
  <si>
    <t>EVENT-VISIBILITY-001</t>
  </si>
  <si>
    <t>Continuation checkpoint / defect retest</t>
  </si>
  <si>
    <t>Event visibility</t>
  </si>
  <si>
    <t>After EVENT-TICKET-007, change the same event to Friends Only and enforce discovery for external friend/non-friend controls</t>
  </si>
  <si>
    <t>DELTA only for Casey Unpublish/visibility/Publish lifecycle writes; Explore reads X; visibility-only Save must not create a false definition-change occurrence</t>
  </si>
  <si>
    <t>DELTA normal event recompute only for owning lifecycle writes; Explore reads X</t>
  </si>
  <si>
    <t>Retained Casey/Nova/Riley memberships stay unchanged; Unpublish rotates Nova/Riley A tickets to D and republish creates new A IDs/codes with restored counters; visibility-only Save creates no general change notification; Nova/Riley open UI converges on Publish; external non-member Lina Park sees the event exactly once in Explore as Casey's friend; external non-member Liam Parker does not see it and is denied direct detail access; neither control gains participation or ticket artifacts</t>
  </si>
  <si>
    <t>Backend regression sources added for Friends-only detail parity and tracked Invitation-only participant access; existing backend owner compile and healthy restart PASS; full fixed Save/Publish replay plus Explore list/direct HTTP replay PASS; no parallel test/build process started</t>
  </si>
  <si>
    <t>Closed; reset the retained visibility fixture, then stage the next independent checkpoint from a fresh verified baseline</t>
  </si>
  <si>
    <t>• EVENT-TICKET-007 PASS/CLOSED retained Nova A ticket manual-qa-checkpoint:v1:event-domain:ticket / TKT-d6bd7582-1849-46bb-ba09-24dd7fb92b44 and Riley A ticket 6a7cd3aff8a7d3829acd805a / TKT-d05cdd81-86da-430d-b166-b508cccb42c6 with counters 1/1 and Casey ticketless.
• Guarded advance at 22:42:44+02:00 changed only the active checkpoint pointer and retained original reset snapshots; follow-up status kept one active Ticketing On event, Casey/Nova/Riley accepted 3/8, no pending/invited rows and both exact active tickets.
• Lina Park is the deterministic Casey-friend external control and Liam Parker the deterministic non-friend; neither has tracked participation on the event and both activity snapshots are now owned.
• Prior three managed browsers were closed before replacement; new Casey/Lina/Liam windows are identity-verified with Austin geolocation. Nova/Riley remain persisted membership/ticket controls and need no active browser for the visibility producer.
• Casey Unpublish PASS: the same event is DR/Public/Ticketing On with unchanged Casey/Nova/Riley accepted membership 3/8 and no pending/invited/request rows; the already-open Casey My Events projection shows the single draft without reload.
• Nova's and Riley's exact original tickets were retained and changed A-&gt;D; no new ticket appeared, ticket counters are 0/0 and Casey remains ticketless. Lina/Liam still have no participation or ticket artifact.
• The Unpublish-owned event recompute completed at 20:55:46Z, attempt 2, empty lastError; the affinity worker returned to pendingCount 0.
• Friends only draft Save DOMAIN PASS / NOTIFICATION FAIL: the same event remained DR/Ticketing On and persisted visibility=Friends only; Casey/Nova/Riley remained accepted 3/8 with no pending/invited/request row.
• Both exact original tickets stayed D with unchanged IDs/codes/issue times, no replacement appeared, counters stayed 0/0, Casey remained ticketless and Lina/Liam controls remained unchanged. Casey's open card changed to the Friends icon without reload.
• The strengthened oracle found one false completed event-definition-changed task with reasons schedule,sub-events and exactly two unread event-details-changed / The event schedule changed rows plus outbox intents, one for Nova and one for Riley. Their UI was not open, so in-place Save behavior was NOT EXECUTED.
• First Publish server/Casey PASS: active Friends only, unchanged accepted 3/8, original D history retained, Nova new A 6a7ce077f8a7d3829acd807b / TKT-f9c24f1f-6b83-4d66-b0db-2bcb1ef2280b, Riley new A 6a7ce077f8a7d3829acd807d / TKT-cf9ab939-5da5-4d42-8b13-e5402bf047af, counters 1/1 and exact modified lifecycle notifications. Nova/Riley UI was NOT EXECUTED.
• Fix canonicalizes missing/default frequency, slots, sub-event and mode values before classifying changes. Running backend owner compiled/restarted green; no parallel process. Three-account limit is explicit: Casey/Nova/Riley replay first, then replace with Casey/Lina/Liam; never more than three concurrent windows.
• Guarded replay preparation and independent status PASS: DR/Public/Ticketing On, accepted membership unchanged at 3/8, all four retained physical tickets D, Nova/Riley counters 0/0, and the failed Save's false definition task plus two generic outbox/notification rows absent. The stale three-window manifest had no live browser process; its replacement identity-verified exactly three live Casey/Nova/Riley sessions and opened no fourth QA window.
• Pre-Save open UI baseline PASS: Nova New shows exactly the retained modified + under-review rows (2); Riley New shows those plus member-approved (3); neither contains the removed false schedule-changed row. Both lists remain open for the visibility-only Save.
• Fixed visibility-only Save full replay PASS: one Casey sync write at 01:13:16+02:00 persisted DR/Friends only with unchanged accepted 3/8, all four retained tickets D and counters 0/0; no new generic definition task/outbox/notification; Nova stayed at New 2 and Riley at New 3 in-place without reload/reopen. The normal recompute completed done at 01:16:46+02:00, attempt 5, empty lastError, and the post-worker oracle remained identical.
• First replay Publish instruction NOT EXECUTED / fixture timing invalid: original endAt reached 01:18; Casey's normal poll changed from the card to empty at 01:18:25, screenshot 01:19:17 confirmed it, no Publish request was sent and the persisted oracle stayed unchanged.
• Guarded one-shot window repair READY: exact post-Save oracle was enforced, all projections moved to Aug 13 13:22 through Aug 14 13:22, and independent status retained DR/Friends only, membership 3/8, 4xD tickets, 0/0 counters and unchanged notifications. Casey's same open list recovered the card by normal poll without reload; Nova stayed New 2 and Riley New 3.
• Clean Publish full replay PASS: exactly one publish POST at 01:25:27+02:00 produced A/Friends only/Ticketing On, unchanged 3/8 membership, retained 4xD history, Nova A 6a7d00e7f8a7d3829acd8084 / TKT-98fa21bc-abd4-4240-873d-09b83c4f3b3c and Riley A 6a7d00e7f8a7d3829acd8085 / TKT-0cbd5e00-4694-4408-95bf-d21018128526 with counters 1/1. Exact modified task targeted two recipients; Nova New 2-&gt;3, Riley 3-&gt;4 and both Ticket counters 0-&gt;1 in-place without reload. Each later Ticket open showed exactly one current event card without reload. Recompute completed done at 01:28:52+02:00, attempt 6, empty lastError; terminal oracle retained exact audit/counters/notifications.
• Explore replacement baseline READY: exact Casey/Nova/Riley PIDs were validated, terminated and proven absent before exactly three Casey/Lina/Liam sessions launched and identity-verified. Lina is deterministic Casey-friend, Liam non-friend; neither has membership/tracked participation/ticket. Baselines: Lina events6/tickets0/all10/active6/pending1/invitations2/hosting1; Liam events9/tickets0/all12/active9/pending2/invitations0/hosting1; event A/Friends only/Ticketing On 3/8 and recompute done.
• Explore list PASS: Lina's open Explore list contained QA EVENT-TICKET-007 exactly once and Liam's contained no target card; neither changed filters or opened a card. The immediate oracle retained both controls and all membership/ticket/task state unchanged.
• Direct detail initially FAIL: Liam's server request returned the full Friends-only event DTO, proving the detail read omitted the external-viewer visibility authorization even though Explore filtering was correct.
• Owning Java fix applies one shared canonical external-viewer visibility boundary to detail and Explore while retaining Admin and tracked-participant detail access. Friends-only friend/non-friend and Invitation-only participant regression sources were added. The existing backend owner compiled BUILD SUCCESSFUL and restarted healthy; no parallel Gradle/test/server process ran.
• Focused direct replay PASS: Liam returned HTTP 200 with an empty 0-byte body; Lina, Nova and Casey each returned the exact target DTO. Final Docker-backed status retained Lina/Liam with no membership/invitation/ticket/counter change, Casey/Nova/Riley accepted 3/8, exact six-ticket audit and recompute attempt 6 done with empty lastError.</t>
  </si>
  <si>
    <t>P1 99</t>
  </si>
  <si>
    <t>EVENT-PUBLISH-CHAT-001</t>
  </si>
  <si>
    <t>Defect retest / lifecycle checkpoint</t>
  </si>
  <si>
    <t>Event publish + chat authorization and persisted counters</t>
  </si>
  <si>
    <t>Stage one isolated Draft with Casey accepted and Nova/Riley pending, record all three Chat baselines, then publish once from the Casey Draft card</t>
  </si>
  <si>
    <t>DELTA publish lifecycle, event recompute and exactly one main-event chat; chat attention counts stay unchanged</t>
  </si>
  <si>
    <t>DELTA normal publish recompute; scheduler X</t>
  </si>
  <si>
    <t>Casey gains exactly one empty event-chat row with unread 0 while top Chats / Chat All / Event attention counters remain unchanged; Publish creates no automatic chat system message and no Casey notification; My Events remains 1 while Drafts changes 1 to 0 from either Publish surface; reload agrees with backend; Nova and Riley chat rows and counters remain unchanged; active card is 1 / 8 with pending badge 2; acceptance notification X</t>
  </si>
  <si>
    <t>MANUAL UI + FUNCTIONAL PASS; FIX VERIFIED</t>
  </si>
  <si>
    <t>Clean Draft Publish ran once at 14:12:42Z. Counter/scope switching, exact Nova/Riley in-place invitations, terminal recompute and three-client authorization lists passed. Casey opened the single chat and saw No messages yet; after one Casey-only reload the client restored Chats0/Invitations3/My Events1/Drafts0 and the same single empty chat. Final oracle retained one Casey-only chat unread0, no messages/outbox/chat notifications, zero chat deltas, Nova/Riley one invite each and no chat; recompute done attempt1 empty lastError.</t>
  </si>
  <si>
    <t>Retain the fixture for guarded EVENT-INV-003 advance; never replay Publish or reconstruct the proven baseline</t>
  </si>
  <si>
    <t>Historical backend chat materialization/system-message/attention defects and the later Draft stale-scope counter defect are all fixed and closed. Shared SmartList was not modified; full in-place and reload parity passed.</t>
  </si>
  <si>
    <t>EVENT-EDITOR-003</t>
  </si>
  <si>
    <t>Event Editor + Auto inviter</t>
  </si>
  <si>
    <t>Unpublish the retained event, enable Auto inviter in Draft and Save; execute CARD-PUBLISH from the Draft card overflow menu; then prepare Riley and arm the persisted real periodic schedule while recipient and host lists remain open</t>
  </si>
  <si>
    <t>INDIRECT event/member activity</t>
  </si>
  <si>
    <t>DELTA event save and card lifecycle; member/outbox X before publish</t>
  </si>
  <si>
    <t>INDIRECT after event/member recompute</t>
  </si>
  <si>
    <t>X while draft; DELTA only after schedule-auto-inviter makes the named real rule due</t>
  </si>
  <si>
    <t>Draft persists Auto inviter On with no invitation; CARD-PUBLISH keeps one identity and consistent capacity; publish-time Nova and periodic Riley invitations remain separately attributable; open lists converge without reopen</t>
  </si>
  <si>
    <t>Focused creator-anchor regression passed; auto-inviter service/fixture coverage; STAT-012 scheduler path passed</t>
  </si>
  <si>
    <t>Retain the real-scheduler identity oracle and open-list convergence as the regression sample; reset through the guarded helper before a new run</t>
  </si>
  <si>
    <t>Draft persistence and the reversible pre-publish baseline passed. The first CARD-PUBLISH exposed a missing creator graph anchor when no event member rows existed; the backend fix and focused normal-cache regression passed. The repeated CARD-PUBLISH moved the same event from Drafts to My Events and synchronously created exactly one Nova pending member, notification and outbox item while Riley stayed unchanged and the periodic rule remained idle. The later persisted schedule became eligible at 14:38:20; the real scheduler claimed it at 14:39:13 and completed in 140 ms with processedCount 1. The exact oracle proved Riley alone was added by that periodic batch while Nova remained the publish-time recipient. The 14:39:22 intermediate screenshot contained mixed 1 / 8 (1) and 1 / 8 (2) projections. By 14:39:52 the already-open Nova Invitations, Riley Invitations and Casey My Events projections all converged to 1 / 8 (2) without refresh or reopen.</t>
  </si>
  <si>
    <t>P0 94</t>
  </si>
  <si>
    <t>EVENT-ACTIVITY-REFRESH-001</t>
  </si>
  <si>
    <t>Defect retest / cross-cutting checkpoint</t>
  </si>
  <si>
    <t>Event activity buckets</t>
  </si>
  <si>
    <t>Keep Nova Invitations, Riley Invitations and Casey My Events open while the EVENT-EDITOR-003 real periodic run adds Riley; observe without popup or browser refresh</t>
  </si>
  <si>
    <t>X for the read-only poll; DELTA belongs only to the owning mutation</t>
  </si>
  <si>
    <t>X for the poll; the auto-inviter worker belongs only to EVENT-EDITOR-003</t>
  </si>
  <si>
    <t>Within one 30-second SmartList interval all three open projections converge to the same accepted-occupancy and pending-badge values; accepted occupancy remains unchanged until acceptance; unaffected buckets remain X</t>
  </si>
  <si>
    <t>MANUAL UI PASS; FIX VERIFIED</t>
  </si>
  <si>
    <t>SmartList visible-range polling and keyed patching already covered; no dedicated Activities popup component spec</t>
  </si>
  <si>
    <t>Reuse the same no-reopen assertion when sampling All or another affected event bucket after a controlled mutation</t>
  </si>
  <si>
    <t>Before the fix, Nova's notification and counters arrived but the already-open Invitations list stayed empty until popup reopen. All non-calendar event activity scopes now share one 30-second SmartList-owned visible-list poll, paused behind dialogs/event chat; no new cache, worker or full-app rerender was added. During the Riley periodic retest, all three sessions remained open. The 14:39:22 screenshot captured mixed 1 / 8 (1) and 1 / 8 (2) projections after the 14:39:13 scheduler run. The 14:39:52 screenshot showed Riley's invitation and Nova, Riley and Casey all at 1 / 8 (2) without refresh or reopen. Accepted occupancy stayed 1 / 8 because Nova and Riley were still pending; the red (2) was the synchronized pending-invitation count.</t>
  </si>
  <si>
    <t>P1 78</t>
  </si>
  <si>
    <t>EVENT-MEMBER-CREATOR-001</t>
  </si>
  <si>
    <t>Defect checkpoint</t>
  </si>
  <si>
    <t>Event creator/admin membership</t>
  </si>
  <si>
    <t>Publish an event with no creator member document, add pending invitations, then compare event-card occupancy with Event Members and the exact member oracle before acceptance</t>
  </si>
  <si>
    <t>INDIRECT only after a real membership mutation</t>
  </si>
  <si>
    <t>DELTA belongs to publish/invite; read-only comparison is X</t>
  </si>
  <si>
    <t>INDIRECT because downstream graph may consume canonical membership</t>
  </si>
  <si>
    <t>X for the read-only comparison</t>
  </si>
  <si>
    <t>Creator appears once as accepted Admin; Members reports 1 member and N pending; cards report 1 / capacity with pending badge N</t>
  </si>
  <si>
    <t>Creator materialization/idempotence, publish/sync invocation, no-fallback mapper and stored-admin-order regressions passed in the 99-test focused profile selection. The existing Java container was stopped for the run, then restarted healthy; no parallel stack or cache was created.</t>
  </si>
  <si>
    <t>Retain Unpublish then CARD-PUBLISH as the regression sample; verify the creator exactly once and keep pending recipients unchanged before acceptance</t>
  </si>
  <si>
    <t>Historical failure: all three event cards displayed 1 / 8 (2) while Event Members and the exact oracle contained no accepted Casey membership. After removing Java creator synthesis, the post-fix Unpublish converged every open projection to the truthful legacy-draft baseline 0 / 8 (2). CARD-PUBLISH repaired the same event identity: all three sessions converged to 1 / 8 (2), Event Members reported 1 member / 2 pending, and Casey appeared exactly once as Admin while Nova and Riley remained pending. The independent oracle stored acceptedMembers 1, pendingMembers 2, Casey in acceptedMemberUserIds and admins, and exactly one accepted Admin creator membership plus the two pending invite memberships. No fixture or direct database mutation was used.</t>
  </si>
  <si>
    <t>P0 99</t>
  </si>
  <si>
    <t>EVENT-CAPACITY-SYNC-001</t>
  </si>
  <si>
    <t>Event card capacity projection</t>
  </si>
  <si>
    <t>Keep occupancy stable across Unpublish and SmartList scope changes</t>
  </si>
  <si>
    <t>DELTA event lifecycle only; occupancy remains authoritative</t>
  </si>
  <si>
    <t>My Events and Drafts show the same canonical occupancy before and after reload</t>
  </si>
  <si>
    <t>No-fallback mapper and canonical membership regressions passed in the 99-test focused profile selection. The existing Java container was stopped for the run and restarted healthy.</t>
  </si>
  <si>
    <t>Reuse one Unpublish and CARD-PUBLISH transition while multiple isolated event projections remain open; compare each state with the canonical membership oracle</t>
  </si>
  <si>
    <t>Historical failure: Unpublish briefly split My Events at 1 / 8 from the authoritative empty membership and Drafts at 0 / 8. In the post-fix retest, Unpublish converged the open projections and exact draft oracle to 0 / 8 (2). CARD-PUBLISH materialized the creator membership and all three already-open sessions converged to the new canonical 1 / 8 (2), with no frontend fallback or direct database repair.</t>
  </si>
  <si>
    <t>P1 72</t>
  </si>
  <si>
    <t>EVENT-EDITOR-004</t>
  </si>
  <si>
    <t>Event Editor + Tournament</t>
  </si>
  <si>
    <t>Save and reopen one tournament definition</t>
  </si>
  <si>
    <t>INDIRECT event activity</t>
  </si>
  <si>
    <t>DELTA event write and recompute</t>
  </si>
  <si>
    <t>Tournament review/grouping X until explicitly armed</t>
  </si>
  <si>
    <t>Stages, capacities and group definition survive reopen</t>
  </si>
  <si>
    <t>NOT RUN</t>
  </si>
  <si>
    <t>Tournament service coverage partial</t>
  </si>
  <si>
    <t>Compare editor definition with runtime stage baseline before processing</t>
  </si>
  <si>
    <t>Definition persistence is not grouping proof</t>
  </si>
  <si>
    <t>EVENT-EDITOR-005</t>
  </si>
  <si>
    <t>Edit one downstream-relevant active field</t>
  </si>
  <si>
    <t>INDIRECT documented event delta</t>
  </si>
  <si>
    <t>DELTA definition change and recompute</t>
  </si>
  <si>
    <t>INDIRECT when the field affects affinity</t>
  </si>
  <si>
    <t>DELTA affinity recompute; other consumers conditional</t>
  </si>
  <si>
    <t>Changed field persists; removed definition is absent; no-op reopen is X</t>
  </si>
  <si>
    <t>Event sync/service coverage partial</t>
  </si>
  <si>
    <t>Change one field only and retain one unrelated control field</t>
  </si>
  <si>
    <t>No-op navigation must not duplicate downstream effects</t>
  </si>
  <si>
    <t>P0 86</t>
  </si>
  <si>
    <t>EVENT-LIFE-001</t>
  </si>
  <si>
    <t>Event lifecycle</t>
  </si>
  <si>
    <t>Unpublish active event to draft</t>
  </si>
  <si>
    <t>INDIRECT lifecycle inventory delta</t>
  </si>
  <si>
    <t>DELTA affinity recompute; reminders/attachments conditional</t>
  </si>
  <si>
    <t>Explore removes it; organizer Drafts/Hosting contains it once</t>
  </si>
  <si>
    <t>Lifecycle service coverage partial</t>
  </si>
  <si>
    <t>Retain as a lifecycle regression sample; reopen/refresh remain read-only X checks</t>
  </si>
  <si>
    <t>Casey unpublished h1785836388222 once. My Events retained one card, Drafts became 1, Mongo status became DR, time and organizer coordinates stayed unchanged, no member/invitation/outbox record appeared, and the held auto-inviter remained idle. Nova's invitation-only Explore boundary had already shown the event absent immediately before the transition.</t>
  </si>
  <si>
    <t>P0 92</t>
  </si>
  <si>
    <t>EVENT-LIFE-002</t>
  </si>
  <si>
    <t>Trash one organizer event</t>
  </si>
  <si>
    <t>INDIRECT active/trash inventory delta</t>
  </si>
  <si>
    <t>DELTA lifecycle, recompute and conditional notification</t>
  </si>
  <si>
    <t>DELTA affinity recompute; auto-inviter becomes ineligible</t>
  </si>
  <si>
    <t>Only organizer Trash contains it; accepted participants lose active access without gaining personal Trash; active attachments and ticket affordances unavailable</t>
  </si>
  <si>
    <t>MANUAL UI + FUNCTIONAL PASS; COUNTER FIX VERIFIED</t>
  </si>
  <si>
    <t>Versioned fixture counter/creator-occupancy projection repairs; organizer-vs-participant Trash counter regression source; list-adapter error/empty regressions; full stored event-counter snapshot HTTP/store regression sources; guarded lifecycle baseline + terminal Trash verifier; existing dev frontend/backend owner builds PASS</t>
  </si>
  <si>
    <t>Closed. Retain the trashed identity and continue once with EVENT-LIFE-003 Restore; never replay Delete</t>
  </si>
  <si>
    <t>• Baseline staged 2026-08-13T19:44:57.209Z: public active QA EVENT-LIFE-002, Casey accepted Admin/owner, Nova accepted Member, canonical occupancy 2/8.
• No ticket/payment/chat/lifecycle/recompute artifact existed; affinity and notification workers were terminal with pending 0.
• FAIL before producer: reload showed no Casey My Events badge and /api/auth/me returned hosting/event counters 0; opening the popup alone patched the UI.
• Root cause was fixture stage omitting the existing write-side event-counter projection, not SmartList or Trash behavior.
• Guarded repair captured two reset snapshots and projected counters without changing event/SmartList. HTTP reload oracle now gives Casey hosting/event.hosting/event.all=1 and Nova events/event.active/event.all=1 with matching counterOverrides.
• Focused reload replay PASS: closed-popup main badges were Casey My Events=1 and Nova Events=1; both opened lists contained the same event once.
• Fixture occupancy defect repaired: creator/Admin is now included in the shared embedded projection; both already-open lists converged 1/8 -&gt; 2/8 by normal popup poll without reload or SmartList change.
• Backend preflight defect fixed: global organizer Trash no longer increments an accepted participant's personal Trash counter; explicit deleted memberships still do. Regression source added; owner hot deploy compiled/restarted successfully.
• Exact action baseline captured 2026-08-13T20:16:21.233Z: A/public, Casey+Nova 2/8, Casey Hosting/All=1, Nova Active/All=1, lifecycle task/outbox/notification 0. One completed earlier read/location recompute is retained and excluded from Trash attribution.
• NOT EXECUTED before producer: Codex's Java hot restart raced the continuous classes deletion wave, left /activities/events/filter unmapped and both open polls showed empty/zero. No Delete request or persisted delta occurred; this is not attributed to the user.
• Correct-scope repair: DevTools restart is gated by a marker touched after successful classes; HTTP list failures remain errors while successful empty pages remain authoritative. SmartList was unchanged.
• Focused recovery PASS: after restarting only the existing backend owner, Casey and Nova endpoints returned 200 with the same A/public 2/8 event; both already-open lists and badges recovered through normal poll without reload or interaction. The captured action baseline remained current.
• Real producer PASS: Casey confirmed Delete Event once. Without reload, Casey My Events and Nova Active Events removed the card and active/hosting badges became zero. Final user verification accepted the deletion/counter branch as fully executed: Casey Trash=1 and the exact event appeared once.
• Terminal verifier PASS at 2026-08-13T20:46:09.146Z: T/statusBeforeSuppression=A/post-baseline trashedAtIso; unchanged Casey Admin + Nova Member 2/8 audit rows; Casey Hosting/All/Trash=0/0/1; Nova Events/Active/All/Trash=0/0/0/0.
• Exactly one completed Nova-only deleted lifecycle task, one unread event-deleted Notification Center row, one matching dev-mode pending Firebase outbox and one terminal EVENT_CHANGED recompute were attributable to the saved action baseline. Oracle now exposes canonical lifecycle flags/timestamp and the guarded verify-lifecycle-trash command.
• Casey's organizer Trash UI and later fresh-bundle read both PASS: Trash=1 and exactly one QA EVENT-LIFE-002 card.
• Nova's untouched Active foreground poll removed the card, but initially FAIL: inclusive All stayed 1 until switching to All returned no card and corrected the menu to 0. Persisted Active/All were already 0/0.
• Proper-scope fix transports the complete stored write-side event snapshot on Java list pages through HTTP and frontend-local routes and applies it atomically; SmartList is unchanged. Runtime read oracle gives Nova All total0/full zeros and Casey Trash total1/trash1; both owner builds PASS. Final fresh-bundle Nova and Casey reconstructions passed and the user explicitly closed Activity Events counter as executed/PASS; no Restore replay remains required for this fix.
• Nova Notifications New UI PASS: exact unread QA EVENT-LIFE-002 / The event was deleted. row was visible and not opened. Repeated guarded verifier at 2026-08-13T21:05:00.659Z retained exactly one row with empty readAtIso, one pending dev-mode outbox and no duplicate lifecycle effect.
• Fresh-bundle Nova reconstruction PASS: after one reload, Events &gt; All was empty and both the main Events and All red counters were absent, agreeing with persisted Active/All=0/0 without a corrective bucket switch.
• Fresh-bundle Casey reconstruction PASS: Events &gt; Trash showed counter1 and exactly one event. EVENT-LIFE-002 and its Activity Events counter repair are PASS/CLOSED.</t>
  </si>
  <si>
    <t>P0 96</t>
  </si>
  <si>
    <t>EVENT-LIFE-003</t>
  </si>
  <si>
    <t>Restore one organizer event from Trash</t>
  </si>
  <si>
    <t>INDIRECT restored inventory delta</t>
  </si>
  <si>
    <t>DELTA lifecycle and recompute</t>
  </si>
  <si>
    <t>DELTA affinity recompute</t>
  </si>
  <si>
    <t>Preserved draft/active bucket returns with no duplicate members or resources</t>
  </si>
  <si>
    <t>Versioned direct Trash fixture; saved pre-Restore oracle; guarded terminal Restore verifier; HTTP and frontend-local restore implementations</t>
  </si>
  <si>
    <t>Closed. Advance the retained active identity once into EVENT-LIFE-004; never replay organizer Restore</t>
  </si>
  <si>
    <t>• Deliberate dev-stack seed reset removed the retained EVENT-LIFE-002 transaction; its closed Delete was not replayed. Guarded discard-stale plus direct EVENT-LIFE-003 staging produced T/statusBeforeSuppression=A, Casey Admin + Nova Member 2/8, Casey Trash1 and Nova Active/All/Trash0.
• The first direct stage exposed a harness-only Nova Trash1 error. Counter reconstruction now treats organizer Trash as host/admin-only and keeps participant membership Trash separate; corrected baseline and Casey Trash UI both passed.
• Saved pre-Restore oracle at 2026-08-14T11:13:29.545Z: exactly one event, two members, zero resources/tickets/lifecycle artifacts, Casey Trash1 and Nova Active/All/Trash0.
• In-place PASS: Casey restored exactly once; the Trash card/counter disappeared and Nova saw the event through the normal foreground poll without reload.
• Java write oracle PASS: same record/source/title became A/published, statusBeforeSuppression and trashedAtIso cleared; exact Casey Admin + Nova Member 2/8 remained; zero member/resource/basket/payment/ticket/chat/lifecycle notification/outbox duplication.
• Counter delta PASS: Casey Hosting/My Events +1 and Trash -1; Nova Events/Active/All +1 and Trash unchanged0.
• Fresh-bundle read-only PASS: Casey My Events and Nova Active/All each showed the same single event with no Trash counter. Reads created no second task.
• Terminal verifier PASS at 2026-08-14T11:23:42.462Z: one coalesced task containing EVENT_CHANGED finished done at 11:23:06.324Z; unchanged cardinality events1/members2/resources0/tickets0.</t>
  </si>
  <si>
    <t>EVENT-LIFE-004</t>
  </si>
  <si>
    <t>Event participation lifecycle</t>
  </si>
  <si>
    <t>Participant leave and restore without organizer authority</t>
  </si>
  <si>
    <t>INDIRECT participation delta</t>
  </si>
  <si>
    <t>DELTA member mutation; event lifecycle X</t>
  </si>
  <si>
    <t>INDIRECT only if membership evidence changes affinity</t>
  </si>
  <si>
    <t>CONDITIONAL member recompute; organizer lifecycle job X</t>
  </si>
  <si>
    <t>Viewer Attending/Trash changes; canonical event stays active for others</t>
  </si>
  <si>
    <t>Java stored-counter regressions added; existing dev watcher compile/restart PASS; frontend-local Leave/Restore persistence path inspected</t>
  </si>
  <si>
    <t>Closed. Advance the retained active identity once into EVENT-LIFE-005; never replay participant Leave/Restore</t>
  </si>
  <si>
    <t>• Baseline: Casey Admin + Nova Member 2/8; Casey Hosting/All/Trash 1/1/0; Nova Active/All/Trash 1/1/0.
• Original Leave UI passed but Java persisted Nova Trash0; later poll removed the badge. Exact failed state retained and root cause fixed in the canonical write-side counter projector, not SmartList/query code.
• Corrected Leave PASS: same Casey canonical stayed A at 1/8; same Nova overlay/member became T/suppressed; Nova persisted Active/All/Trash 0/0/1; one member-left chat message; no organizer lifecycle artifacts.
• Repeated filter/realtime polls retained Trash1. Nova fresh reload still showed badge1 and exactly one Trash card.
• Final Restore PASS: same identities returned A/accepted with suppression cleared, occupancy2/8, Casey counters1/1/0 and Nova counters1/1/0; one member-joined message and correct per-user chat projections.
• Final Casey My Events and Nova Active Events fresh DOM reads each showed exactly one 2/8 card and no Trash. One coalesced EVENT_MEMBERS_CHANGED task finished done at 2026-08-14T12:03:21.935Z with no error.
• Frontend-local parity inspection found persisted viewer T record + user counter patch + IndexedDB flush already aligned; no local production change required.</t>
  </si>
  <si>
    <t>EVENT-LIFE-005</t>
  </si>
  <si>
    <t>Event buckets</t>
  </si>
  <si>
    <t>Open and refresh Hosting, Drafts, Attending, Invitations and Trash</t>
  </si>
  <si>
    <t>Each identity appears only in its documented bucket; no writes occur</t>
  </si>
  <si>
    <t>Versioned full persisted snapshot oracle plus independent Casey/Nova DOM reads</t>
  </si>
  <si>
    <t>Closed. Stage EVENT-INV-001 independently; never replay these read-only branches</t>
  </si>
  <si>
    <t>• Casey organizer branch: My Events exactly one QA EVENT-LIFE-003 at 2/8; Drafts and Trash empty before/after reload; final DOM My Events1 with no Trash.
• Nova participant branch: Active Events exactly one QA EVENT-LIFE-003 at 2/8; Invitations and Trash empty before/after reload; final DOM Active1 with no Trash.
• The initial oracle stop was a harness-only undefined/null serialization mismatch for absent statusBeforeSuppression. Field-level diagnosis proved no product mutation; stable snapshot canonicalization fixed the comparison without changing fixture/browser state or replaying manual steps.
• Terminal verifier PASS at 2026-08-14T12:22:09.765Z: Casey canonical + Nova overlay remain active 2/8 with counters 1/1/0/0 and 1/1/0/0; every tracked event/member/resource/basket/payment/ticket/chat/notification/task/runtime/user-counter collection is unchanged.</t>
  </si>
  <si>
    <t>P1 74</t>
  </si>
  <si>
    <t>EVENT-INV-001</t>
  </si>
  <si>
    <t>Event membership</t>
  </si>
  <si>
    <t>Owner/admin manually invites one controlled user</t>
  </si>
  <si>
    <t>INDIRECT member activity</t>
  </si>
  <si>
    <t>DELTA membership write and notification outbox</t>
  </si>
  <si>
    <t>INDIRECT after membership evidence/recompute</t>
  </si>
  <si>
    <t>Notification outbox conditional; scheduler X</t>
  </si>
  <si>
    <t>One pending Event Members row and one recipient invitation; pending invite creates no chat or chat-counter increment</t>
  </si>
  <si>
    <t>Versioned invitation action baseline, terminal Mongo oracle, authenticated Nova realtime response and focused DOM convergence replay</t>
  </si>
  <si>
    <t>Closed. Reset independently, then stage EVENT-INV-004; never repeat this Invite+Save producer</t>
  </si>
  <si>
    <t>• Casey invited Nova exactly once; Members converged in place to 1 accepted + 1 pending, with Nova once as Invitation Pending and Casey once as Admin.
• Persisted terminal oracle proved pendingSource=admin, requestKind=invite, exact Casey-to-Nova unread invitation/outbox identities, Nova Invitations/All 1/1 and no unrelated domain/task artifacts.
• Nova showed one notification and exactly one QA EVENT-INV-001 Invitations card at 1/8 with pending badge 1.
• Apparent Chats1 was a stale browser snapshot loaded before fixture stage. Mongo and authenticated realtime both returned flat/nested chat zero and no chat record; popup-close convergence corrected it to zero, and Invitations reopen retained the exact card without chat.</t>
  </si>
  <si>
    <t>EVENT-INV-002</t>
  </si>
  <si>
    <t>Event membership privacy</t>
  </si>
  <si>
    <t>Inspect a pending invitation before acceptance</t>
  </si>
  <si>
    <t>Accepted-only controls, chat and resources are hidden and server-denied</t>
  </si>
  <si>
    <t>MANUAL UI PARTIAL; FIREBASE AUTHORIZATION CHECK PENDING</t>
  </si>
  <si>
    <t>Access-control tests partial; demo session bypasses the production authenticated policy gate</t>
  </si>
  <si>
    <t>Repeat direct/deep-link denial in a Firebase-enabled non-demo recipient session; keep Open Event member preview distinct from accepted-only chat/resources</t>
  </si>
  <si>
    <t>OPEN / PARTIAL PASS</t>
  </si>
  <si>
    <t>Riley opened the invitation and read-only event view. Fields were disabled; invitation-specific View, Accept and Reject actions were present; no event chat or participant resources were visible. Members remained visible because Open Event allows preview. Demo authentication cannot prove server denial, and the Members screen separately exposed EVENT-MEMBER-CREATOR-001.</t>
  </si>
  <si>
    <t>EVENT-INV-003</t>
  </si>
  <si>
    <t>Accept an owner/admin invitation once</t>
  </si>
  <si>
    <t>INDIRECT membership and later chat deltas</t>
  </si>
  <si>
    <t>DELTA accepted membership, resolved invitation and visibility-scoped acceptance notifications</t>
  </si>
  <si>
    <t>INDIRECT after membership recompute</t>
  </si>
  <si>
    <t>CONDITIONAL direct recompute/notification outbox; scheduler X</t>
  </si>
  <si>
    <t>Pending becomes accepted once; accepted recipient and Admin share the chat; pending control remains chat-denied and absent from the avatar stack but appears as the Sub-events Members pending badge; every visibility-authorized non-actor receives exactly one acceptance event notification</t>
  </si>
  <si>
    <t>Backend hot-deploy green; invitation acceptance, event-chat and Open/Blind recipient regression sources; independent read-only membership, chat and notification oracle</t>
  </si>
  <si>
    <t>Closed. Continue participant-authored message delivery separately in CHAT-AUTH-001.</t>
  </si>
  <si>
    <t>Riley accepted exactly once; Casey and Riley share two owner copies with the same accepted member IDs; Nova remains pending and chat-denied. Exactly one join system row and zero chat-message notification artifacts exist. Casey and Nova each received one acceptance notification, Riley received none, and Riley's invite is read. UI confirmed no pending avatar +1 and Sub-events Members pending 1.</t>
  </si>
  <si>
    <t>EVENT-INV-004</t>
  </si>
  <si>
    <t>Event membership approval</t>
  </si>
  <si>
    <t>Ordinary accepted member invites a target; target responds, then Admin approves</t>
  </si>
  <si>
    <t>INDIRECT only after terminal acceptance</t>
  </si>
  <si>
    <t>DELTA target response remains pending; Admin approval creates accepted membership</t>
  </si>
  <si>
    <t>INDIRECT after terminal transition</t>
  </si>
  <si>
    <t>CONDITIONAL recompute/outbox; scheduler X</t>
  </si>
  <si>
    <t>Chat stays denied after the target response and appears only after terminal Admin approval</t>
  </si>
  <si>
    <t>Versioned invitation fixture, terminal Mongo/read oracle, three isolated browsers, fresh-bundle DOM/action-response proof, dev-watcher logs and terminal normal-worker oracle</t>
  </si>
  <si>
    <t>Closed; reset independently and continue EVENT-INV-005 without replaying Riley Accept or Admin Approve</t>
  </si>
  <si>
    <t>• Baseline accepted/pending 2/1: Casey accepted Admin, Nova accepted ordinary Member, Riley pending invite from Nova with pendingSource=member and requestKind=invite.
• No event chat or chat counters exist for any actor. Riley Invitations/All is 1/1; Nova Active/All is 1/1; Casey Hosting is 1.
• Fresh DOM baseline: Casey My Events1/Chats0, Nova Events1/Chats0, Riley Invitations1/Chats0. Riley's list contains exactly one QA EVENT-INV-004 card at 2/8 with pending1.
• Riley Accept ran once: membership stayed pending and moved invite-&gt;approval; Riley Invitations/Pending changed 1/0-&gt;0/1, chat stayed zero, and Casey received one unread Admin join-request.
• In-place controls: Casey card remains 2/8 pending1 with notification 3-&gt;4; Nova Events1/Chats0; Riley Invitations0/Chats0.
• Casey Members action baseline is 2 members + 1 pending with Riley once Waiting For Admin Approval, Casey once Admin and Nova once accepted Member; the repeated read oracle is unchanged.
• First Admin Approve persisted the exact accepted3/pending0, three-owner chat, one member-joined row, Chats1 for all and target-only approval notification/outbox; poll, reopen and refreshed Members reads passed.
• Focused FAIL: Casey Chats stayed0 in the action-owning document while Members suppressed the side poll. Java returned only members although its write-side counters were correct.
• Repair returns and atomically applies the canonical actor counter snapshot; HTTP hot-deploy compatibility and full frontend-local event/chat/counter plus later-poll parity are implemented.
• Guarded replay at 13:56:35.748Z restored only the same Admin approval boundary: accepted/pending2/1, Riley pending approval, Chats0, exact-one retained join-request, zero chat and zero approval artifacts. Riley Accept remains proven and is not replayed.
• The first repair replay used Casey's 13:06 pre-fix main.js and was NOT EXECUTED as fix evidence. A no-write endpoint probe returned members plus canonical Casey Chats1, proving Java response shape. All three existing documents were then reloaded after the 14:39 bundle sync and recaptured at shared Chats0.
• Fixed replay PASS at 15:13:47Z: Casey's still-open Members document changed Chats0-&gt;1 from the approval response and reached 3 members immediately. The 17:14 screenshot shows Nova and Riley at Chats1; Riley also has the one approval notification.
• Terminal oracle: accepted/pending3/0, three identical mainEvent owner copies all unread1, one Riley Outside joined the event system row, stored Chats/All/Event1 for all three, one Riley-only approval notification/outbox and zero chat-message notification artifacts.
• Normal affinity worker completed the one EVENT_MEMBERS_CHANGED task at 15:19:45Z on attempt1 with empty lastError; the terminal oracle remained unchanged. Shared semantics intentionally gives every current member, including Riley, the same unread join event without special WebSocket or poll branches.</t>
  </si>
  <si>
    <t>EVENT-INV-005</t>
  </si>
  <si>
    <t>Event membership edges</t>
  </si>
  <si>
    <t>Reject, cancel, capacity-block and repeat acceptance independently</t>
  </si>
  <si>
    <t>INDIRECT only for real state changes</t>
  </si>
  <si>
    <t>DELTA per real mutation; no-op repeats X</t>
  </si>
  <si>
    <t>CONDITIONAL; duplicate tasks/outbox forbidden</t>
  </si>
  <si>
    <t>No duplicate member, overbooking, stale bell or rejected-user chat access</t>
  </si>
  <si>
    <t>MANUAL UI + FUNCTIONAL PASS; FIX VERIFIED; CLOSED</t>
  </si>
  <si>
    <t>Versioned invitation-full fixture, three fresh managed browser documents, exact demo-identity server replay and independent Mongo/read oracle</t>
  </si>
  <si>
    <t>Closed; never repeat branches A-D unless invitation capacity or idempotence contracts change</t>
  </si>
  <si>
    <t>• Branch A first attempt is NOT EXECUTED because the fixture staged capacity1 around Casey+Nova accepted plus Riley's reserved invite.
• Riley Reject itself removed the live invitation and in-place Invitations badge while Chats stayed0; persisted accepted/pending became2/0 with Riley suppressed and zero chat/acceptance/approval notification artifacts.
• The first normal embedded-member refresh normalized the impossible capacity1 to accepted2. This diagnosed a fixture defect, not a reject write defect.
• Fixture repaired to the coherent full boundary: Casey+Nova accepted plus Riley's reserved final seat equals capacity3.
• Repaired replay UI/write PASS at 15:40:50.696Z: the user confirmed in-place Invitations1-&gt;0 with Chats0; fresh Riley reconstruction shows Invitations0, Chats0 and the single personal Trash card.
• Oracle retained capacity3, accepted/pending2/0, Casey+Nova exact accepted identities and only Riley suppressed from pending. Live pending/invited lists, chats/messages and invitation/acceptance/approval notifications/outbox are zero.
• Normal worker PASS at 15:45:57.345Z: the one EVENT_MEMBERS_CHANGED task completed on attempt1 with empty lastError and pendingCount0; all state and zero-artifact controls remained unchanged.
• Branch A PASS/CLOSED. Never repeat Riley Reject; reset independently before branch B.
• Branch B first action at 15:51:50.195674866Z: Casey Members changed 2 members · 1 pending -&gt; 2 members in place, Riley disappeared once, Riley Invitations1-&gt;0 live, Nova unchanged; capacity3 and Casey+Nova accepted persisted with Riley deleted and all chat/notification controls zero.
• FAIL: zero EVENT_MEMBERS_CHANGED tasks were stored although cancelling the pending invite released its reserved final seat; the same path also skipped waitlist promotion.
• Java write repair now routes the released seat through the waitlist and otherwise refreshes dependent slot/event projections plus recompute, while preserving zero ticket/chat. Main source compiled through the existing watcher; two focused regression tests were authored but no separate Gradle process was started because swap was full.
• Repair replay baseline staged at 16:01:33.676Z and proved again by read-only status: capacity3, accepted/pending2/1, Riley final-seat invite, chats0 and zero tasks/artifacts. Same three managed documents reloaded and match Casey My Events1, Nova Events1, Riley Invitations1, all Chats0.
• Branch C independent baseline staged at 17:27:14.493Z; post-stage Casey/Nova/Riley hard reloads and a later oracle prove capacity3, accepted/pending2/1 with Riley reserving the final seat and zero tasks/artifacts.
• Casey read-only candidate query returned multiple selectable non-members; a repeated Mongo oracle proved the query itself performed no write. The actual picker shows Riley selected and Farkas Anna as the visible new candidate.
• Branch C first write at 19:48:43+02:00 is server/write PASS but UX FAIL: Farkas Anna was rejected with unchanged capacity3 accepted/pending2/1 and zero tasks/artifacts, yet the picker closed silently.
• Repair requires one shared HTTP/local invite outcome, frontend-local capacity parity, the existing confirmation dialog in actionless information mode, and matching versioned en/hu local plus Mongo translations.
• Branch C repair hot-deployed: Java returns committed members plus typed invited/rejected outcomes; shared HTTP/local handling enforces reserved-seat capacity parity; the existing dialog has an actionless notice mode. Frontend watcher built20:05:23+02:00/synced20:05:26; live Mongo API returned en.55 and hu.55 with the expected capacity/generic keys. Regression tests authored but not separately run because the dev pipeline owns compilation and swap is full.
• Branch C repaired replay READY: reset-&gt;not-staged then one stage at18:11:43.640Z; repeated statuses prove capacity3 accepted/pending2/1, Riley final-seat reservation and zero artifacts. Same documents hard-reloaded after bundle sync at Casey18:13:10.693Z, Nova18:13:13.525Z, Riley18:13:16.460Z; initial My Events/Events/Invitations are1 and all Chats0.
• First repaired display content/write PASS but close-control FAIL: correct capacity title/message, no action row and unchanged zero-write oracle, but standard top-right close was missing. Shared dialog now reuses existing .popup-close only for notice mode; watcher built20:21:31/synced20:21:33 and Casey alone reloaded18:22:14.622Z. Replay only this no-write display without reset.
• Standard-close replay write PASS but visual proof pending: exact capacity3 accepted/pending2/1 and all artifacts0, but the dialog was closed by the 18:23:40.879Z DOM inspection. Accept explicit user confirmation that the visible X closed it, otherwise repeat only the no-write display and leave it open; no reset.
• Branch C terminal PASS/CLOSED: user explicitly confirmed the visible standard top-right X closed the notice; combined screenshot proves exact message/no footer actions, and terminal oracle proves capacity3 accepted/pending2/1 with every artifact0. Never repeat Branch C.
• Branch D next: fresh reset/stage, Riley accepts once through UI, snapshot exact membership/chat/task/notification effects, then replay the identical authenticated join once and require changed=false with every count unchanged.
• Branch D READY: staged18:31:33.042Z; two statuses prove capacity3 accepted/pending2/1 and zero chats/tasks/acceptance artifacts/payments. Same documents reloaded Casey18:32:11.813Z, Nova18:32:15.329Z, Riley18:32:19.418Z; initial My Events/Events/Invitations1 and Chats0.
• Branch D first UI Accept PASS at18:35:47.091901466Z: exact Casey+Nova+Riley accepted3/pending0, Riley Events1/Chats1/card3/3, unchanged Casey/Nova documents each Chats1. Fingerprint chat projections3, member-joined1, task1 id6a7f6003ae56910e99a48529, acceptance notifications2/outbox1, payments/basket0.
• Raw replay18:38:34.950Z NOT IDEMPOTENCE EXECUTION / orchestration error: missing X-App-Session-Kind and X-Demo-User-Id authenticated the configured default member bf057de7c586eede7e84bdc7, creating that different actor's waitlist row. Preserve prior UI PASS, reset contamination, replay server pair with exact Riley headers; no user repeat.
• Clean Riley server pair: first18:43:38.889Z recreated fingerprint; identical second18:44:10.885Z changed no persisted field/count but response incorrectly changed=true with counterDelta null. Common Java mapper now uses mutationApplied; regressions authored, watcher BUILD SUCCESSFUL/restarted20:45:47.587. Replay only response without reset.
• Post-fix no-op18:47:37.568Z PASS: HTTP200 accepted changed=false counterDelta null; accepted3/pending0, Riley timestamp18:43:38.772815972Z, chat3/message1/task1 same id/availability, notifications2/outbox1, payments/basket0. Only terminal original-task read remains; no more joins.
• Terminal worker PASS/CLOSED: task6a7f61daae56910e99a48530 done18:49:15.677199764Z attempt1/error-empty, pendingCount0; final membership/chat/notification/payment fingerprint unchanged. EVENT-INV-005 all branches PASS/CLOSED.
• Java repair replay at 16:06:13.505868724Z PASS: one EVENT_MEMBERS_CHANGED task, completed 16:12:08.607775317Z attempt1/error-empty; capacity3, accepted/pending2/0 and every chat/notification control zero.
• UI FAIL: event-card pending badge did not update from the action signal and only a later poll repaired it. Root cause was the common Activities consumer discarding membership sync while Event Editor was open. The absolute/idempotent sync is now always applied under stacked surfaces; no action-specific or Smart List poll branch was added. Existing frontend watcher built successfully in 7.612s.
• The 16:13:41.562Z replay lineage is NOT EXECUTED because the reload boundary was not yet proven; no Delete occurred and the fixture was reset.
• Current baseline staged 16:18:50.026Z and re-proved by read-only status: capacity3, accepted/pending2/1, Riley pending admin invite from Casey, chats0 and zero tasks/artifacts. All three existing documents were hard reloaded with cache/service-worker bypass; new time origins are Casey16:19:57.407Z, Nova16:19:55.167Z and Riley16:19:53.108Z.
• Hard-reloaded replay at 16:54:18.515456561Z UI FAIL: Members/write succeeded but the event-card pending badge remained1 about ten seconds after Delete. Terminal Java oracle still PASS: one task done 16:59:28.940091047Z attempt1/error-empty, capacity3 accepted/pending2/0 and zero chat/notification controls.
• Live Angular proof: membership signal already had pendingMembers0, but the common Activities consumer looked only in an empty EventsService cache and silently returned the stale row; the server-backed Smart List source held the complete capacity3 DTO. The consumer now resolves and re-caches that source, preserves known capacity and has a direct card fallback. No Delete-specific or poll/query branch changed. Existing watcher built/synced at 17:06:56Z; focused regression tests authored but not separately run with full swap.
• Source-fallback replay baseline staged17:09:30.775Z and second status proves capacity3 accepted/pending2/1, Riley pending admin invite, chats0 and zero tasks/artifacts. Same three documents hard reloaded with repaired bundle at time origins Casey17:10:01.546Z, Nova17:10:01.160Z, Riley17:10:01.022Z; initial counters My Events1/Events1/Invitations1 and Chats0.
• Final action17:17:47.400237969Z immediate UI/write PASS: Casey same document (origin17:17:39.954Z before action) has action-time signal pending0, row/source pending0 and capacity3, DOM 2/3 without red pending number; Riley unchanged document Invitations0 and Nova unchanged Events1. Oracle capacity3 accepted/pending2/0, Riley deleted, zero chat/notification controls, exactly one task.
• Branch B worker terminal PASS/CLOSED at17:23:40.030663919Z: task done attempt1/error-empty, worker pendingCount0, capacity/members and every zero-artifact control unchanged. Never repeat Casey Delete; reset before independent capacity branch.</t>
  </si>
  <si>
    <t>EVENT-INV-006</t>
  </si>
  <si>
    <t>Event acceptance notification privacy</t>
  </si>
  <si>
    <t>Accept equivalent invitations in one Open and one Blind event</t>
  </si>
  <si>
    <t>INDIRECT membership delta</t>
  </si>
  <si>
    <t>DELTA one acceptance event notification per visibility-authorized non-actor recipient; system-chat notification X</t>
  </si>
  <si>
    <t>Open notifies Admin plus visible pending control; Blind notifies Admin only; actor never receives own acceptance; each chat has one join row and zero system-derived chat notifications</t>
  </si>
  <si>
    <t>Backend and local Open/Blind recipient tests added; system-chat notification regression added; backend dev-profile hot reload PASS with 15s member-change debounce while production remains 5m</t>
  </si>
  <si>
    <t>Closed; repeat only after acceptance recipient visibility, Blind member visibility, join-system-message notification suppression or affinity task scheduling changes</t>
  </si>
  <si>
    <t>• Open: Riley accepted; Casey and visible pending Nova alone received the acceptance row; Riley received none.\n• Blind used a role-equivalent actor/control swap: Nova accepted; Casey alone received the row; actor Nova and hidden pending Riley received none.\n• UI and oracle agreed; both event chats contain one member-joined row and zero chat-message notifications.\n• Both event-scoped recompute tasks completed exactly once with empty error and unchanged accepted2/pending1 fingerprints.\n• Dev member-change debounce is now 15s to avoid the production five-minute wait during manual QA.</t>
  </si>
  <si>
    <t>EVENT-FEEDBACK-001</t>
  </si>
  <si>
    <t>Event feedback</t>
  </si>
  <si>
    <t>Cross the feedback eligibility boundary</t>
  </si>
  <si>
    <t>DELTA exact persisted users.activities.feedback and eventFeedback.pending at the eligibility write; popup/menu reads X</t>
  </si>
  <si>
    <t>CONDITIONAL bounded due-event worker materializes the eligibility transition once; repeated pass X</t>
  </si>
  <si>
    <t>Accepted non-admin participant sees one pending item only after start plus two hours; the independently reloaded profile menu shows the same actionable count</t>
  </si>
  <si>
    <t>MANUAL UI + FUNCTIONAL PASS; MENU BADGE DEFECT FIXED</t>
  </si>
  <si>
    <t>2026-08-05</t>
  </si>
  <si>
    <t>Focused UserActivityCountersService and EventCounterExpiryService eligibility/idempotence tests PASS; status oracle prints the exact main counter, four buckets and tracking markers</t>
  </si>
  <si>
    <t>On any eligibility-policy change compare accepted participant against locked, trashed, admin and pending controls; require feedback=1 with ownEvents/pending/feedbacked/removed=0/1/0/0 before opening the popup</t>
  </si>
  <si>
    <t>The popup showed exactly one eligible event and excluded the start+2h locked, trashed, admin and pending-member controls. The initial reload exposed a missing profile-menu badge because eligibility was computed only by the read projection. The fix materializes the transition through the existing bounded worker and owner service, with no frontend delta and no menu/popup recomputation. After hot deploy, reload independently showed red badge 1. Read-only Mongo proof: users.activities.feedback=1, eventFeedback ownEvents=0 pending=1 feedbacked=0 removed=0, exactly one eligible/counterTracked state, and the due source marked projected. The reusable checkpoint oracle now prints these exact values.</t>
  </si>
  <si>
    <t>EVENT-FEEDBACK-002</t>
  </si>
  <si>
    <t>Submit controlled event feedback responses with an optional event opinion</t>
  </si>
  <si>
    <t>DELTA event feedback activity after snapshot</t>
  </si>
  <si>
    <t>DELTA feedback telemetry, counters and outbox</t>
  </si>
  <si>
    <t>INDIRECT after target-user recompute</t>
  </si>
  <si>
    <t>DELTA affinity recompute; first-submit outbox</t>
  </si>
  <si>
    <t>Before submit, Activities Event card, feedback-list card and feedback form use the same persisted image on both backend HTTP and frontend local/demo paths; when image is empty all three use neutral placeholders with no runtime stock photo. The first event page accepts an optional event opinion up to 160 characters. View my feedback and the organizer received view show that opinion separately from any note to organizer; submitted item and recipient notification agree</t>
  </si>
  <si>
    <t>Feedback submit service coverage; empty-image list/detail regressions added; event-opinion persistence/limit/view regressions authored but not separately run; backend and frontend hot-deploy compilation passed</t>
  </si>
  <si>
    <t>Closed; do not repeat unless the feedback counter contract changes</t>
  </si>
  <si>
    <t>Browser and stored oracle passed with one event and two accepted participant responses: Casey main Feedback=2 and Own Events=2, one Own Events card remained with response badge 2, and the existing auto-poll refreshed Casey without reload. Persisted state had two submitted viewers and three card answers; event membership remained exact 3/8 and the previously proven image/opinion/notification paths remained intact.</t>
  </si>
  <si>
    <t>EVENT-FEEDBACK-005</t>
  </si>
  <si>
    <t>Event feedback metadata</t>
  </si>
  <si>
    <t>Save and reopen one participant note to the organizer</t>
  </si>
  <si>
    <t>INDIRECT received-feedback counter refresh only</t>
  </si>
  <si>
    <t>Add/Edit note remains available after feedback submission. The exact note persists in feedback state; View my feedback and the organizer received view show it separately from the event opinion; participant answers and profile traits remain unchanged</t>
  </si>
  <si>
    <t>Feedback note access tests partial; submitted-card note action and separate viewer fields added</t>
  </si>
  <si>
    <t>Closed; do not repeat unless organizer-note persistence or rendering changes</t>
  </si>
  <si>
    <t>Add note and Edit note worked after submission. Nova's View my feedback and Casey's received-feedback view showed organizerNote `cyxcyxcxy-t` separately from the structured answer. The read-only oracle proved the answer and counters unchanged at Casey 1/1 and Nova feedbacked=1, with zero recompute, notification and outbox effects.</t>
  </si>
  <si>
    <t>EVENT-FEEDBACK-006</t>
  </si>
  <si>
    <t>Event feedback lifecycle</t>
  </si>
  <si>
    <t>Remove and restore one pending feedback item before submission</t>
  </si>
  <si>
    <t>DELTA exact feedback pending/removed buckets; answers and outbox X</t>
  </si>
  <si>
    <t>The same event moves Pending -&gt; Removed -&gt; Pending; participant feedback/pending/feedbacked/removed changes 1/1/0/0 -&gt; 0/0/0/1 -&gt; 1/1/0/0 while Casey Own Events stays 1</t>
  </si>
  <si>
    <t>Checkpoint harness stages one eligible and counterTracked pending state with exact persisted participant and host counters</t>
  </si>
  <si>
    <t>Repeat only after feedback state, bucket or counter policy changes; retain the same no-answer and no-side-effect controls</t>
  </si>
  <si>
    <t>Nova UI proved the retained title/image moved once from Pending to Removed, Pending emptied and Removed became 1, then Restore emptied Removed and returned the same card once to Pending. Read-only oracles proved Casey feedback=0 ownEvents=1 throughout; Nova changed exactly 1/1/0/0 -&gt; 0/0/0/1 -&gt; 1/1/0/0; state removed false -&gt; true -&gt; false with submittedAtIso empty and organizerNote empty; answers, affinity tasks, notifications and outbox stayed empty. Add organizer note remains the separate EVENT-FEEDBACK-005 checkpoint.</t>
  </si>
  <si>
    <t>EVENT-IMPRESSION-001</t>
  </si>
  <si>
    <t>Profile Impressions</t>
  </si>
  <si>
    <t>Observe target profile after controlled event feedback</t>
  </si>
  <si>
    <t>INDIRECT normal user-realtime snapshot only</t>
  </si>
  <si>
    <t>INDIRECT because feedback submit queued target recompute</t>
  </si>
  <si>
    <t>Correct Host or Attendee trait evidence changes; unrelated user and section remain unchanged</t>
  </si>
  <si>
    <t>Two focused HomeUserProfileService regressions plus retained manual retest</t>
  </si>
  <si>
    <t>Retain initial failure, mandatory impressions payload, Casey target result and Nova post-poll/reopen control</t>
  </si>
  <si>
    <t>PASS-after-fix: Casey Host gained Creative Soul 18%; backend now always sends impressions and uses stable eventFeedback lifecycle; Nova 56/24/15 control survived poll and close/reopen</t>
  </si>
  <si>
    <t>EVENT-IMPRESSION-002</t>
  </si>
  <si>
    <t>Open a non-zero Impressions Feedback tile and observe UI acknowledgement plus authoritative poll reconciliation</t>
  </si>
  <si>
    <t>Stored Feedback badge may hide immediately on tile open and return with the same value on the next poll; no feedback mutation occurs</t>
  </si>
  <si>
    <t>Manual checkpoint captured</t>
  </si>
  <si>
    <t>Closed; retain the separate 1 -&gt; hidden -&gt; 1 acknowledgement cycle unless the counter or polling contract changes</t>
  </si>
  <si>
    <t>Nova badge was 1, disappeared immediately on tile open and returned as 1 on the next realtime poll. This is the accepted UI acknowledgement cycle; no feedback was submitted, removed or otherwise mutated.</t>
  </si>
  <si>
    <t>P0 95</t>
  </si>
  <si>
    <t>EVENT-TICKET-001</t>
  </si>
  <si>
    <t>Event ticketing</t>
  </si>
  <si>
    <t>Enable ticketing and reopen the event</t>
  </si>
  <si>
    <t>INDIRECT event definition delta</t>
  </si>
  <si>
    <t>DELTA event save and recompute</t>
  </si>
  <si>
    <t>DELTA affinity recompute; ticket scheduler X</t>
  </si>
  <si>
    <t>Reopened draft editor retains ticketing without role changes; participant ticket projection is not expected before publish</t>
  </si>
  <si>
    <t>2026-08-06</t>
  </si>
  <si>
    <t>Ticket sync/service tests</t>
  </si>
  <si>
    <t>Closed; repeat only after event ticketing persistence or shared event-counter projection changes</t>
  </si>
  <si>
    <t>Fixture counter projection was corrected first: Casey My Events stayed at 1 and the event survived repeated polls. Casey then unpublished for editing, enabled Ticketing, saved once and reopened with Ticketing On. The preferred canonical state was DR with ticketing=true; Casey remained accepted Admin, Nova accepted Member, and exactly one event recompute followed the save. Publish-to-participant-overlay and credential issue/reuse remain isolated in EVENT-TICKET-002.</t>
  </si>
  <si>
    <t>EVENT-TICKET-002</t>
  </si>
  <si>
    <t>Publish Ticketing On through the real UI path and create one accepted-participant physical ticket while retaining a pending control</t>
  </si>
  <si>
    <t>DELTA publish-owned event/ticket projection; Ticket reads X</t>
  </si>
  <si>
    <t>INDIRECT after publish recompute</t>
  </si>
  <si>
    <t>DELTA only for publish recompute; Ticket reads X</t>
  </si>
  <si>
    <t>Fixture and UI stay 2 / 8 for Casey accepted Admin plus Nova accepted Member with Riley pending; reset restores all three users-table ticket counters to zero; publish creates one Nova EventTicket status A; Casey and Riley get no ticket/counter; two Ticket opens read one stable event/holder/code; managed large URL renders through medium.webp</t>
  </si>
  <si>
    <t>EventTicketServiceTest + EventParticipationTicketServiceTest PASS; lifecycle publish regression added; hot-deploy BUILD SUCCESSFUL; persisted pre/post-read oracle; nginx medium.webp HTTP 200</t>
  </si>
  <si>
    <t>Closed; retain the Previous-filter/reload observation and repeat only after publish issuance, ticket-read purity, users-table counters or Ticket filter initialization changes</t>
  </si>
  <si>
    <t>After removing the earlier read-side Admin issuance defect, the corrected 2 / 8 plus Riley-pending retest exposed and fixed a separate lifecycle publish() omission. The final real publish created exactly one Nova A ticket and users counters 1 / 1; Casey Admin and pending Riley remained ticketless at 0 / 0; membership stayed 2 / 8 plus pending 1 and recompute count was one. Ticket reads/reload preserved id 6a7415d366fe4ab1cd12e373, code and issuedAt without writes; medium.webp returned 200. The first open retained Previous and was empty; reload reset Upcoming and displayed the ticket, recorded as a filter/reload observation rather than lifecycle failure.</t>
  </si>
  <si>
    <t>EVENT-TICKET-POLL-001</t>
  </si>
  <si>
    <t>Event ticket live refresh</t>
  </si>
  <si>
    <t>Prove foreground Ticket-popup convergence, then close it and prove the background side-menu poll resumes after Unpublish</t>
  </si>
  <si>
    <t>INDIRECT shared frontend ActivityStore counter signal; persisted users counters remain write-owned</t>
  </si>
  <si>
    <t>X for polls; DELTA one normal recompute for publish and lifecycle revocation/counter refresh for unpublish</t>
  </si>
  <si>
    <t>Phase 1: from Casey/Nova accepted 2 / 8 plus Riley pending and zero tickets, the already-open Upcoming list gains exactly one Nova A ticket and Ticket changes 0 -&gt; 1 within one 30-second foreground interval without reload/oscillation. Phase 2: close the popup, leave Nova side menu open and Casey Unpublish; within one background interval Events and Ticket both change 1 -&gt; 0, the physical ticket changes A -&gt; D, Ticketing remains configured On in draft, and Riley remains pending/ticketless</t>
  </si>
  <si>
    <t>Shared UiPollCoordinator plus ActivityStore Ticket signal regressions; frontend hot-deploy compilation PASS; backend unpublish A-to-D regression; persisted phase-2 oracle PASS</t>
  </si>
  <si>
    <t>Closed; repeat only after shared poll ownership, ActivityStore ticket signal, unpublish revocation or users-table counter refresh changes</t>
  </si>
  <si>
    <t>Phase 1 UI converged open Ticket list/counter 0 -&gt; 1. Phase 2 closed the popup and the resumed side-menu poll changed Events/Ticket 1 -&gt; 0 without reopen/reload. Oracle at 2026-08-06T06:08:58.365Z proved DR + Ticketing On, Nova ticket 6a741f2e66fe4ab1cd12e39b status D, exact 2 / 8 plus Riley pending, and all controlled ticket counters 0 / 0.</t>
  </si>
  <si>
    <t>EVENT-TICKET-003</t>
  </si>
  <si>
    <t>Physical-phone Admin QR check-in through ADB localhost tunnel</t>
  </si>
  <si>
    <t>INDIRECT check-in counter only if documented</t>
  </si>
  <si>
    <t>Every clean stage/new ticket has a different server-style UUID-v4 QR; one app-menu Kamera be/ki toggle owns stream state; manual Off stops tracks and shows white/red X; valid scan stops the stream and retains the recognized frame; Member/Manager/Admin is an avatar-under contextual badge while the event title is unprefixed; first scan succeeds once while repeat, invalid and unauthorized scans do not mutate</t>
  </si>
  <si>
    <t>Ticket check-in service tests, scanner-store pause regression, ticket-scan role-layout converter regression and persisted first/repeat oracle</t>
  </si>
  <si>
    <t>Closed; repeat only after physical scanner, ticket-use CAS, role rendering or rejection-path changes</t>
  </si>
  <si>
    <t>Final clean physical-phone run used the fresh random QR exactly once at 10:16:50.744525385Z by Casey and retained status A. Two saved-QR replays returned already used while preserving the original use. Invalid and unauthorized no-op paths retain automated service coverage; replay audit/warning behavior is closed separately in EVENT-TICKET-010.</t>
  </si>
  <si>
    <t>EVENT-TICKET-004</t>
  </si>
  <si>
    <t>Event ticketing lifecycle</t>
  </si>
  <si>
    <t>Prove physical ticket A/D audit history across Unpublish and a later republish</t>
  </si>
  <si>
    <t>INDIRECT lifecycle delta owned by the event mutation</t>
  </si>
  <si>
    <t>DELTA event lifecycle/recompute; ticket reads X</t>
  </si>
  <si>
    <t>INDIRECT after event recompute</t>
  </si>
  <si>
    <t>DELTA only for the owning lifecycle mutation</t>
  </si>
  <si>
    <t>Unpublish retains the old ticket as D even while Ticketing stays configured On in draft; republish creates a new A object with new id/code/issuedAt and exactly one active ticket remains</t>
  </si>
  <si>
    <t>EventTicketService focused A/D lifecycle coverage including draft revocation; persisted Unpublish, revoked-scan and Republish oracles PASS</t>
  </si>
  <si>
    <t>Closed; repeat only after physical ticket publish/revocation sync changes. Republish notification/poll delivery is separated into EVENT-NOTIFICATION-001</t>
  </si>
  <si>
    <t>Republish retained the original used D ticket/code and created exactly one new unused A object 6a74645b7c85995dcf3955eb with different code TKT-942126c0-4c90-44b0-8017-baf5c0810a82 and issuedAt 2026-08-06T10:39:23.880809028Z. Nova ticket counters returned to 1/1; membership stayed 2/8. Missing available-again notification does not invalidate this physical-object lifecycle result.</t>
  </si>
  <si>
    <t>EVENT-TICKET-005</t>
  </si>
  <si>
    <t>Event ticket join approval</t>
  </si>
  <si>
    <t>Discover a Public event in Explore; prove repeated Join/Cancel signal removal, visible-basket reload retention and terminal admin-approval ticket ownership</t>
  </si>
  <si>
    <t>INDIRECT Join/cancel/approval counter deltas</t>
  </si>
  <si>
    <t>DELTA pending Join membership; every Cancel emits one ID-scoped activity removal; re-Join reopens only that pending request; approval owns physical ticket, users-table counter creation and terminal closure of the current basket reservation</t>
  </si>
  <si>
    <t>INDIRECT after Join/cancel/approval recompute</t>
  </si>
  <si>
    <t>DELTA only for owning Join, cancel and approval writes; separate Pending/Cancelled admin notification intents; Explore/Ticket reads X</t>
  </si>
  <si>
    <t>• Baseline/Join: Casey-only baseline; Nova Join creates one member-origin pending request, one physical approval-pending basket, one Casey Pending notification and zero tickets.
• Pending reload: the Public Explore card and orange Continue booking survive from the visible basket without writes.
• Each Cancel: in-place Continue booking -&gt; Request Join and ID-scoped Activity removal; one reload reconstructs the same fresh state while retaining a closed basket audit.
• Re-Join: appends a distinct physical basket and leaves all prior audits immutable.
• Terminal approval: directly accepts Nova, creates one A ticket/counters 1/1 and closes the current basket reservation without changing prior Cancel audits; Casey/Riley stay ticketless.
• Ticket reads: normal poll exposes counter 1 and two opens reuse the same Nova ticket ID/code.</t>
  </si>
  <si>
    <t>PASS / CLOSED; TWO REPAIRS VERIFIED</t>
  </si>
  <si>
    <t>2026-08-12</t>
  </si>
  <si>
    <t>• PASS: all three Join identities and both Cancel in-place/reload branches.
• PASS: approval membership, occupancy, ticket identity and counters.
• FAIL retained: terminal approval basket-closure oracle.
• UPDATED: active-slot-only basket finalizer and acceptance-before-ticket ordering source regressions; backend/frontend hot deploys PASS.
• BASELINE PASS: reset -&gt; not-staged -&gt; fresh stage -&gt; independent Casey-only oracle; managed actors relaunched and identity-verified.
• REPLAY FIRST JOIN PASS: one active basket 6a7c9fdbf8a7d3829acd8028, one pending membership/notification, zero tickets/counters.
• PENDING RELOAD PASS: Continue booking retained; basket/membership/notification identities and timestamps unchanged; no ticket write.
• FIRST CANCEL IN-PLACE PASS: Request Join appeared without reload; basket 6a7c9fdbf8a7d3829acd8028 closed as cancelled/deleted and inactive; Nova pending 0/trash 1; Casey Pending then Cancelled; tickets/counters 0/0.
• FIRST POST-CANCEL RELOAD PASS: Request Join reconstructed; closed audit, membership, notification identities/timestamps and zero ticket state remained unchanged.
• FIRST RE-JOIN PASS: distinct active basket 6a7ca1dcf8a7d3829acd8030 appended; first audit immutable; Nova pending 1; Casey Pending/Cancelled/Pending; tickets/counters 0/0.
• SECOND CANCEL IN-PLACE PASS: Request Join appeared without reload; both basket attempts are distinct closed audits; Nova pending 0/trash 1; Casey Pending/Cancelled/Pending/Cancelled; tickets/counters 0/0.
• SECOND POST-CANCEL RELOAD PASS: Request Join reconstructed; both audits/timestamps, membership, four notifications and zero ticket state remained unchanged.
• FINAL JOIN PASS: third distinct active basket 6a7ca61cf8a7d3829acd8035 appended; older audits immutable; Nova pending 1; Casey has five ordered notifications; tickets/counters 0/0.
• TERMINAL APPROVAL PASS / REPAIR VERIFIED: Nova accepted 2+0/8; one A ticket 6a7ca6ddf8a7d3829acd8038 / TKT-be2fc931-af92-47f8-83ad-0cefc4c1d416; counters 1/1; third basket approved/succeeded/inactive; two Cancel audits immutable.
• NORMAL TICKET POLL FAIL: repeated successful realtime responses carried tickets 1/asset.tickets 1, but an open Explore popup caused the frontend to discard the snapshot and Ticket showed no item badge.
• UPDATED: popup-visible global counters now converge without advancing deferred profile/impressions cursor; per-user revision tokens reject stale pre-mutation poll responses; watcher build PASS.
• FOCUSED REPLAY BASELINE PASS: reset -&gt; not-staged -&gt; fresh stage -&gt; independent Casey-only oracle; managed actors replaced with new bundle and identities verified; prior clean Cancel/reload/re-Join evidence retained.
• FOCUSED REPLAY JOIN PASS: POST join 200; basket 6a7ca9c2f8a7d3829acd8039 is the one active approval-pending attempt; Nova pending 1, Casey Pending 1, tickets/counters 0/0.
• FOCUSED APPROVAL/POLL PASS: action POST 200; Nova accepted 2+0/8; basket approved/succeeded/inactive; one A ticket 6a7cab4ef8a7d3829acd803f, counters 1/1; repeated normal polls exposed item-level Ticket 1 while Explore/join-review stayed open.
• FIRST TICKET READ PASS: GET /api/assets/tickets 200 at 19:24:09; persisted ticket ID/code, issue/use state and counters remained unchanged with no second credential or domain write.
• SECOND TICKET READ PASS: GET /api/assets/tickets 200 at 19:29:16; DOM showed one ticketed event/QA card; final oracle retained the exact sole ticket ID/code/status/issuedAt and counters without writes.</t>
  </si>
  <si>
    <t>Closed; proceed to EVENT-TICKET-006. Repeat only after Join/Cancel basket identity, approval finalization, realtime counter synchronization or Ticket-read ownership changes.</t>
  </si>
  <si>
    <t>• Historical basket-ID FAIL retained; its new-identity fix is verified.
• Approval POST 200: Nova accepted at 2+0/8; one A ticket 6a7c9b3ff8a7d3829acd8013 / TKT-7b0475a4-136d-427c-beb8-b99bccb66fa6; Nova counters 1/1, Casey 0/0.
• Terminal basket-closure FAIL: current basket 6a7c996af8a7d3829acd8007 stayed approval-pending/pending with reservationActive true; both earlier Cancel audits stayed closed.
• Owning-domain and local-parity fixes are hot-deployed; source regressions added without a separate build/test process.
• Fresh replay baseline independently proved Casey-only 1+0/8 with no Nova membership/basket/notification/ticket; three managed actors replaced and verified.
• First replay Join PASS: basket 6a7c9fdbf8a7d3829acd8028 is approval-pending/pending active; Nova pending 1, Casey Pending rows 1, tickets/counters 0/0.
• Pending Explore reload PASS: same basket ID and exact timestamps; same pending membership/notification; Continue booking retained; zero writes/tickets.
• First Cancel in-place PASS: same basket is now cancelled/deleted inactive at 2026-08-12T16:35:47.888144723Z; Nova is suppressed at pending 0/trash 1; Casey has exactly Pending then Cancelled; tickets/counters remain 0/0.
• First post-Cancel reload PASS: same closed basket timestamps and state, suppressed membership, two Casey notification identities and 0/0 tickets/counters were unchanged.
• First re-Join PASS: new active basket 6a7ca1dcf8a7d3829acd8030 appended without mutating first audit; pending membership/occupancy restored; Casey order Pending/Cancelled/Pending; tickets/counters 0/0.
• Second Cancel in-place PASS: second basket closed at 2026-08-12T16:41:18.371454648Z while first audit stayed unchanged; Nova pending 0/trash 1; Casey has four ordered notification rows; tickets/counters 0/0.
• Second post-Cancel reload PASS: both closed audit IDs/timestamps, suppressed membership, four notification rows and tickets/counters 0/0 remained unchanged.
• Final Join PASS: third active basket 6a7ca61cf8a7d3829acd8035 appended with two prior audits immutable; Nova pending 1; Casey has five ordered notifications; tickets/counters 0/0.
• Clean terminal approval PASS: action endpoint 200; Nova accepted 2+0/8; exactly one A ticket 6a7ca6ddf8a7d3829acd8038 / TKT-be2fc931-af92-47f8-83ad-0cefc4c1d416, counters 1/1; third basket approved/succeeded/inactive; both Cancel audits immutable.
• Terminal basket-closure repair is verified.
• Ticket poll FAIL: backend payload was correct but open-popup gating discarded every non-notification snapshot; Ticket item badge stayed absent.
• Popup-safe, stale-response-protected global counter synchronization is hot-deployed; only the affected Join -&gt; approval-with-Explore-open -&gt; poll -&gt; two-read path requires replay. Prior clean Cancel/reload/re-Join evidence remains valid.
• Focused popup-counter replay Join PASS: POST join 200 at 19:13:38; basket 6a7ca9c2f8a7d3829acd8039 active approval-pending, Nova pending 1, Casey Pending 1, tickets/counters 0/0; Join was not repeated.
• Focused approval/poll PASS: action POST 200 at 19:20:14; one A ticket 6a7cab4ef8a7d3829acd803f / TKT-970b4c17-dd7c-4d93-88c9-d42a1dfde12b; basket closed, counters 1/1; normal polls at 19:20:26/56 and 19:21:26/56 converged item-level Ticket 1 with Explore/join-review open.
• First Ticket read PASS: GET /api/assets/tickets 200 at 19:24:09; the oracle retained the exact ticket ID/code, issue/use state and counters with no second credential or domain write.
• Second Ticket read PASS / CHECKPOINT CLOSED: GET 200 at 19:29:16; DOM showed exactly one QA EVENT-TICKET-005 card; final oracle retained sole A ticket 6a7cab4ef8a7d3829acd803f / TKT-970b4c17-dd7c-4d93-88c9-d42a1dfde12b with original issuedAt, unused state and counters 1/1; Casey 0/0; no write or duplicate.</t>
  </si>
  <si>
    <t>EVENT-TICKET-006</t>
  </si>
  <si>
    <t>Event ticket past lifecycle</t>
  </si>
  <si>
    <t>Move an ended event ticket from Upcoming to Past without changing physical A/D status</t>
  </si>
  <si>
    <t>INDIRECT normal event-expiry convergence</t>
  </si>
  <si>
    <t>DELTA only for the existing event-expiry counter worker</t>
  </si>
  <si>
    <t>Same A ticket id/code moves Upcoming -&gt; Past; expired scan is rejected without mutation or replacement</t>
  </si>
  <si>
    <t>Ticket expiry/check-in service coverage plus stable pre-expiry stage, explicit arm-ticket-expiry action, live poll, physical-phone scan and persisted no-mutation oracle</t>
  </si>
  <si>
    <t>Closed; repeat only after ticket expiry bucketing, event-end validation precedence or expired-scan behavior changes</t>
  </si>
  <si>
    <t>• First timing-invalid attempt retained as NOT EXECUTED: setup consumed the stage-owned two-minute window; post-expiry oracle still retained one unchanged A ticket and counters 1/1.
• Repaired stable baseline plus explicit arm PASS: arm at 17:45:25.759Z set the printed 17:47:25.759Z deadline only after Nova confirmed Upcoming.
• Upcoming transition PASS: GET 19:47:17 returned the one card; GET 19:47:47 returned empty and the already-open UI converged without reload.
• Past classification PASS: Nova selected Past once; DOM showed one QA EVENT-TICKET-006 card; oracle retained the same unused A ticket manual-qa-checkpoint:v1:event-domain:ticket / TKT-ba6bfa5c-b14d-48e6-bb62-3af1e245b0c6 and counters 1/1.
• Expired scan PASS: authorized Android POST /api/assets/tickets/validate returned 200 at 20:14:06; visible result was 'Ez a jegy lejárt.' Final oracle retained the same A/unused ticket, no replacement, replay audit, outbox or notification.
• Reset completed at 18:16:56.416Z; follow-up status was not-staged.</t>
  </si>
  <si>
    <t>EVENT-TICKET-007</t>
  </si>
  <si>
    <t>Event ticket invitation acceptance</t>
  </si>
  <si>
    <t>Let accepted Nova invite Riley; Riley responds first and stays ticketless pending Casey approval; Casey's later terminal approval creates Riley's ticket</t>
  </si>
  <si>
    <t>INDIRECT invitation/invitee-response/Admin-approval deltas</t>
  </si>
  <si>
    <t>DELTA only Casey terminal-approval-owned physical ticket and users-table counters; invitation, invitee response and reads X for ticket creation</t>
  </si>
  <si>
    <t>INDIRECT after terminal Admin approval recompute</t>
  </si>
  <si>
    <t>DELTA only for owning membership writes; terminal Admin approval must finalize the latest open payment before ticket sync and emit one target approval notification; Ticket/Notification reads X</t>
  </si>
  <si>
    <t>Baseline Casey accepted Admin and Nova accepted Member with one stable Nova A ticket/counters 1, while Riley is outside membership with zero ticket/counters; Nova invite creates one pending invitation and one unread Riley event-invite visible in New before response; Riley acceptance converts membership to a pending Admin-approval request, remains ticketless and resolves that invite notification; Casey approval creates one Riley A ticket, both Riley counters 1 and one unread event-member-approved row visible in New without changing Nova's ticket; repeated reads reuse the ticket</t>
  </si>
  <si>
    <t>Backend accepted-eligibility ticket tests PASS; existing admin-before-invitee denial and ordinary-inviter approval-order regressions present; local invitation-boundary regression PASS; write-side terminal payment-finalization ordering/idempotence regressions added; invite-candidate fixture ownership and authenticated actor/owner preflight added; Java mutationApplied response and shared counter-revision regressions added; target approval-notification writer, materialized category and frontend-local parity regressions added; existing backend/frontend hot-deploy builds and Spring restart PASS; manual Riley-response HTTP replay PASS in-place and after fresh document read; focused Admin-approval durable, notification oracle/New UI, delayed affinity worker and repeated Ticket reads PASS; Firebase-disabled dev push outbox retention classified as configured; separate Gradle/npm test processes intentionally not started</t>
  </si>
  <si>
    <t>Advance without reset to EVENT-VISIBILITY-001, retaining the completed Casey/Nova/Riley memberships and exact Nova/Riley active ticket identities as the visibility checkpoint's before oracle</t>
  </si>
  <si>
    <t>• Baseline PASS: Casey accepted Admin/ticket 0; Nova accepted Member with sole A ticket manual-qa-checkpoint:v1:event-domain:ticket / TKT-d6bd7582-1849-46bb-ba09-24dd7fb92b44 and counters 1/1; Riley outside membership/counters 0/0.
• Initial list FAIL at 20:23:14+02:00: Nova Events and Active Events badges were 1, but the authenticated 200 response and popup list were empty; no invite request was sent and the persisted baseline was unchanged.
• Root cause: payment oracle exposed three legacy reserved-event records—one joined then two later initiated—outside the old fixture selector; latest-open payment therefore classified accepted Nova as pending.
• Write-side repair: terminal event acceptance now finalizes the latest open payment after basket finalization and before ticket sync. No query/projection masking was retained.
• Fixture repair at 18:44:01.807Z removed the three guarded legacy records; future stage/reset/status owns payments. Event/member/ticket/counters/outbox/tasks stayed unchanged and payments became empty.
• Focused replay PASS without reload: authenticated Active Events returned exactly one record, and Nova's already-open popup converged on its normal poll to QA EVENT-TICKET-007 with badge 1 and members 2/8.
• Invite-candidate fixture FAIL at 20:49:08+02:00: the popup was empty and confirmation disabled; no request or persisted invite mutation occurred. Riley was public and outside membership, but event candidates require a prior single + met=true rate that the fixture omitted.
• Guarded candidate preparation at 18:54:03.858Z created one reset-owned Nova-Riley rate. Independent status retained membership/ticket/counter/payment/outbox/task baselines, and Nova-authenticated candidate API returned only Riley with total 1.
• The already-open empty popup retained its prior response, so the replay resumed only at Invite popup close/reopen.
• Nova invite PASS at 20:57:41+02:00: exactly one members/invite POST returned 200. Oracle shows Riley pending invite from Nova, no Riley ticket/counters, unchanged Nova ticket/counters and empty payments. In-place UI shows Nova 2 members + 1 pending, Casey 2/8 + pending 1, and untouched Riley Invitations 1 with no Ticket badge.
• QA sequence corrected without resetting the live boundary: backend authorization and existing tests deliberately forbid Admin acceptance before the invitee responds. Riley must accept first and remain pending requestKind approval/ticketless; Casey's later approval is terminal and owns ticket creation.
• Initial Riley response in-place FAIL: Invitations emptied, but Pending did not become 1. Persisted oracle/read PASS: pending requestKind approval/pendingSource member, stored Pending 1/Invitations 0, ticket counters 0/0, no Riley ticket, one Casey join-request; reload reconstructed the row.
• Owning repair: Java requestJoin now reports its saved mutation so the response emits Invitations -1 and Pending +1; the shared frontend delta path advances the counter revision so older realtime state cannot overwrite it. Existing hot-deploy owners compiled/restarted successfully; no parallel build/test process ran.
• Guarded focused replay PASS at 21:40:46+02:00: HTTP 200 returned changed=true plus Invitations -1 / event Pending +1 / event Invitations -1. Riley observed Pending 1 without reload; DOM showed Waiting for approval; oracle retained ticketless Riley and the exact Nova ticket. A later full document/fresh-filter read showed the same state.
• Frontend-local runtime NOT EXECUTED for the Riley-response projection: the active deterministic fixture uses HTTP; local adapter contract was inspected and the shared regression covers the affected store, but no local runtime PASS is claimed.
• Invite notification New observation NOT EXECUTED: the persisted event-invite was created unread and Riley's response later resolved it to read exactly once, but New was not manually inspected before that response. This is now an explicit pre-response stop, not a retroactive product FAIL.
• First Casey terminal approval durable PASS at 21:49:11+02:00: Riley accepted, one A ticket 6a7cce37f8a7d3829acd8053 / TKT-3d3eddd0-221f-453e-b8f2-1b40fe29d795, counters 1/1, one Riley overlay, one three-member main chat and one joined system message; Nova's exact ticket stayed unchanged.
• Approval notification FAIL: the same oracle found zero event-member-approved outbox rows and zero Riley approval notifications. Casey's apparent Invitations 0-&gt;3 / All 1-&gt;4 was a stale fixture baseline corrected by full recompute from three real demo invitations, not a product-query failure.
• Owning repair: Java terminal approval emits one target-only unread event-member-approved intent after ticket/event refresh; materialization categorizes it event-admin, and frontend-local approval appends the equivalent unread row. Existing dev hot-deploy owners rebuilt/restarted successfully; no second build ran.
• Guarded focused rearm READY at 22:08:27+02:00: only the failed approval effects were removed. Riley is pending approval with Pending 1/Tickets 0, no overlay/ticket/chat/task; Nova's original ticket, Riley's resolved invite, Casey's join-request and all earlier PASS evidence remain.
• Focused approval replay durable + notification oracle PASS at 22:12:31+02:00: Riley accepted with sole new A ticket 6a7cd3aff8a7d3829acd805a / TKT-d05cdd81-86da-430d-b166-b508cccb42c6 and counters 1/1; one Riley overlay, three-member chat and joined system message exist; Nova's original A ticket/counters are unchanged. Exactly one target event-member-approved outbox and one materialized unread event-admin notification exist with Casey sender.
• Notifications New PASS: manual observation plus managed read-only DOM proved 1 new/New 1 and the exact QA EVENT-TICKET-007 / Approved / Casey Bridge · Event admin row; merely opening New kept readAtIso empty.
• Delayed worker PASS: approval task EVENT_MEMBERS_CHANGED became done at 22:18:31+02:00 on attempt 1 with no error; enabled 60-second affinity rule reached pending 0. Firebase is inactive in dev, so the worker intentionally retained the push outbox pending while the exact in-app row was already materialized; this is configured behavior.
• Repeated Ticket read PASS/CLOSED: Riley opened Upcoming, closed only Ticket and reopened Upcoming without reload/scan. Second-open DOM showed one ticketed event/filter 1 and the sole QA EVENT-TICKET-007 card. Final oracle retained Riley ticket 6a7cd3aff8a7d3829acd805a / TKT-d05cdd81-86da-430d-b166-b508cccb42c6 A/unused with counters 1/1, unchanged Nova ticket/counters and ticketless Casey; notification stayed unread and no extra ticket/chat/membership/outbox/task appeared. The earlier invite New UI check remains documented NOT EXECUTED and is enforced in future runs.</t>
  </si>
  <si>
    <t>EVENT-TICKET-008</t>
  </si>
  <si>
    <t>Event ticket isolation</t>
  </si>
  <si>
    <t>Keep two similar ticketed events with the same Casey Admin, Nova accepted Member and Riley pending roles, then mutate only one event</t>
  </si>
  <si>
    <t>INDIRECT only for the selected event lifecycle</t>
  </si>
  <si>
    <t>DELTA only for selected-event lifecycle/ticket counters; reads X</t>
  </si>
  <si>
    <t>INDIRECT only after selected-event recompute</t>
  </si>
  <si>
    <t>DELTA only for the selected event's owning mutation</t>
  </si>
  <si>
    <t>Nova starts with two distinct A tickets bound to two event IDs. Unpublishing event A changes only A ticket A -&gt; D and total counters 2 -&gt; 1; event B ticket keeps the same id/code/A status and remains visible. Republishing A creates a new A id/code and counters return 1 -&gt; 2 without duplicating or reassigning B</t>
  </si>
  <si>
    <t>Removal and insertion replay passed through Java POST ticket sync plus exact persisted isolation; shared SmartList stays reverted; Ticket-specific Java HTTP and frontend-local delta adapters retain foreground ownership; independent Nova/Riley notification lane remained live</t>
  </si>
  <si>
    <t>Closed; retain as regression checkpoint for Ticket delta removal/insertion, immediate publication menu sync and adjacent ticket identity isolation</t>
  </si>
  <si>
    <t>• Fresh stage owns event A manual-qa-checkpoint:v1:event-domain:event and event B manual-qa-checkpoint:v1:event-domain:ticket-isolation-control; both are A/Public/Ticketing On with Casey+Nova accepted, Riley pending and occupancy 2/8 (1).
• Nova owns exactly two distinct active unused tickets: A manual-qa-checkpoint:v1:event-domain:ticket:isolation:a / TKT-f7fe4c90-de37-46e2-973e-ce51695454c3 and B manual-qa-checkpoint:v1:event-domain:ticket:isolation:b / TKT-a0046ee8-d818-49de-8b4c-84714b31e8ec; stored counters are 2/2. Casey/Riley remain ticketless.
• Stage created zero outbox and recompute tasks. The previous visibility trio was closed before exactly three Casey/Nova/Riley sessions launched and identity-verified; no fourth QA window runs.
• Nova pre-mutation Ticket PASS: Upcoming reported 2 ticketed events and showed A/B exactly once without opening a card/QR. Immediate oracle retained both events active/Ticketing On, both exact A tickets unused, Nova counters 2/2, Casey/Riley 0/0 and stage-relative outbox/recompute counts zero.
• Casey pre-Unpublish My Events PASS: A and B appear exactly once with 2/8 (1); Nova's two-ticket list stays open and Riley is idle. Second read oracle remained identical with zero new outbox/recompute.
• A-only Unpublish immediate PASS: one POST at 02:01:34+02:00; Nova's open Ticket list/count converged 2-&gt;1 to B-only without reload. Oracle proved A DR + original ticket D + Nova counters 1/1 while B stayed active with exact same A ticket ID/code; Casey/Riley remain ticketless.
• Notification full PASS: one completed A under-review task targeted exactly Nova accepted + Riley pending and created one unread A row/outbox per recipient; both New counters became 1 in-place. Each New list showed exactly one A / The event is under review row, no B row, and opening the list retained readAtIso empty. Casey actor and B received none. Normal A recompute completed done on attempt 1 with empty lastError; ticket/counter boundary stayed A-D/B-A and Nova 1/1.
• Fresh Ticket-read PASS: after closing Notifications, Nova newly opened Upcoming; a new GET returned exactly one B row and the UI reconstructed B-only/count 1. Repeated poll plus repeated isolation oracle retained exact A-D/B-A IDs/codes and Nova 1/1, proving read purity beyond the in-place branch.
• First Republish server PASS / live poll FAIL: A gained new active ticket 6a7d0c43f8a7d3829acd809b / TKT-888bb042-3d3f-45cb-9baf-15ae9d2e565a, original A stayed D, B retained its exact A ticket and Nova counters became 2/2. Nova notification became 2 and Riley remained one under-review row. Ticket total/filter became 2 but pageSize=1 returned only newly sorted A and replaced visible B, so one card rendered.
• Shared SmartList repair built: normal poll now requests at least the configured current page while retaining a larger loaded window; focused 1-of-18 and two-page regressions added. Existing frontend-sync hot-deploy completed at 02:21:31+02:00; focused live replay remains pending.
• Focused replay READY: versioned reset + fresh image-qualified stage and independent status proved A/B active, Nova exact new tickets TKT-2b136618-7f8f-424f-b931-1e6a4af24c16 and TKT-a6d1861a-746d-4609-8493-c054eb9a3b89, counters 2/2 and zero stage-relative effects. Only the same three managed pages reloaded; DOM identity/counter preflight passed Casey 0, Nova 2, Riley 0.
• Pre-producer menu FAIL / repair built: persisted A was still published and Nova showed A+B/2, but Casey's 02:28:02 screenshot rendered Publish until a later Activities poll changed it to Unpublish; inverse drift was also observed. Converted InfoCardData changed without SmartList source DTO, while shared menu reads the source. Publish/Unpublish now emits the established source Activity Event sync, with DR-&gt;A and A-&gt;DR regression coverage; frontend-sync hot-deploy passed at 02:33:44+02:00.
• Interrupted old replay NOT EXECUTED for UI: nginx proves two successful Unpublish/Publish pairs at 02:27:16/02:27:50 and 02:37:40/02:37:44, but no matched stop captured the immediate menu and complete Nova list observations. Later expiry/restart yielded events=[] and counters 0; do not promote those writes to UI PASS.
• Clean post-restart replay READY: restarted frontend-sync built/synced current repairs at 11:25:20/11:25:23; resource preflight had 7.3 GiB available and zero swap. Guarded stale discard + image-qualified stage + independent status proved future A+B active/Ticketing On, Nova exact tickets TKT-66b31ab7-75f9-4929-b0e3-1ec3fb546093 and TKT-1624f5d2-9181-49bf-b467-7859e21d3726, counters 2/2, controls 0/0 and zero stage-relative effects. Exactly three new identity-verified sessions run; closed-menu DOM is Casey My Events 2, Nova Ticket 2, Riley Ticket 0.
• Post-restart Unpublish server PASS / open Ticket UI FAIL: one A Unpublish at 11:43:46; oracle proved A DR + exact A ticket D, B exact ticket stable A and Nova 1/1. Ticket GET at 11:44:14 returned B-only/total1 and red Ticket badge became1, but screenshot retained popup header2 plus A+B. Later convergence does not erase this boundary.
• Corrected diagnosis: no race was proven. The foreground Ticket list lacked the established delta reconciliation contract, while the notification-priority realtime path also applied non-notification domain counters under an open popup.
• Scoped repair built: the prior SmartList core page-size edit and its core tests are exactly reverted. Ticket uses stable identity/revision + Notification-style pollDelta on authenticated Java POST /assets/tickets/sync and the equivalent frontend-local repository; open popups defer side-menu domain snapshots while notifications remain independent. Existing backend compile/restart and frontend build/sync passed; authenticated Java preflight returned removed A, B upsert, total1.
• Clean delta replay READY: the first reset revealed that scheduledMessageTasks was read by the oracle but absent from fixture cleanup. The versioned harness now owns only its controlled event-task rows. Second reset + image stage + independent status proved A+B active through 2026-08-13T15:07:37.047Z, Nova exact active tickets TKT-cc7f973d-f97b-471a-9559-7dde22e12086 and TKT-e5230543-0bd6-4c03-9375-b271e32bd9a5, counters2/2, controls0/0 and zero lifecycle/outbox/notification/recompute residue. Only the same three pages were reloaded; read-only DOM proved Casey/Nova/Riley identities and Ticket counters0/2/0.
• Removal replay PASS: Casey sent one A Unpublish at 12:14:59 and confirmed the immediately reopened menu showed Publish. Nova's already-open popup used Java POST /api/assets/tickets/sync at 12:15:24 and reached B-only/header1/red Ticket1 without reload; later no-op sync retained it. Oracle proved A DR + exact A ticket D, B exact ticket unchanged A and Nova1/1. Nova/Riley notification badges independently became1.
• Insertion replay PASS/CLOSED: Casey Published only A at 12:18:36 and confirmed the immediately reopened menu showed Unpublish. Nova's open popup used Java POST /api/assets/tickets/sync at 12:18:54 and reached A+B/header2/red Ticket2 without reload or loss of B. Oracle proved new active A 6a7d99fce90c0afb4dd44fdb / TKT-d5034907-9acd-42b3-bfec-4707fb2e700a, original A stayed D, B exact TKT-e5230543-0bd6-4c03-9375-b271e32bd9a5 stayed A, and Nova2/2. Nova notification2/Riley1 passed.</t>
  </si>
  <si>
    <t>EVENT-TICKET-009</t>
  </si>
  <si>
    <t>Event ticket offline holder</t>
  </si>
  <si>
    <t>Prove a warmed authenticated holder session survives offline reload and can present the cached QR while only that client is offline, then an online Admin scanner checks it in exactly once</t>
  </si>
  <si>
    <t>DELTA one canonical ticket-use mutation from the online scanner</t>
  </si>
  <si>
    <t>X; check-in is a direct request path</t>
  </si>
  <si>
    <t>• Automatic warm: with Ticket closed, the authenticated side-menu realtime response writes the bounded Upcoming offlineTicketSnapshot; online SmartList continues through its own page/delta APIs and Past is not auto-warmed.
• Offline reload: authenticated Nova shell uses a distinct dark-gray Offline background/status; only the menu visibility header is gray with an Offline badge. Preferences/filter/history and every member domain action except Ticket are disabled without recoloring their palettes; profile pencil and both notification launchers are absent without notification mutation.
• Cached holder: the same exact unused B card and complete QR remain available without a server response.
• Online scanner: Casey succeeds once, repeat is already-used, and Nova reconnect creates no replacement/duplicate.</t>
  </si>
  <si>
    <t>• Dev-only checkpoint PWA switch is ignored in production; held target cleanup restores online.
• Existing watcher synced the home repair at 12:55:38 and final side-menu chunk at 13:04:29; no parallel build.
• Read oracle: navigator false, activated controlling worker, game-page-status-offline, gray visibility header + Offline badge, three home controls/all non-Ticket domain items disabled, Ticket active, pencil/header-notification/FAB absent.
• Existing watchers built Java + users.service-3VAB3CS6.js by 13:20:03. With Ticket never opened after reload, the side-menu poll advanced Upcoming cache 10:46:45Z -&gt; 11:22:56Z and retained A+B with scanCode; B remains A/unused: TKT-e5230543-0bd6-4c03-9375-b271e32bd9a5.
• First offline B QR visual result is retracted: app-sw returned a cached GET /api/assets/tickets and the local timestamp changed despite no nginx request. The watcher synced the fix at 13:37:19 and the waiting worker was activated.
• Corrected replay PASS: offline B full QR opened with cache timestamp unchanged at 11:40:47.443Z, no ticket API request and persisted B A/unused. Its visible medium.webp was a CacheStorage hit; automatic unseen-image prefetch is not claimed.
• First physical scan PASS: Casey's authorized phone sent one validate at 13:54:29/HTTP 200; original B now has usedAt 11:54:29.767918052Z and Casey actor, while Nova remained offline.
• Replay PASS: second validate at 13:57:04 returned already-used; canonical B fields stayed exact. One immutable replay audit plus one Nova warning/outbox occurrence1 were created without raw code and are not a second ticket-use mutation.
• Reconnect PASS: held process released online in finally; after reload/realtime the cache advanced to 12:00:05.116Z with exact original A+B, both used, B exact time, counter2 and no duplicate/replacement/additional replay mutation.</t>
  </si>
  <si>
    <t>Closed; repeat only after PWA offline policy, automatic Upcoming snapshot, service-worker ticket/media caching, ticket validation or reconnect reconciliation changes</t>
  </si>
  <si>
    <t>Complete offline holder path passed after retracting and fixing the service-worker ticket API-cache false-positive: shell, no-popup warm, snapshot-only B QR, cached card image, first physical use, already-used replay audit/warning and online reconciliation all have independent read/persisted evidence.</t>
  </si>
  <si>
    <t>EVENT-TICKET-010</t>
  </si>
  <si>
    <t>Event ticket replay warning</t>
  </si>
  <si>
    <t>With holder Nova online throughout, audit every authenticated already-used replay actor while aggregating holder warnings into one counted inbox row</t>
  </si>
  <si>
    <t>DELTA one immutable audit per replay and one aggregated holder notification row; users unread counter changes only on insert or read-to-unread reactivation; ticket fields/counters X</t>
  </si>
  <si>
    <t>INDIRECT bounded/collapsible outbox delivery; ticket/event workers X</t>
  </si>
  <si>
    <t>Capture unrelated total-unread baseline B. Replay 1 prepends one Nova warning count 1 and changes total unread to B+1 without removing or rerendering the existing check-in row; marking it read returns total unread to B; replay 2 reopens the same row at count 2/B+1; replay 3 while unread produces count 3 while total unread stays B+1. Three Casey audits exist, canonical ticket use is unchanged, no raw QR is persisted, and negative paths create no replay artifacts</t>
  </si>
  <si>
    <t>Backend actor-audit and atomic notification aggregation regressions; frontend HTTP/local occurrence mapping and row-badge regression; shared SmartList delta polling; persisted physical replay/read/replay oracle</t>
  </si>
  <si>
    <t>Closed; repeat only after replay audit, aggregation revision, unread counter or notification delta-poll changes</t>
  </si>
  <si>
    <t>After fixing the Mongo revision update conflict, physical replay 1 created one Casey audit and one Nova warning count 1 with users notifications 2. Nova marked it read; replay 2 preserved the canonical ticket use, created the second immutable audit, reactivated the same warning at count 2/revision 3, and restored users notifications to 2 without a duplicate row or raw QR. User accepted closure; the already-unread further occurrence/no-inflation branch remains automated.</t>
  </si>
  <si>
    <t>EVENT-TICKET-011</t>
  </si>
  <si>
    <t>Defect retest checkpoint</t>
  </si>
  <si>
    <t>Event ticket attendance</t>
  </si>
  <si>
    <t>Project the first successful physical-ticket check-in into the event-scoped Members list without replacing membership acceptance</t>
  </si>
  <si>
    <t>INDIRECT attendance statistics only after a separately owned aggregation</t>
  </si>
  <si>
    <t>DELTA one direct only-if-missing member-attendance write; accepted member/capacity and ticket counters stay unchanged; authorized replay repairs only an interrupted missing projection from original ticket use</t>
  </si>
  <si>
    <t>INDIRECT only after later attendance-affinity policy is explicitly defined</t>
  </si>
  <si>
    <t>X; first check-in and idempotent replay recovery are direct request paths</t>
  </si>
  <si>
    <t>Nova remains membership status accepted but gains separate Checked in/Beléptetve attendance with exact check-in time, Casey actor and physical ticket ID; the already-open Members list updates by its revision delta poll without shared SmartList changes; replay and invalid/unauthorized/revoked/expired scans do not rewrite or create attendance</t>
  </si>
  <si>
    <t>Baseline PASS. First scan persisted exact ticket/member 2026-08-13T12:51:48.620332085Z, Casey actor/ticket ID; Nova accepted/actionAt unchanged, Casey Admin, exact 2/8/counters/profiles/cardinality. Never-reopened Members patched one Nova row in-place to Checked in. Same-QR replay returned Already used; complete first-scan snapshot stayed exact, one immutable audit preserved original identity, and read-only DOM retained 2 members/one Nova/same 2:51:48 PM</t>
  </si>
  <si>
    <t>Closed; repeat only after ticket check-in, member attendance fields/revision, member delta endpoint/popup poll, replay recovery or frontend-local ticket mutation changes</t>
  </si>
  <si>
    <t>Shared SmartList remained untouched. First ticket CAS is authoritative; only-if-missing member projection plus authorized replay recovery closes interruption. Local mode uses one state write. Previously proven guarded negative paths were not replayed because the new projection is unreachable before their rejection. One-time codes must be retained before success hides them.</t>
  </si>
  <si>
    <t>EVENT-TICKET-012</t>
  </si>
  <si>
    <t>Event ticket revocation</t>
  </si>
  <si>
    <t>Scan the previously saved physical-ticket QR after Casey Unpublishes but before Republish</t>
  </si>
  <si>
    <t>X; rejected scan is a strict no-op and prior replay/audit/unread counts remain stable</t>
  </si>
  <si>
    <t>X; direct request path</t>
  </si>
  <si>
    <t>Unpublish midpoint retains the old ticket as D and removes Nova's active Ticket contribution. Casey's saved-QR scan returns revoked/inactive before already-used evaluation; ticket ID/code/original use, event, 2/8 membership, two prior replay audits, one warning count 2, replay outbox and Nova red counter remain unchanged. Later Republish creates a different active credential and never reactivates this QR</t>
  </si>
  <si>
    <t>Backend revoked-before-used decision coverage plus persisted physical scan and notification/replay no-op oracle</t>
  </si>
  <si>
    <t>Closed; repeat only after Unpublish revocation, scanner rejection precedence or rejected-scan notification policy changes</t>
  </si>
  <si>
    <t>Unpublish itself created one normal unread event-under-review notification at 10:30:47.791763232Z and users notifications became 3. The subsequent saved-QR scan returned revoked/inactive and created no notification: old ticket remained D with original use, replay audits/outbox stayed 2/2, one warning stayed count 2 and users notifications stayed 3.</t>
  </si>
  <si>
    <t>EVENT-NOTIFICATION-001</t>
  </si>
  <si>
    <t>Event lifecycle notifications + shared polling</t>
  </si>
  <si>
    <t>Deliver Unpublish and Republish lifecycle notifications while another popup owns foreground polling</t>
  </si>
  <si>
    <t>DELTA one write-side lifecycle task/inbox row and users unread increment per mutation; notification poll X; ordinary side-menu snapshot deferred while popup open</t>
  </si>
  <si>
    <t>DELTA event-definition scheduled task only for each lifecycle mutation; poll X</t>
  </si>
  <si>
    <t>With Nova chat open, Casey Unpublish yields one short bundle-resolved under-review notification within one interval; Casey Republish yields one green available-again row the same way; both titles are only the compact event name with no Manual/changed; Casey receives neither; stable rows are preserved; closing chat resumes deferred ordinary side-menu reconciliation</t>
  </si>
  <si>
    <t>Detailed pack retained the completed retest: Nova left Activities -&gt; Chats open; Casey Unpublish added compact Under review within one 30-second foreground poll and Republish removed it without reload/close. The independently serialized notification lane delivered the concise lifecycle row throughout</t>
  </si>
  <si>
    <t>Closed; repeat only after lifecycle notification scheduling/i18n, UiPollCoordinator notification-lane isolation, ordinary chat-list header delta polling or popup ownership changes</t>
  </si>
  <si>
    <t>Lifecycle messages remain semantic bundle keys. Notification title is exactly @event_title. Chat-list header delta and notification polling are independent read-only lanes; stable rows are patched, not rebuilt. Matrix status reconciled to the already-recorded detailed PASS evidence on 2026-08-13.</t>
  </si>
  <si>
    <t>EVENT-CHAT-LIFECYCLE-001</t>
  </si>
  <si>
    <t>Event chat lifecycle</t>
  </si>
  <si>
    <t>Keep every physical event-bound chat and its history usable across Unpublish and Republish</t>
  </si>
  <si>
    <t>DELTA one eventId-indexed physical-chat ownerStatus+revision batch per lifecycle mutation; indexed owner-copy header poll X</t>
  </si>
  <si>
    <t>X; direct event lifecycle write path</t>
  </si>
  <si>
    <t>Capture main/optional/group/service chat owner-copy IDs and message IDs; leave Nova Activities Chats list open; Unpublish advances revision and the foreground 30-second row delta shows compact Under review without reload; Republish advances the same documents to A and removes the badge; no chat/message recreation, unread inflation, unauthorized pending access or cross-event change</t>
  </si>
  <si>
    <t>Manual repaired-list retest: Nova left Activities Chats open without entering inner chat; Unpublish added compact Under review and Republish removed it within one 30-second foreground poll in each direction; no reload/close; independent concise notification polling remained live</t>
  </si>
  <si>
    <t>Closed; preserve as regression checkpoint for every event-bound physical chat variant</t>
  </si>
  <si>
    <t>Read-side Event projection is forbidden. The list sends known row revisions, patches only changed rows and cannot reload the Event, chat list or history.</t>
  </si>
  <si>
    <t>EVENT-SLOT-001</t>
  </si>
  <si>
    <t>Event Editor / recurring slots</t>
  </si>
  <si>
    <t>Save one weekly slot template with two sub-events</t>
  </si>
  <si>
    <t>INDIRECT event inventory after Save</t>
  </si>
  <si>
    <t>DELTA parent event write and recompute</t>
  </si>
  <si>
    <t>X unless a named downstream job becomes eligible</t>
  </si>
  <si>
    <t>Upcoming list shows multiple dated sections with the same two definitions once each</t>
  </si>
  <si>
    <t>Slot mapper/editor tests partial</t>
  </si>
  <si>
    <t>Match parent, template, occurrence and sub-event identities after reopen</t>
  </si>
  <si>
    <t>List reads and calendar navigation are X</t>
  </si>
  <si>
    <t>EVENT-SLOT-002</t>
  </si>
  <si>
    <t>Sub-event list action gating</t>
  </si>
  <si>
    <t>Inspect future occurrence menus as host and participant</t>
  </si>
  <si>
    <t>Only role/mode/time-valid member, resource and runtime actions are visible</t>
  </si>
  <si>
    <t>Runtime menu converter tests partial</t>
  </si>
  <si>
    <t>Capture both roles and prove Close/Finalize absent for future stages</t>
  </si>
  <si>
    <t>UI hiding plus direct authorization denial where applicable</t>
  </si>
  <si>
    <t>EVENT-SLOT-003</t>
  </si>
  <si>
    <t>Past tournament slot lifecycle</t>
  </si>
  <si>
    <t>Close one ended stage in one generated past occurrence</t>
  </si>
  <si>
    <t>INDIRECT stage activity</t>
  </si>
  <si>
    <t>DELTA slot-scoped runtime mutation and recompute</t>
  </si>
  <si>
    <t>Tournament review X until separately armed</t>
  </si>
  <si>
    <t>Only selected slot/stage changes RS or A to SR with stage-closed reason</t>
  </si>
  <si>
    <t>Stage action and slot mapper tests partial</t>
  </si>
  <si>
    <t>Match recentPastSlotId, stage ID, prior/next status and unchanged sibling occurrence</t>
  </si>
  <si>
    <t>Direct Close is not scheduler attribution</t>
  </si>
  <si>
    <t>EVENT-SLOT-004</t>
  </si>
  <si>
    <t>Past slot leaderboard</t>
  </si>
  <si>
    <t>Open one past slot leaderboard and change one score</t>
  </si>
  <si>
    <t>INDIRECT score activity</t>
  </si>
  <si>
    <t>DELTA score row and tournament-input recompute</t>
  </si>
  <si>
    <t>Review scheduler X until separately armed</t>
  </si>
  <si>
    <t>Group members and changed score remain scoped to one slot/stage/group</t>
  </si>
  <si>
    <t>Leaderboard service tests partial</t>
  </si>
  <si>
    <t>Reopen score and compare a sibling weekly occurrence</t>
  </si>
  <si>
    <t>Leaderboard reads are X; Save is exact-once</t>
  </si>
  <si>
    <t>MEDIA-IMG-001</t>
  </si>
  <si>
    <t>Event Editor subcase</t>
  </si>
  <si>
    <t>Within the closed Event Editor save/reopen flow, upload one managed non-square image once and retain one canonical URL</t>
  </si>
  <si>
    <t>Original plus distinct small/medium/large WebP objects exist; the saved Event retains one canonical large URL; Event card and large editor slot use medium without another upload</t>
  </si>
  <si>
    <t>MANUAL UI + ORACLE PASS; FIX VERIFIED</t>
  </si>
  <si>
    <t>Backend response/strict distinct-rendition HTTP E2E plus frontend URL/carousel coverage; focused editor-slot regression 1 file 3/3</t>
  </si>
  <si>
    <t>Do not repeat without a related Event Editor/media change; Article and Help images belong to their owning editor save cases</t>
  </si>
  <si>
    <t>Event manual-qa-checkpoint:v1:event-domain:event used one 1853x919 PNG. The original remained PNG 1853x919/52326 B; distinct WebP objects returned 128x63/242 B, 640x317/1930 B and 1280x635/5766 B with HTTP 200 and preserved landscape ratio. MongoDB retained one canonical large.webp URL after save/reopen and the card requested medium.webp. A fresh editor request exposed small.webp stretched across the large slot; after the owning shared-carousel input and Event Editor medium configuration fix, the focused test passed 3/3, hot deploy synced, and the reopened editor was sharp without a second upload. Event cards expose no fullscreen image presentation, so no such control is claimed.</t>
  </si>
  <si>
    <t>JOB-RANDOM</t>
  </si>
  <si>
    <t>event-random-groups</t>
  </si>
  <si>
    <t>Real scheduler executes prepared random rooms</t>
  </si>
  <si>
    <t>DELTA scheduler/audit; INDIRECT Chat/outbox</t>
  </si>
  <si>
    <t>DELTA status/count/duration/history</t>
  </si>
  <si>
    <t>DELTA rooms/members/chats/system messages/counters</t>
  </si>
  <si>
    <t>MANUAL FUNCTIONAL PASS; UI PARTIAL</t>
  </si>
  <si>
    <t>2026-07-31</t>
  </si>
  <si>
    <t>Extensive fixture/self-tests; common lifecycle tests</t>
  </si>
  <si>
    <t>Add Monitoring and screenshot evidence, not more permutations first</t>
  </si>
  <si>
    <t>All core variations passed 2026-07-29; 2 events/rooms and 6/6 users passed 2026-07-31</t>
  </si>
  <si>
    <t>P1 76</t>
  </si>
  <si>
    <t>JOB-AUTO</t>
  </si>
  <si>
    <t>event-auto-inviter</t>
  </si>
  <si>
    <t>Real scheduler invites eligible users</t>
  </si>
  <si>
    <t>DELTA event/member activity when invites created</t>
  </si>
  <si>
    <t>DELTA scheduler/audit and Events/Members/outbox</t>
  </si>
  <si>
    <t>INDIRECT after affinity evidence/recompute</t>
  </si>
  <si>
    <t>DELTA invites/member state/bell</t>
  </si>
  <si>
    <t>Fixture/service/common lifecycle tests; dedicated manual-helper exact oracle</t>
  </si>
  <si>
    <t>Repeat on scheduler/domain changes; retain cross-surface sample</t>
  </si>
  <si>
    <t>Real scheduler picked up the persisted short window at 08:49 and processed exactly one eligible Nova invitation. Job Detail, invitation/marker/outbox/bell database oracle, Nova notification UI, Monitoring and Statistics all agreed. No Run button or direct job endpoint was used. Guarded reset restored the original data and rule configuration.</t>
  </si>
  <si>
    <t>P0 84</t>
  </si>
  <si>
    <t>JOB-COUNTER</t>
  </si>
  <si>
    <t>event-counter-expiry</t>
  </si>
  <si>
    <t>Real scheduler expires counters/tickets</t>
  </si>
  <si>
    <t>DELTA scheduler/audit for zero/success/failure; INDIRECT domain event when non-empty</t>
  </si>
  <si>
    <t>DELTA expired counters/tickets/user counters</t>
  </si>
  <si>
    <t>Capture non-empty and zero-work Monitoring behavior</t>
  </si>
  <si>
    <t>P0 82</t>
  </si>
  <si>
    <t>JOB-BASKET</t>
  </si>
  <si>
    <t>event-checkout-basket-purge</t>
  </si>
  <si>
    <t>Real scheduler purges expired basket rows</t>
  </si>
  <si>
    <t>DELTA scheduler/audit</t>
  </si>
  <si>
    <t>DELTA basket resultState deleted and pending count</t>
  </si>
  <si>
    <t>Capture Monitoring delta in browser</t>
  </si>
  <si>
    <t>TOURNAMENT-001</t>
  </si>
  <si>
    <t>Inspect saved tournament definition before grouping</t>
  </si>
  <si>
    <t>INDIRECT event inventory only</t>
  </si>
  <si>
    <t>DELTA definition write; runtime processing X</t>
  </si>
  <si>
    <t>Tournament grouping/review X</t>
  </si>
  <si>
    <t>Parent, stages, capacities, sequence and initial counts agree</t>
  </si>
  <si>
    <t>MANUAL UI PASS</t>
  </si>
  <si>
    <t>Shared Java and frontend-local group-count policy coverage; tournament service coverage partial</t>
  </si>
  <si>
    <t>Reset cleanly, then stage TOURNAMENT-002 and capture the real grouping identities</t>
  </si>
  <si>
    <t>Published runtime repair replay showed Qualifiers Groups: 2 × 1–2 members with A–B and Final Groups: 1 × 1–2 members with A only. The separate draft editor screenshots 13-16-22/05/10 proved Tournament, parent 1–8, Qualifiers 60/0, per-group 1–2, Score, advance 1 and estimate 1–4; Final 45/0, per-group 1–2, Score, advance 0 and estimate 1–2. The final oracle retained DR/published=false, three exact accepted identities and zero runtime/group/leaderboard/task/outbox writes. Published locking is respected: the checkpoint no longer asks for Unpublish merely to reach Edit Event.</t>
  </si>
  <si>
    <t>TOURNAMENT-002</t>
  </si>
  <si>
    <t>Run real grouping and inspect group membership</t>
  </si>
  <si>
    <t>DELTA group/member/chat materialization</t>
  </si>
  <si>
    <t>INDIRECT after membership changes</t>
  </si>
  <si>
    <t>DELTA named real grouping path</t>
  </si>
  <si>
    <t>Each accepted user occurs once in the correct group and group chat</t>
  </si>
  <si>
    <t>Random grouping fixture/service coverage; targeted-query, exact-coverage, generated-room oracle, write-roundtrip, explicit membership-owner, tournament-room presentation/notification/card-owner and recovery-notification causality regressions added</t>
  </si>
  <si>
    <t>Reset TOURNAMENT-002, stage TOURNAMENT-003 and prove deterministic review/advancement exactly once</t>
  </si>
  <si>
    <t>Clean recovery Start persisted exact R1/R2 rooms, memberships, chats and counters. Started was written once for Nova+Riley before the exact ready rows; all three actors passed unread notification UI and ordering. Casey/Nova passed exact R1 membership and Nova the R1 chat; Riley passed R2 1 / 2, singleton Members and R2 chat. Final oracle retained rooms/stage/notifications and proved only owner-scoped chat read transitions: Nova/Riley unread and Chat counters became 0 while untouched Casey remained 1. No cross-user or duplicate effect remained.</t>
  </si>
  <si>
    <t>TOURNAMENT-003</t>
  </si>
  <si>
    <t>Finalize stage and let real review advance it</t>
  </si>
  <si>
    <t>INDIRECT stage/member activity</t>
  </si>
  <si>
    <t>DELTA stage, membership and outbox</t>
  </si>
  <si>
    <t>INDIRECT after advancement recompute</t>
  </si>
  <si>
    <t>DELTA event-tournament-review real run</t>
  </si>
  <si>
    <t>Winners advance once; losers and stale groups are removed correctly</t>
  </si>
  <si>
    <t>Tournament-review fixture/service coverage; deterministic review harness, exact notification no-op verifier, manual actor-boundary regression, separate advanced/not-advanced outcomes and EN/HU keys added</t>
  </si>
  <si>
    <t>Carry the exact Casey+Riley Final membership into TOURNAMENT-004 without reset</t>
  </si>
  <si>
    <t>Casey human Finalize stayed separate for Nova+Riley; worker count1 wrote exact Casey+Riley Final membership, automatic Casey+Riley advancement and automatic Nova non-advancement. Worker count0 preserved byte-exact domain/notifications. Screenshot 2026-08-15 19-50-31 passed all three unread views, human/stage avatars, texts and counts.</t>
  </si>
  <si>
    <t>TOURNAMENT-004</t>
  </si>
  <si>
    <t>Expansion checkpoint CP12</t>
  </si>
  <si>
    <t>Tournament final lifecycle</t>
  </si>
  <si>
    <t>Start the advanced Final stage, then finalize the completed tournament</t>
  </si>
  <si>
    <t>INDIRECT stage/event notification counters</t>
  </si>
  <si>
    <t>DELTA Final runtime, whole-tournament result and ordered notification outbox</t>
  </si>
  <si>
    <t>DELTA real stage lifecycle; automatic branch conditional</t>
  </si>
  <si>
    <t>• Final Start creates a new stage-named notification only at actual Start
• Stage-system avatar reuses the Final card accent while the row background keeps its notification tone
• Every automatic lifecycle message names the completed/started stage; advancement names source and destination
• Finalize identifies whole-tournament completion and localized winner/result context exactly once</t>
  </si>
  <si>
    <t>2026-08-16</t>
  </si>
  <si>
    <t>Guarded terminal-only replay harness and stable-identity oracle; Java/frontend-local lifecycle recipient coverage; shared notification converter outcome-avatar coverage</t>
  </si>
  <si>
    <t>Closed; stage TOURNAMENT-ROOM-LIFE-001 independently without replaying Final Start or Finalize</t>
  </si>
  <si>
    <t>• Clean Final Start replay persisted one Riley-only Casey Start audit followed by one Casey+Riley system room-ready record; Nova remained excluded.
• Guarded terminal replay preserved PASS Start/room evidence byte-identically, set Casey 7 / Riley 9 and finalized once.
• Persisted terminal oracle proved three separate ordered records: Riley Casey-authored Final finalized, Riley system Won the tournament, Casey system Did not win; Nova received none.
• Three-browser UI passed exact recipients, short texts and separate producer avatars. Winner/advanced trophy glow and not-winner/not-advanced diagonal strike passed after the existing frontend watcher rebuild; Casey audit portrait stayed unchanged.
• No Start, Qualifiers or Finalize producer was replayed during presentation qualification.</t>
  </si>
  <si>
    <t>TOURNAMENT-ROOM-LIFE-001</t>
  </si>
  <si>
    <t>Tournament room nested visibility</t>
  </si>
  <si>
    <t>Inspect one active parent tournament and its accepted generated rooms through the parent → stage → Groups path</t>
  </si>
  <si>
    <t>Root list contains only the parent; nested rooms and accepted counts remain available through View Event; pending counters are zero</t>
  </si>
  <si>
    <t>READ parent-linked/generated rooms with accepted-only membership; no mutation</t>
  </si>
  <si>
    <t>Casey sees only the parent Activity card, then exact Group A 2 and Group B 1 accepted membership under Qualifiers; room chats remain member scoped</t>
  </si>
  <si>
    <t>Strict persisted hierarchy baseline plus Casey root-list/View Event/Qualifiers/Groups visual read; invalid pending branch discarded without action</t>
  </si>
  <si>
    <t>Closed; repeat only after tournament-room materialization, root visibility or nested Groups navigation changes</t>
  </si>
  <si>
    <t>First root-room fixture reset without action. Corrected fixture proved parent-linked/generated rooms and nested navigation. Its synthetic room pending membership was impossible because Start materializes accepted-only members and event-owner groups are read-only; no resolution was executed and guarded reset preserved TOURNAMENT-004.</t>
  </si>
  <si>
    <t>TOURNAMENT-CARD-001</t>
  </si>
  <si>
    <t>Tournament parent card current stage</t>
  </si>
  <si>
    <t>Persist and display the current stage summary on the root tournament event card</t>
  </si>
  <si>
    <t>DELTA parent card stage row updates in place and survives reload; generated rooms remain hidden</t>
  </si>
  <si>
    <t>DELTA parent event current-stage wire value on lifecycle transition; nested runtime remains authoritative and consistent</t>
  </si>
  <si>
    <t>A separate compact row below the event name shows the current stage without a nested query/projection; server and frontend-local match; long mobile labels remain readable</t>
  </si>
  <si>
    <t>Backend/frontend-local write materializer and shared card converter; guarded isolated fixture plus Mongo/HTTP list and terminal transition oracles; documented shell verifier dispatch repaired</t>
  </si>
  <si>
    <t>Closed; choose the TOURNAMENT-ADMISSION-001 policy before staging its fixture</t>
  </si>
  <si>
    <t>Casey saw Qualifiers 1/2, then the row changed immediately to Final 2/2 after one Finalize and survived explicit reload. The terminal oracle retained persisted final RS, finalized Qualifiers, three accepted parent members, two authoritative runtime groups, one root parent and zero generated root rooms. Closed tournament notification producers remained untouched.</t>
  </si>
  <si>
    <t>P1 90</t>
  </si>
  <si>
    <t>TOURNAMENT-ADMISSION-001</t>
  </si>
  <si>
    <t>Tournament first-stage admission boundary</t>
  </si>
  <si>
    <t>Attempt late join, existing-invitation acceptance and Admin approval after the first stage Start boundary</t>
  </si>
  <si>
    <t>X for all rejected branches; each returns the localized registration-closed result</t>
  </si>
  <si>
    <t>DELTA strict first-Start lock with no parent/group membership, capacity, counter or notification mutation; no pending room membership</t>
  </si>
  <si>
    <t>Parent admission never feeds the nested Groups counter; event-owner room member-pending stays zero; Explore omits the Invitation-only parent while accepted users retain it</t>
  </si>
  <si>
    <t>-</t>
  </si>
  <si>
    <t>2026-08-17</t>
  </si>
  <si>
    <t>Direct Java pre-mutation guards; guarded replay fixture; three independent Mongo oracles across 14 sections</t>
  </si>
  <si>
    <t>Closed; repeat only after first-stage admission policy or Java membership transition changes</t>
  </si>
  <si>
    <t>Join hidden/rejected, invitation Accept rejected and Admin Approve rejected. Qualifiers remained A; Casey+Nova accepted; Riley remained one pending approval; chat, checkout, payment, ticket, leaderboard, counters, owned notification baseline and workers remained unchanged.</t>
  </si>
  <si>
    <t>TOURNAMENT-SCORE-REOPEN-001</t>
  </si>
  <si>
    <t>Tournament corrected score revision</t>
  </si>
  <si>
    <t>Auto-close one stage to Score review, Finalize once, then Reopen scores, change one deterministic outcome and Finalize again</t>
  </si>
  <si>
    <t>INDIRECT result and unread counters change once per approved revision</t>
  </si>
  <si>
    <t>DELTA new durable result revision; one human Finalize audit followed by corrected automatic outcomes; unchanged replay is a no-op</t>
  </si>
  <si>
    <t>DELTA tournament-review worker consumes each approved revision exactly once</t>
  </si>
  <si>
    <t>Old outcome notification remains as audit; corrected winners/advancers receive one new revision-linked result in Java and frontend-local</t>
  </si>
  <si>
    <t>Dedicated revision fixture; guarded Reopen/correction/finalize/worker/no-op oracles; generic tournament reminder regression; three-actor notification and finalized-menu UI replay</t>
  </si>
  <si>
    <t>Closed; stage TOURNAMENT-SCORE-REOPEN-002 without replaying revision-1 or revision-2 producers</t>
  </si>
  <si>
    <t>Reopen preserved immutable revision 1 and sent one Casey-authored under-review audit to Nova+Riley only. Correction 9/14/7 finalized revision 2; the real worker changed Final membership from Casey+Riley to Nova+Riley and emitted separate corrected outcomes. All three browsers showed both old and new results without merge, two human Finalize audits remained separate, and Final starts soon stayed absent. A second worker pass completed with count 0 and byte-identical normalized membership, scores, markers and notification evidence; finalized Qualifiers exposed no second Finalize action.</t>
  </si>
  <si>
    <t>TOURNAMENT-SCORE-REOPEN-002</t>
  </si>
  <si>
    <t>Tournament late correction safety</t>
  </si>
  <si>
    <t>Compare Reopen scores before and after the dependent next stage starts</t>
  </si>
  <si>
    <t>DELTA allow correction only before downstream play; late rejection preserves every domain and notification record</t>
  </si>
  <si>
    <t>No ordinary Reopen after a dependent stage is active/closed; a future explicit rollback workflow is separate</t>
  </si>
  <si>
    <t>Backend/frontend-local guard implementation; replayable dependent-stage fixture; authenticated Java HTTP rejection; full related-record snapshot oracle</t>
  </si>
  <si>
    <t>Closed; repeat only after Reopen eligibility or stage progression semantics change</t>
  </si>
  <si>
    <t>The already-PASS pre-start Reopen branch remained untouched. With Final active, Casey's reloaded Qualifiers menu omitted Reopen Scores. One authenticated forbidden Java request returned unchanged F/revision 2; exact 9/14/7 scores, Nova+Riley Final membership, current-stage state and every related event/member/runtime/group/chat/notification/task/counter record remained byte-identical. No lifecycle producer was replayed; frontend-local runtime was not executed.</t>
  </si>
  <si>
    <t>TOURNAMENT-MEMBER-001</t>
  </si>
  <si>
    <t>Expansion checkpoint CP14</t>
  </si>
  <si>
    <t>Tournament first-stage materialization admission cutoff</t>
  </si>
  <si>
    <t>Accept one invitation while a scheduled first-stage Start is in flight, retain one pending invitation, then complete the materialization once</t>
  </si>
  <si>
    <t>INDIRECT accepted/pending participation counts</t>
  </si>
  <si>
    <t>DELTA successful first-stage materialization determines the exact participant set; no duplicate room membership or chat</t>
  </si>
  <si>
    <t>INDIRECT existing affinity may select a group but is not mutated</t>
  </si>
  <si>
    <t>X for scheduled Start itself; Casey may complete one stuck in-flight materialization</t>
  </si>
  <si>
    <t>The in-flight accepted identity appears exactly once in one generated group; after commit, the pending invite remains parent-scoped and Accept is rejected without any mutation</t>
  </si>
  <si>
    <t>MANUAL UI + FUNCTIONAL PASS / CLOSED</t>
  </si>
  <si>
    <t>2026-08-25</t>
  </si>
  <si>
    <t>Real invitation terminal states, scheduled/in-flight Start materialization, post-commit admission guard and the parent-child write-side counter gate were exercised through the running stack</t>
  </si>
  <si>
    <t>Closed; fixture reset. Next physical row: TOURNAMENT-MEMBER-002 active-member removal</t>
  </si>
  <si>
    <t>A scheduled Start was already in flight when Nova accepted; Casey's assistance committed materialization, creating R1=Casey and R2=Nova. Nova Activities showed one parent card and Events/Active Events=1; Casey saw the parent under My Events. R2 Standings showed Nova alone at 0; acceptance and room-ready notifications were visible. Riley then attempted post-commit Accept: UI rejected it and the independent oracle retained Riley pending with parent, rooms, chats, standings, counters and notifications unchanged. Fixture reset.</t>
  </si>
  <si>
    <t>TOURNAMENT-MEMBER-002</t>
  </si>
  <si>
    <t>Tournament active-member removal</t>
  </si>
  <si>
    <t>From an already-started nonblocked Tournament with parent currentStage and Qualifiers runtime both A, remove one accepted participant after its generated room and leaderboard row exist</t>
  </si>
  <si>
    <t>INDIRECT participant, activity and unread counts</t>
  </si>
  <si>
    <t>DELTA parent and generated-room active membership/chat authorization/counters are revoked once while retained score history remains auditable</t>
  </si>
  <si>
    <t>Removed participant disappears from active Members and room access without becoming DQ or blocked; Nova receives one self-removal notice, Riley receives one parent-event participant notice and Event chat message despite staying unchanged in Group B; only affected Group A receives the group removal message</t>
  </si>
  <si>
    <t>PARITY IMPLEMENTED / NOT EXECUTED</t>
  </si>
  <si>
    <t>2026-08-30</t>
  </si>
  <si>
    <t>Backend notification/chat/leaderboard regressions authored; frontend-local repository/service parity authored; existing backend and frontend hot-deploy owners compiled successfully</t>
  </si>
  <si>
    <t>Closed; repeat only after removal, standings identity/order, chat wording/scope, parent-participant fan-out or write-side event-counter semantics change</t>
  </si>
  <si>
    <t>Casey removed Nova once from a clean already-started baseline. UI showed R / Nova Social / 7 and V / -----; Nova got the self-removal row, Riley the cross-group event-participant row, Casey none. The widened persisted oracle proved one parent Event message shared by Casey/Riley, one affected Group A removal message, and Group B unchanged with zero messages, zero unread and empty lastMessage, alongside parent/group removal, immutable score 7, exact recipients/counters and Nova chat revocation.</t>
  </si>
  <si>
    <t>TOURNAMENT-MEMBER-003</t>
  </si>
  <si>
    <t>Tournament removal notification fan-out</t>
  </si>
  <si>
    <t>Remove one scored non-host participant from a single four-person generated group while the actor and two other parent participants stay active</t>
  </si>
  <si>
    <t>DELTA parent=deleted and generated-room=removed; retained score/chat/counter state and exact notification recipients converge once</t>
  </si>
  <si>
    <t>Standings retain all four score identities with active rows first, the actual target as R and one V slot; removed member gets one self-removal notice, both remaining non-actor participants one event-participant notice each, Casey none; parent Event and Group A each get one canonical removal message</t>
  </si>
  <si>
    <t>Dedicated four-person fixture; target-derived parent/group/chat/score/counter oracle; server outbox path and frontend-local repository/service parity</t>
  </si>
  <si>
    <t>Closed; repeat only after four-person recipient fan-out, target identity, chat projection/message scope or counter semantics change</t>
  </si>
  <si>
    <t>Casey removed Lina from the clean four-person room. UI retained R / Lina Park / 5. Persisted oracle proved Lina parent=deleted and Group A=removed; Casey/Nova/Riley remained in both chats; exactly one parent Event and one Group A removal message named Lina; Lina got self-removal, Nova+Riley participant notifications, Casey none; all four scores remained immutable; Lina counters decremented once and remaining counters stayed unchanged. This same-room target-derived fan-out remains separate from the widened T002 2+1 cross-room control. Fixture reset.</t>
  </si>
  <si>
    <t>TOURNAMENT-DQ-001</t>
  </si>
  <si>
    <t>Tournament disqualification and reinstatement</t>
  </si>
  <si>
    <t>Disqualify one scored participant, inspect ranking and advancement, then reinstate before a separate finalization replay</t>
  </si>
  <si>
    <t>INDIRECT eligible/advanced result counts</t>
  </si>
  <si>
    <t>DELTA membership stays present with disqualified status; score/history are retained and advancement eligibility changes exactly once</t>
  </si>
  <si>
    <t>DELTA tournament review excludes DQ rows and remains idempotent</t>
  </si>
  <si>
    <t>Members and standings show DQ distinctly and rank it after eligible rows; DQ user keeps event membership but cannot advance; Reinstate restores eligibility without duplicate membership; system-chat delivery does not create a red Impressions badge from a newly visible zero-evidence profile presentation</t>
  </si>
  <si>
    <t>IN PROGRESS — DQ/REINSTATE VERIFIED</t>
  </si>
  <si>
    <t>Generic event member DQ/Reinstate coverage plus persisted manual DQ and Reinstate oracles. Backend realtime change flags fingerprint only persisted Users.impressions writes; shared frontend consumes those flags and frontend-local owns its synthetic flags.</t>
  </si>
  <si>
    <t>Reset the verified cycle through the named harness, stage the separate pre-Finalize DQ branch, and prove advancement exclusion plus idempotent review without replaying the completed DQ/Reinstate cycle as evidence.</t>
  </si>
  <si>
    <t>PARTIAL PASS</t>
  </si>
  <si>
    <t>One complete DQ/Reinstate cycle passed. Nova retained exactly one membership and score row, returned to accepted once, and Event/Group chat plus affected/participant notifications were exact-once for both actions. Riley showed no Impressions red counter in either transition; Users.impressions stayed null, event-feedback counters stayed 0, and the fixture retained 0 feedback states, answers and affinity tasks. Separate review/finalize branch remains pending.</t>
  </si>
  <si>
    <t>TOURNAMENT-RESOURCE-001</t>
  </si>
  <si>
    <t>Generated group resource aggregation</t>
  </si>
  <si>
    <t>Assign controlled Transport, Accommodation and Supplies to one generated Tournament group and inspect every aggregate level</t>
  </si>
  <si>
    <t>INDIRECT event/resource activity</t>
  </si>
  <si>
    <t>DELTA group resource record and persisted group-runtime metrics; parent/stage pending totals change only by the exact assignment delta</t>
  </si>
  <si>
    <t>X unless an explicitly documented resource notification task is produced</t>
  </si>
  <si>
    <t>The generated group three-dot menu, Groups counter, stage/View Event navigation and root event action badge agree in place and after reload; no generated room card leaks into the root list</t>
  </si>
  <si>
    <t>Backend group-runtime resource metrics and frontend group/sub-event counter propagation exist; no integrated Tournament resource replay has run</t>
  </si>
  <si>
    <t>Compare exact ownerId/subEventId/groupId/asset-owner/type settings with group, stage and parent counters before/after/reload; require zero membership-role changes</t>
  </si>
  <si>
    <t>Generic asset ownership and assignment remain in Asset cases; this row owns only Tournament generated-group scoping and aggregate navigation.</t>
  </si>
  <si>
    <t>JOB-TOURNAMENT</t>
  </si>
  <si>
    <t>event-tournament-review</t>
  </si>
  <si>
    <t>Real scheduler reviews stage transitions</t>
  </si>
  <si>
    <t>DELTA scheduler/audit; INDIRECT domain/outbox</t>
  </si>
  <si>
    <t>DELTA stage review/advancement/score-plan/notifications</t>
  </si>
  <si>
    <t>Capture Monitoring plus key browser state</t>
  </si>
  <si>
    <t>CHAT-AUTH-001</t>
  </si>
  <si>
    <t>Event chat authorization</t>
  </si>
  <si>
    <t>Compare Admin, accepted, pending and left membership against the same event chat</t>
  </si>
  <si>
    <t>INDIRECT only for the controlled proof messages; causal Statistics replay is STAT-011</t>
  </si>
  <si>
    <t>DELTA chat writes only after accepted state</t>
  </si>
  <si>
    <t>X unless a message creates documented delivery work</t>
  </si>
  <si>
    <t>Admin and accepted member share history; pending/left users have no channel and are server-denied</t>
  </si>
  <si>
    <t>MANUAL UI + FUNCTIONAL PASS; WEBSOCKET DEFECT FIXED</t>
  </si>
  <si>
    <t>Chat/access-control coverage plus focused ChatHandshakeInterceptorTest PASS</t>
  </si>
  <si>
    <t>Proceed to retained-message Statistics checkpoint STAT-011; repeat authorization only after chat-id, membership or access-policy changes</t>
  </si>
  <si>
    <t>Casey Admin and Riley accepted shared one mainEvent chat with only their two avatars; Nova stayed pending with an empty Chats UI and no chat-message notification. The first send exposed encoded %3A being used as the WebSocket database key; it persisted nothing. Query-param decoding was fixed, its focused test passed and hot deploy loaded. Riley then sent two deliberate messages: the second separately proved the Event bucket after the first was read. Each message persisted once and created one Casey-only notification/outbox row. Casey UI proved Chats/All/Event unread cycles 0-&gt;1-&gt;0, both messages in shared history and Notification Center 5-&gt;6; final unread was 0. Nova received neither message, retained no chat owner copy, and direct history access returned 404 Chat not found.</t>
  </si>
  <si>
    <t>CHAT-LIST-001</t>
  </si>
  <si>
    <t>Expansion checkpoint CP13</t>
  </si>
  <si>
    <t>Chat list and contexts</t>
  </si>
  <si>
    <t>Load controlled main-event, group, service and support chats; switch list context and sort once</t>
  </si>
  <si>
    <t>X; list reads are side-effect free</t>
  </si>
  <si>
    <t>All and each context show exact rows/counters once; date order and compact header/status remain stable after reopen</t>
  </si>
  <si>
    <t>Paged chat query, context filters, sort and header-revision paths exist in backend and both frontend adapters</t>
  </si>
  <si>
    <t>Compare exact row IDs, context totals and order before/after reopen; require zero writes</t>
  </si>
  <si>
    <t>Coverage audit split this from the existing authorization checkpoint so list semantics are independently executable.</t>
  </si>
  <si>
    <t>CHAT-HISTORY-001</t>
  </si>
  <si>
    <t>Chat history pagination</t>
  </si>
  <si>
    <t>Open a thread with more than 15 controlled messages, load older history once, then reopen</t>
  </si>
  <si>
    <t>X; history reads only update the viewer read boundary</t>
  </si>
  <si>
    <t>Newest window, older page, day markers and reverse-thread order merge without gaps or duplicates</t>
  </si>
  <si>
    <t>Cursor message endpoint plus reverse SmartList initial-window and older-page logic exist</t>
  </si>
  <si>
    <t>Require exact message IDs/order after initial load, one older-page load and reopen</t>
  </si>
  <si>
    <t>Bounded to one 18-message fixture and one pagination edge; no long free-form conversation is required.</t>
  </si>
  <si>
    <t>CHAT-SEND-001</t>
  </si>
  <si>
    <t>Text message exact-once delivery</t>
  </si>
  <si>
    <t>Send one unique text from one accepted participant while another participant keeps the thread open</t>
  </si>
  <si>
    <t>DELTA one chat.message.sent event</t>
  </si>
  <si>
    <t>DELTA one persisted message and recipient-only unread increment</t>
  </si>
  <si>
    <t>Sender sees one immediate pending/confirmed row; recipient receives the same row once without reload</t>
  </si>
  <si>
    <t>HTTP/WebSocket send, clientId reconciliation and persisted stream event paths exist</t>
  </si>
  <si>
    <t>Compare clientId, stored message ID, both open threads and recipient unread; no duplicate echo</t>
  </si>
  <si>
    <t>This isolates ordinary delivery from CHAT-AUTH-001, which already proved only the membership boundary.</t>
  </si>
  <si>
    <t>CHAT-COUNTER-001</t>
  </si>
  <si>
    <t>Unread list counters</t>
  </si>
  <si>
    <t>Send one message while recipient Chat is closed, then open Chat list without opening the thread</t>
  </si>
  <si>
    <t>INDIRECT ordinary chat-message count</t>
  </si>
  <si>
    <t>DELTA recipient chats/all/context counters +1; sender remains unchanged</t>
  </si>
  <si>
    <t>Profile badge, primary/context menu badges and row unread badge agree before the thread is opened</t>
  </si>
  <si>
    <t>Stored counter update and activity-row summary synchronization exist</t>
  </si>
  <si>
    <t>Require identical +1 in stored counters and every visible counter; list opening must not clear it</t>
  </si>
  <si>
    <t>Counter ownership is separate from message rendering and read acknowledgement.</t>
  </si>
  <si>
    <t>CHAT-READ-001</t>
  </si>
  <si>
    <t>Read receipt and acknowledgement</t>
  </si>
  <si>
    <t>Open exactly one unread thread and keep the sender thread visible</t>
  </si>
  <si>
    <t>DELTA recipient unread 1→0 and one read receipt; no new notification</t>
  </si>
  <si>
    <t>Recipient counters clear once and sender receives one reader avatar on the matching message</t>
  </si>
  <si>
    <t>Message-page read receipt, mark-read stream event and avatar merge logic exist</t>
  </si>
  <si>
    <t>Require persisted reader identity, exact counter 1→0 and no duplicate read avatar after reopen</t>
  </si>
  <si>
    <t>Reading is its own write boundary and must not be conflated with loading the Chat list.</t>
  </si>
  <si>
    <t>CHAT-RECONNECT-001</t>
  </si>
  <si>
    <t>Realtime reconnect and catch-up</t>
  </si>
  <si>
    <t>Disconnect one recipient client, send one controlled message, then restore only that client connection</t>
  </si>
  <si>
    <t>INDIRECT one ordinary message</t>
  </si>
  <si>
    <t>DELTA no lost or duplicate stream/message record across reconnect</t>
  </si>
  <si>
    <t>Recipient catches up to the exact persisted message once and the unread counter remains consistent</t>
  </si>
  <si>
    <t>WebSocket watch plus persisted page reload/catch-up paths exist</t>
  </si>
  <si>
    <t>Compare pre-disconnect cursor, stored message ID and post-reconnect thread/counter without browser reload</t>
  </si>
  <si>
    <t>This is a short one-message transport interruption, not a general offline-mode campaign.</t>
  </si>
  <si>
    <t>CHAT-TYPING-001</t>
  </si>
  <si>
    <t>Typing indicator</t>
  </si>
  <si>
    <t>Type briefly, stop, then let the remote indicator expire once</t>
  </si>
  <si>
    <t>X; typing is transient and must not persist or change counters</t>
  </si>
  <si>
    <t>Only other accepted participants see the named indicator; it clears on stop/TTL and pending users see nothing</t>
  </si>
  <si>
    <t>Typing stream event and frontend idle/remote TTL handling exist</t>
  </si>
  <si>
    <t>Observe start, explicit stop and TTL fallback; prove zero message, notification and counter writes</t>
  </si>
  <si>
    <t>One short typing burst covers both stop paths.</t>
  </si>
  <si>
    <t>P1 86</t>
  </si>
  <si>
    <t>CHAT-REPLY-001</t>
  </si>
  <si>
    <t>Message reply</t>
  </si>
  <si>
    <t>Reply once to a controlled earlier message and use the reply preview to locate its source</t>
  </si>
  <si>
    <t>INDIRECT one ordinary reply message</t>
  </si>
  <si>
    <t>DELTA one message with immutable replyTo identity</t>
  </si>
  <si>
    <t>Both clients render sender/preview correctly; source jump works after older history load and reopen</t>
  </si>
  <si>
    <t>Reply DTO normalization, preview rendering and source navigation exist</t>
  </si>
  <si>
    <t>Require exact reply source ID/text snapshot and one delivered reply after reload</t>
  </si>
  <si>
    <t>Kept separate from send because it exercises historical-source identity.</t>
  </si>
  <si>
    <t>CHAT-EDIT-001</t>
  </si>
  <si>
    <t>Message editing</t>
  </si>
  <si>
    <t>Edit one own text message once; attempt the same mutation as another participant</t>
  </si>
  <si>
    <t>DELTA same message ID gains editedAtIso; unauthorized write rejected</t>
  </si>
  <si>
    <t>Open peers update in place and show Edited; history reload keeps only the edited value</t>
  </si>
  <si>
    <t>Backend ownership guard, edit endpoint and live mutation rendering exist</t>
  </si>
  <si>
    <t>Require stable message ID, exact new text, one edit timestamp and server denial for non-owner</t>
  </si>
  <si>
    <t>No new message, unread increment or push notification is expected.</t>
  </si>
  <si>
    <t>CHAT-DELETE-001</t>
  </si>
  <si>
    <t>Message unsend</t>
  </si>
  <si>
    <t>Unsend one own message once; attempt unsend as another participant</t>
  </si>
  <si>
    <t>DELTA same message becomes a tombstone; unauthorized write rejected</t>
  </si>
  <si>
    <t>Text/attachments/reply/reactions/readers/pin clear consistently on both open clients and reload</t>
  </si>
  <si>
    <t>Backend tombstone mutation and live delete rendering exist</t>
  </si>
  <si>
    <t>Require stable message ID, deletion actor/time, cleared payload and non-owner denial</t>
  </si>
  <si>
    <t>Deletion must not remove surrounding history or decrement unrelated counters.</t>
  </si>
  <si>
    <t>CHAT-REACTION-001</t>
  </si>
  <si>
    <t>Message reactions</t>
  </si>
  <si>
    <t>Add one reaction from each of two users, change one, then remove one</t>
  </si>
  <si>
    <t>DELTA reaction set only; no unread or notification delta</t>
  </si>
  <si>
    <t>Summary counts and reaction-details identities converge live and persist after reopen</t>
  </si>
  <si>
    <t>Reaction mutation endpoint, quick picker and detail popup exist</t>
  </si>
  <si>
    <t>Require one reaction per user, replacement rather than duplication, then exact removal</t>
  </si>
  <si>
    <t>Four bounded clicks cover add/change/remove and multi-user aggregation.</t>
  </si>
  <si>
    <t>P1 88</t>
  </si>
  <si>
    <t>CHAT-PIN-001</t>
  </si>
  <si>
    <t>Pinned messages</t>
  </si>
  <si>
    <t>Pin one controlled message, open Pinned, select it, then unpin</t>
  </si>
  <si>
    <t>DELTA pin fields only; no unread or notification delta</t>
  </si>
  <si>
    <t>Pin badge/list/source navigation update live and disappear after unpin; reload remains consistent</t>
  </si>
  <si>
    <t>Pin endpoint, pinned dialog and source selection exist</t>
  </si>
  <si>
    <t>Require one pinned ID and actor, successful source focus and empty terminal pinned list</t>
  </si>
  <si>
    <t>Authorization is checked with the same accepted and denied controls as the owning chat.</t>
  </si>
  <si>
    <t>CHAT-IMAGE-001</t>
  </si>
  <si>
    <t>Image attachment</t>
  </si>
  <si>
    <t>Attach and send one controlled image, open its preview, then reopen the thread</t>
  </si>
  <si>
    <t>INDIRECT one chat message</t>
  </si>
  <si>
    <t>DELTA one managed attachment/message; media lifecycle remains canonical</t>
  </si>
  <si>
    <t>Both clients show the same preview/full source without broken or duplicate upload</t>
  </si>
  <si>
    <t>Image attachment composer, normalization and media presentation paths exist</t>
  </si>
  <si>
    <t>Require one canonical attachment ID/URL, HTTP 200 preview and reload persistence</t>
  </si>
  <si>
    <t>Use one small fixture image; cleanup belongs to the checkpoint reset.</t>
  </si>
  <si>
    <t>CHAT-VOICE-001</t>
  </si>
  <si>
    <t>Voice clip attachment</t>
  </si>
  <si>
    <t>Record one short clip, review it, send it and play it once as the recipient</t>
  </si>
  <si>
    <t>DELTA one voice attachment/message; failed recorder permission creates no row</t>
  </si>
  <si>
    <t>Duration/player work on both clients and after reopen; cancel/error leaves no orphan media</t>
  </si>
  <si>
    <t>Voice recorder repository/service and composer/player states exist</t>
  </si>
  <si>
    <t>Require one playable canonical clip and one independent permission-denied no-write branch</t>
  </si>
  <si>
    <t>Clip length stays a few seconds so the test remains bounded.</t>
  </si>
  <si>
    <t>CHAT-POLL-001</t>
  </si>
  <si>
    <t>Chat poll</t>
  </si>
  <si>
    <t>Create one two-option poll, vote as two users, then change one vote</t>
  </si>
  <si>
    <t>DELTA one poll attachment with exact per-user votes</t>
  </si>
  <si>
    <t>Bars, counts and voter identities update live; changed vote moves rather than duplicates</t>
  </si>
  <si>
    <t>Poll composer, attachment state and vote mutation through attachment update exist</t>
  </si>
  <si>
    <t>Require totals 0→1→2 and still 2 after one changed vote, then reload persistence</t>
  </si>
  <si>
    <t>One question and two options keep this a short functional sequence.</t>
  </si>
  <si>
    <t>CHAT-CARD-001</t>
  </si>
  <si>
    <t>Event, asset and link cards</t>
  </si>
  <si>
    <t>Send one event card and one asset or link card, then open each once</t>
  </si>
  <si>
    <t>INDIRECT two chat messages</t>
  </si>
  <si>
    <t>DELTA canonical attachment references only</t>
  </si>
  <si>
    <t>Available cards navigate to the shared target; a removed/denied target becomes unavailable without exposing data</t>
  </si>
  <si>
    <t>Card attachment rendering, availability checks and shared navigation stores exist</t>
  </si>
  <si>
    <t>Require exact target IDs, correct navigation and one denied/unavailable control after reload</t>
  </si>
  <si>
    <t>Two attachment kinds plus one negative state cover the shared card contract.</t>
  </si>
  <si>
    <t>CHAT-MEMBERS-001</t>
  </si>
  <si>
    <t>Chat member list</t>
  </si>
  <si>
    <t>Open Members on a controlled accepted group and page once if the fixture exceeds one page</t>
  </si>
  <si>
    <t>X; member inspection is read-only</t>
  </si>
  <si>
    <t>Accepted identities, roles and avatars are exact; pending/left users are absent and server-denied</t>
  </si>
  <si>
    <t>Paged members endpoint and chat-header member control exist</t>
  </si>
  <si>
    <t>Compare chat member IDs with canonical accepted membership and require zero writes</t>
  </si>
  <si>
    <t>Authorization remains in CHAT-AUTH-001; this row owns member-list content and paging only.</t>
  </si>
  <si>
    <t>CHAT-REPORT-001</t>
  </si>
  <si>
    <t>Message reporting</t>
  </si>
  <si>
    <t>Report one controlled participant message and open the resulting Admin review item</t>
  </si>
  <si>
    <t>INDIRECT one moderation input</t>
  </si>
  <si>
    <t>DELTA one report/support-review identity; duplicate submit is idempotent</t>
  </si>
  <si>
    <t>Reporter gets one acknowledgement and Admin sees the exact chat/message context without unrelated history access</t>
  </si>
  <si>
    <t>Chat Report action and Admin chat-review/support surfaces exist</t>
  </si>
  <si>
    <t>Require one report, exact reporter/chat/message IDs, one Admin item and duplicate protection</t>
  </si>
  <si>
    <t>Admin resolution remains in the Admin domain; this row stops at correct intake.</t>
  </si>
  <si>
    <t>CHAT-PUSH-001</t>
  </si>
  <si>
    <t>Background chat push</t>
  </si>
  <si>
    <t>Close/background one accepted recipient app, send one participant message, then tap its push</t>
  </si>
  <si>
    <t>INDIRECT one ordinary chat message</t>
  </si>
  <si>
    <t>DELTA one recipient push and inbox row; sender/system messages do not self-notify</t>
  </si>
  <si>
    <t>Notification opens the exact chat/message once and in-app unread/read state reconciles without duplicate delivery</t>
  </si>
  <si>
    <t>Chat push service excludes sender/system messages and builds chat deep links; device registration paths exist</t>
  </si>
  <si>
    <t>Require exact recipient/tag/click target with one foreground control and one system-message no-push control</t>
  </si>
  <si>
    <t>Physical-device ADB evidence is required, but the sequence remains one message and one tap.</t>
  </si>
  <si>
    <t>ASSET-LIFE-001</t>
  </si>
  <si>
    <t>Asset lifecycle and type schemas</t>
  </si>
  <si>
    <t>Create one Transport, one Accommodation and one Supplies asset; edit one shared field, then delete and restore the Transport</t>
  </si>
  <si>
    <t>INDIRECT asset inventory counts</t>
  </si>
  <si>
    <t>DELTA canonical asset documents and lifecycle status; assigned projections are unchanged until a later assignment case</t>
  </si>
  <si>
    <t>Each type keeps its required type-specific fields and media; edit persists once; Delete removes only the selected asset from active lists and Restore returns the same identity</t>
  </si>
  <si>
    <t>Backend asset upsert/delete/restore and three shared type schemas have automated coverage; integrated manual lifecycle has not run</t>
  </si>
  <si>
    <t>Compare exact IDs/type fields/media, active/Trash counters and reload persistence; prove Accommodation and Supplies are untouched controls</t>
  </si>
  <si>
    <t>One bounded shared-form lifecycle avoids three duplicate half-day cases while retaining all three type schemas.</t>
  </si>
  <si>
    <t>ASSET-VIS-001</t>
  </si>
  <si>
    <t>Asset visibility and discovery</t>
  </si>
  <si>
    <t>Compare one Public, Friends only and Invitation only asset as owner, friend and unrelated member</t>
  </si>
  <si>
    <t>INDIRECT visible asset counts</t>
  </si>
  <si>
    <t>X; reads are side-effect free</t>
  </si>
  <si>
    <t>INDIRECT existing friendship graph only; no graph mutation</t>
  </si>
  <si>
    <t>Explore and owned/managed lists expose exactly the policy-eligible assets; direct denied reads reveal no hidden detail</t>
  </si>
  <si>
    <t>Backend visibility query and owner/friend filtering exist; three-role manual comparison has not run</t>
  </si>
  <si>
    <t>Compare exact asset IDs for three actors plus one direct denied request and byte-identical post-read state</t>
  </si>
  <si>
    <t>Do not combine this read boundary with borrow or assignment writes.</t>
  </si>
  <si>
    <t>ASSET-MEMBER-001</t>
  </si>
  <si>
    <t>Asset membership</t>
  </si>
  <si>
    <t>Invite one controlled asset member</t>
  </si>
  <si>
    <t>INDIRECT asset/member activity</t>
  </si>
  <si>
    <t>DELTA asset membership and optional outbox</t>
  </si>
  <si>
    <t>One asset-scoped pending row and matching recipient invitation</t>
  </si>
  <si>
    <t>Asset membership service tests partial</t>
  </si>
  <si>
    <t>Match asset owner/type/id, inviter and recipient</t>
  </si>
  <si>
    <t>Must not create event membership</t>
  </si>
  <si>
    <t>ASSET-MEMBER-002</t>
  </si>
  <si>
    <t>Accept one asset invite and reject another</t>
  </si>
  <si>
    <t>DELTA asset membership states</t>
  </si>
  <si>
    <t>CONDITIONAL outbox; scheduler X</t>
  </si>
  <si>
    <t>Accepted role and rejected cleanup are exact; event role stays unchanged</t>
  </si>
  <si>
    <t>Asset acceptance/rejection service tests partial</t>
  </si>
  <si>
    <t>Compare two independent identities and event-role control</t>
  </si>
  <si>
    <t>Asset Manager is not Event Admin</t>
  </si>
  <si>
    <t>ASSET-BORROW-001</t>
  </si>
  <si>
    <t>Asset borrow lifecycle</t>
  </si>
  <si>
    <t>Request one controlled asset for an exact event/sub-event timeframe, accept it, then independently reject and cancel controlled requests</t>
  </si>
  <si>
    <t>INDIRECT pending/accepted asset request counts</t>
  </si>
  <si>
    <t>DELTA one request/payment-session reference per branch and exact availability quantity</t>
  </si>
  <si>
    <t>CONDITIONAL provider/outbox work only when the staged asset policy requires it</t>
  </si>
  <si>
    <t>Requester and owner see the same request state; accepted borrower becomes assignment-eligible only for the exact booking scope; reject/cancel clean up once</t>
  </si>
  <si>
    <t>Borrow request records, booking scope, accept/reject/cancel policies and payment hooks exist; integrated manual lifecycle has not run</t>
  </si>
  <si>
    <t>Compare request ID/kind/status/booking, owner/requester counters, notifications, availability and duplicate replay for three short independent branches</t>
  </si>
  <si>
    <t>Borrow permission is not Asset Manager membership and never promotes an Event role.</t>
  </si>
  <si>
    <t>ASSET-AVAIL-001</t>
  </si>
  <si>
    <t>Asset timeframe and capacity</t>
  </si>
  <si>
    <t>Create two overlapping booking requests around one finite-capacity asset, then move one request outside the overlap</t>
  </si>
  <si>
    <t>INDIRECT available quantity/order</t>
  </si>
  <si>
    <t>DELTA booking quantities and availability projection only</t>
  </si>
  <si>
    <t>X unless the configured booking policy explicitly produces provider work</t>
  </si>
  <si>
    <t>Explore availability and assignment eligibility never exceed quantity/capacity; moving one timeframe restores exactly its released capacity in place and after reload</t>
  </si>
  <si>
    <t>Backend overlap/availability expression and booking records exist; exact boundary and UI convergence have not been manually executed</t>
  </si>
  <si>
    <t>Compare half-open time boundaries, accepted/pending quantities, available capacity and sorted Explore result before/after one move</t>
  </si>
  <si>
    <t>Use seconds/minutes fixture spacing; no real-time waiting is required.</t>
  </si>
  <si>
    <t>ASSET-ASSIGN-001</t>
  </si>
  <si>
    <t>Event resources</t>
  </si>
  <si>
    <t>Assign one accepted user's Transport asset to one normal sub-event</t>
  </si>
  <si>
    <t>INDIRECT asset/event activity</t>
  </si>
  <si>
    <t>DELTA assignment and availability projection</t>
  </si>
  <si>
    <t>CONDITIONAL availability/outbox; scheduler X unless explicitly documented</t>
  </si>
  <si>
    <t>Event, sub-event, asset owner, asset ID, route and capacity agree</t>
  </si>
  <si>
    <t>Asset assignment lifecycle coverage partial</t>
  </si>
  <si>
    <t>Compare assignment record, Event Resources, source asset and sub-event counters in place and after reload</t>
  </si>
  <si>
    <t>Assignment must not create a second membership</t>
  </si>
  <si>
    <t>ASSET-ASSIGN-002</t>
  </si>
  <si>
    <t>Multi-type sub-event resources</t>
  </si>
  <si>
    <t>Assign controlled Transport and Accommodation from one eligible owner plus Supplies contributions from two accepted users to the same normal sub-event</t>
  </si>
  <si>
    <t>INDIRECT per-type resource counts</t>
  </si>
  <si>
    <t>DELTA one owner-scoped resource state per contributor and exact aggregate type metrics</t>
  </si>
  <si>
    <t>X unless a documented resource notification is emitted</t>
  </si>
  <si>
    <t>Transport route/capacity, Accommodation capacity and Supplies quantities agree in Event Resources, sub-event badges and parent navigation in place and after reload</t>
  </si>
  <si>
    <t>Three resource types, contribution entries and aggregate projection code exist; combined multi-owner UI replay has not run</t>
  </si>
  <si>
    <t>Compare per-owner records with aggregate accepted/pending/capacity min/max and prove no membership-role or unrelated sub-event delta</t>
  </si>
  <si>
    <t>Generated Tournament-group aggregation remains owned by TOURNAMENT-RESOURCE-001.</t>
  </si>
  <si>
    <t>ASSET-ASSIGN-003</t>
  </si>
  <si>
    <t>Assigned-resource mutation and cleanup</t>
  </si>
  <si>
    <t>Edit the capacity of one assigned asset, unassign it, then remove one separate asset manager from the event</t>
  </si>
  <si>
    <t>INDIRECT resource and availability counts</t>
  </si>
  <si>
    <t>DELTA write-side assigned projection refresh; unassign and removed-manager cleanup affect only owned settings/contributions</t>
  </si>
  <si>
    <t>Every affected sub-event and parent badge converges without read-time reconstruction; unrelated owners/types remain unchanged; reload preserves the same zero/nonzero totals</t>
  </si>
  <si>
    <t>Asset save refreshes referenced sub-event projections and member removal has managed-resource cleanup; integrated exact-scope replay has not run</t>
  </si>
  <si>
    <t>Snapshot assignment/settings/contributions, materialized counters and roles before edit, unassign and member removal; require idempotent terminal replay</t>
  </si>
  <si>
    <t>This is the write-side cleanup contract; do not repair stale counters by projecting them in the query.</t>
  </si>
  <si>
    <t>ARTICLE-EDITOR-001</t>
  </si>
  <si>
    <t>Admin Article Editor</t>
  </si>
  <si>
    <t>Create, save and reopen one English Article draft; image upload is a subcase of the owning Save flow</t>
  </si>
  <si>
    <t>Title, excerpt, canonical managed image URL and Article HTML persist once; admin list requests medium and the admin viewer body requests large</t>
  </si>
  <si>
    <t>Backend admin idea/content HTTP coverage plus frontend Article list/viewer, managed-HTML variant, paste and focused Article service coverage</t>
  </si>
  <si>
    <t>Proceed to LANDING-ARTICLE-001 with the retained draft; keep publication outside this checkpoint</t>
  </si>
  <si>
    <t>ARTICLE-SRC-002 saved and reopened with title, excerpt, body and one canonical large.webp URL in Mongo imageUrl/imageUrls plus HTML. The list requested medium.webp; the viewer requested large.webp 200 and rendered without a broken link. Source 1229x706; variants 128x74, 640x368 and 1229x706, all HTTP 200. Delete-without-replacement removed the HTML reference and all four stored objects while preserving the body. Raw-HTML and URL copy-paste regressions were fixed and focused frontend 5/5 plus IdeaPostsService tests passed.</t>
  </si>
  <si>
    <t>LANDING-ARTICLE-001</t>
  </si>
  <si>
    <t>Public landing / Articles</t>
  </si>
  <si>
    <t>Publish the retained Article and compare a fresh landing load with any already-open landing surface</t>
  </si>
  <si>
    <t>A fresh landing load shows the published Article exactly once with the expected count, medium card image and large body image; refresh/live-update behavior is recorded explicitly</t>
  </si>
  <si>
    <t>Backend ContentMedia HTTP E2E proves published inclusion and deleted exclusion; frontend landing specs cover featured/regular lists and large body-image rendering</t>
  </si>
  <si>
    <t>Proceed to CHAT-AUTH-001; no Article republish or landing retest is required</t>
  </si>
  <si>
    <t>Pre-publish landing content and full list both reported 5 and excluded ARTICLE-SRC-002. One publish kept All 7 and Featured 4 stable while Published changed 5-&gt;6 and Drafts 2-&gt;1. Fresh APIs reported total 6 and exactly one QA article. The already-open list stayed at 5 without live update; hard refresh showed 6 and the QA card once. Card medium.webp and detail large.webp both returned 200; landing detail rendered title, body and image without a broken link.</t>
  </si>
  <si>
    <t>MOBILE-PUSH-001</t>
  </si>
  <si>
    <t>Expansion checkpoint CP04</t>
  </si>
  <si>
    <t>Mobile notifications</t>
  </si>
  <si>
    <t>Keep app visible and produce one target notification</t>
  </si>
  <si>
    <t>INDIRECT unread count</t>
  </si>
  <si>
    <t>DELTA inbox/outbox/token delivery</t>
  </si>
  <si>
    <t>DELTA one notification delivery task</t>
  </si>
  <si>
    <t>Foreground shows one in-app item/counter and no duplicate system notification</t>
  </si>
  <si>
    <t>DESIGN CAPTURED / REAL DEVICE NOT RUN</t>
  </si>
  <si>
    <t>Foreground notification code exists; ADB/manual observation not run</t>
  </si>
  <si>
    <t>Compare device UI, inbox/outbox identity and target-only delivery</t>
  </si>
  <si>
    <t>One desktop actor produces while phone replaces another observation phase</t>
  </si>
  <si>
    <t>MOBILE-PUSH-002</t>
  </si>
  <si>
    <t>Background then fully close app before producing one target notification</t>
  </si>
  <si>
    <t>DELTA real FCM delivery while app is closed</t>
  </si>
  <si>
    <t>One system notification appears; persisted unread stays one and no desktop control receives it</t>
  </si>
  <si>
    <t>Requires real Firebase/FCM and physical device; not run</t>
  </si>
  <si>
    <t>Use ADB app-state/logcat plus backend inbox/outbox and desktop control</t>
  </si>
  <si>
    <t>This specifically proves app-not-open delivery</t>
  </si>
  <si>
    <t>MOBILE-PUSH-003</t>
  </si>
  <si>
    <t>Mobile notification routing</t>
  </si>
  <si>
    <t>Tap the closed-app notification and cold-start WebView</t>
  </si>
  <si>
    <t>INDIRECT unread count becomes read after open</t>
  </si>
  <si>
    <t>DELTA intentional read transition and route consumption</t>
  </si>
  <si>
    <t>Exact authenticated route opens once; read occurs only after tap/open and does not replay</t>
  </si>
  <si>
    <t>Deep-link and notification code exist; cold-start real-device flow not run</t>
  </si>
  <si>
    <t>Compare tap intent, WebView URL/state, read timestamp and back/relaunch behavior</t>
  </si>
  <si>
    <t>Do not pre-mark new notification as read</t>
  </si>
  <si>
    <t>MOBILE-PUSH-004</t>
  </si>
  <si>
    <t>Mobile notification permissions</t>
  </si>
  <si>
    <t>Deny permission, rotate/revoke token, then grant and retry</t>
  </si>
  <si>
    <t>DELTA token lifecycle and delivery result</t>
  </si>
  <si>
    <t>DELTA only for eligible current token</t>
  </si>
  <si>
    <t>Denial is non-blocking; stale token is retired and later delivery reaches only new token</t>
  </si>
  <si>
    <t>Token lifecycle implementation partial; real permission/rotation sequence not run</t>
  </si>
  <si>
    <t>Use ADB permissions/logcat and masked backend token identity</t>
  </si>
  <si>
    <t>Raw token never becomes QA evidence</t>
  </si>
  <si>
    <t>BELL-RATING</t>
  </si>
  <si>
    <t>Manual flow</t>
  </si>
  <si>
    <t>Notification/rating/feedback</t>
  </si>
  <si>
    <t>Read bell then submit rating and feedback</t>
  </si>
  <si>
    <t>Rating/moderation deltas expected in future cross-surface run</t>
  </si>
  <si>
    <t>Notification/read and relevant domain flows</t>
  </si>
  <si>
    <t>INDIRECT after rating recompute</t>
  </si>
  <si>
    <t>Affinity recompute/outbox conditional</t>
  </si>
  <si>
    <t>Read path, rating and feedback persist once</t>
  </si>
  <si>
    <t>MANUAL FUNCTIONAL PASS; RATING BELL UI PASS; FEEDBACK/READ UI PARTIAL</t>
  </si>
  <si>
    <t>API/service tests</t>
  </si>
  <si>
    <t>Click/read the controlled rating notification; repeat the feedback bell visually; capture Statistics/Monitoring</t>
  </si>
  <si>
    <t>Historical rating/feedback API and database oracles passed. On 2026-08-04 Nova's UI showed exactly one unread New rating item from Casey with the expected timestamp after the frontend batch. Rating read transition and feedback notification presentation are still pending; English notification copy on the Hungarian page is an i18n observation.</t>
  </si>
  <si>
    <t>JOB-OUTBOX</t>
  </si>
  <si>
    <t>notification-outbox</t>
  </si>
  <si>
    <t>Real worker processes outbox</t>
  </si>
  <si>
    <t>DELTA scheduler/audit plus pending/running/sent/failed</t>
  </si>
  <si>
    <t>DELTA terminal delivery/no-op/token cleanup as configured</t>
  </si>
  <si>
    <t>Fixture/worker/common lifecycle tests</t>
  </si>
  <si>
    <t>Capture queue transition before worker consumes it</t>
  </si>
  <si>
    <t>Firebase-off oracle passed</t>
  </si>
  <si>
    <t>JOB-MESSAGES</t>
  </si>
  <si>
    <t>scheduled-messages</t>
  </si>
  <si>
    <t>Real scheduler dispatches due messages</t>
  </si>
  <si>
    <t>DELTA scheduler/audit; INDIRECT Notifications/outbox</t>
  </si>
  <si>
    <t>DELTA task audit plus notification/email result</t>
  </si>
  <si>
    <t>Capture recipient UI and Monitoring</t>
  </si>
  <si>
    <t>MOBILE-WEBVIEW-001</t>
  </si>
  <si>
    <t>Expansion checkpoint CP10</t>
  </si>
  <si>
    <t>Android WebView cache</t>
  </si>
  <si>
    <t>Cold-start after a frontend version change with old shell/cache present</t>
  </si>
  <si>
    <t>DELTA coherent service-worker/WebView cache generation</t>
  </si>
  <si>
    <t>One coherent build loads and old HTML never references missing new chunks or mixed revisions</t>
  </si>
  <si>
    <t>Frontend cache/PWA coverage exists in parts; Android cold-start upgrade not run</t>
  </si>
  <si>
    <t>Use ADB/WebView inspection to compare shell version, cache names, chunks and console/network errors</t>
  </si>
  <si>
    <t>Do not clear app data before observing the real upgrade path</t>
  </si>
  <si>
    <t>MOBILE-WEBVIEW-002</t>
  </si>
  <si>
    <t>Android WebView resume</t>
  </si>
  <si>
    <t>Background during server mutation, then resume without manual refresh</t>
  </si>
  <si>
    <t>INDIRECT current counters</t>
  </si>
  <si>
    <t>DELTA resume reconciliation revision</t>
  </si>
  <si>
    <t>CONDITIONAL normal poll/task ownership only</t>
  </si>
  <si>
    <t>User, counters and open surface reconcile once; stale WebView state cannot overwrite server truth</t>
  </si>
  <si>
    <t>Resume/cache code exists; real device concurrent mutation not run</t>
  </si>
  <si>
    <t>Compare server revision, desktop producer, app resume logs and rendered state</t>
  </si>
  <si>
    <t>Do not mix this with periodic poll attribution</t>
  </si>
  <si>
    <t>MOBILE-WEBVIEW-003</t>
  </si>
  <si>
    <t>Android user cache isolation</t>
  </si>
  <si>
    <t>Logout or switch account with populated authenticated caches</t>
  </si>
  <si>
    <t>DELTA user-scope cache purge and new identity hydration</t>
  </si>
  <si>
    <t>Tickets, QR, counters and notifications disappear before next identity renders; public assets may remain</t>
  </si>
  <si>
    <t>Offline ticket/cache foundation exists; real account-switch isolation not run</t>
  </si>
  <si>
    <t>Inspect IndexedDB/cache storage and visible UI before logout and after next login</t>
  </si>
  <si>
    <t>No authenticated image or offline ticket may cross users</t>
  </si>
  <si>
    <t>MOBILE-ADB-001</t>
  </si>
  <si>
    <t>ADB transport and diagnostics</t>
  </si>
  <si>
    <t>Inspect ADB route, reverse tunnel, WebView network and one offline/online cycle</t>
  </si>
  <si>
    <t>DELTA explicit transport/cache/offline diagnostic state</t>
  </si>
  <si>
    <t>Offline exposes only supported ticket contract and reconnect converges without clearing app data</t>
  </si>
  <si>
    <t>ADB/offline support exists; full diagnostic checkpoint not run</t>
  </si>
  <si>
    <t>Record adb devices/reverse, certificate/route, WebView console/network and backend oracle</t>
  </si>
  <si>
    <t>Phone replaces one desktop phase when three accounts are already open</t>
  </si>
  <si>
    <t>UI-POLL-JANK-001</t>
  </si>
  <si>
    <t>Performance defect retest</t>
  </si>
  <si>
    <t>Admin Jobs + Chat</t>
  </si>
  <si>
    <t>Compare pointer, scroll and input frame pacing across idle UI, Admin process list, Job Detail and Chat during periodic/live updates</t>
  </si>
  <si>
    <t>Job Detail must stay responsive during SmartList refresh; unchanged polls must not mutate rows; only the selected changed rule may reach the detail signal</t>
  </si>
  <si>
    <t>Chat must stay responsive during WebSocket and user-realtime updates</t>
  </si>
  <si>
    <t>ADMIN JOB MANUAL VISUAL PASS; PERFORMANCE TRACE + CHAT RETEST PENDING</t>
  </si>
  <si>
    <t>Focused component tests pass 6/6 for SmartList loading, keyed equality, row patching, detail isolation and local patch routing; running hot-deploy build manually showed no prior Job Detail stutter; browser frame-time trace not captured</t>
  </si>
  <si>
    <t>Capture 20–30 second Performance + Network traces for idle/list/detail/chat; prove unchanged Job polls preserve DOM rows and non-selected updates do not re-render detail; correlate Chat hitches independently</t>
  </si>
  <si>
    <t>Admin Jobs now uses SmartList-owned five-second polling, cancellation, keyed equality, visible-row patching and re-sorting with OnPush. Job Detail receives only its selected changed rule through a separate signal; the complete list is not pushed into detail. The full center remains the table data source. The 2026-08-04 hot-deployed build no longer showed the reported stutter during manual use, but no Performance trace was captured. Chat remains a separate reported symptom using OnPush, WebSocket live events and a 30-second global user realtime poll, shortened to 10 seconds in demo; its root cause remains unconfirmed. Both checkpoints must pass before closure.</t>
  </si>
  <si>
    <t>P1 65</t>
  </si>
  <si>
    <t>GRAPH-RATING-001</t>
  </si>
  <si>
    <t>Causal checkpoint</t>
  </si>
  <si>
    <t>Rating + Affinity Graph</t>
  </si>
  <si>
    <t>Save one single rating in each direction using two isolated sessions</t>
  </si>
  <si>
    <t>INDIRECT two rating deltas after Statistics refresh</t>
  </si>
  <si>
    <t>DELTA rating sync and recompute flow</t>
  </si>
  <si>
    <t>DELTA mutualSingleCount and pair weight; same pair visible at depth 1</t>
  </si>
  <si>
    <t>Affinity recompute may run for both users; direct edge recompute also occurs during each sync</t>
  </si>
  <si>
    <t>Both directional rating rows, reciprocal score, notifications and pair identity agree</t>
  </si>
  <si>
    <t>Rating/affinity service tests and graph endpoint tests exist; assembled two-browser to graph projection is manual</t>
  </si>
  <si>
    <t>Capture one-way oracle, reciprocal oracle, direct edge, graph source/layout version and reopened depth-1 pair</t>
  </si>
  <si>
    <t>Do not require a brand-new edge: seeded Met evidence may already create one. Active config currently weights mutual rating 10, mutual edge evidence 1, one-sided edge evidence 0 and Met evidence 0.5. Old materialized layout is a separate projection checkpoint.</t>
  </si>
  <si>
    <t>JOB-AFFINITY</t>
  </si>
  <si>
    <t>affinity-recompute</t>
  </si>
  <si>
    <t>Real worker processes recompute tasks</t>
  </si>
  <si>
    <t>DELTA network graph summary after refresh</t>
  </si>
  <si>
    <t>DELTA scheduler/audit and recompute queue</t>
  </si>
  <si>
    <t>DELTA when edge inputs changed</t>
  </si>
  <si>
    <t>DELTA terminal tasks and updated affinity/discovery</t>
  </si>
  <si>
    <t>Fixture/worker/graph/common lifecycle tests</t>
  </si>
  <si>
    <t>Use one changed pair and cross-surface evidence</t>
  </si>
  <si>
    <t>Primary domain oracle passed; graph UI not manually qualified</t>
  </si>
  <si>
    <t>ADMIN-USER-WARN-001</t>
  </si>
  <si>
    <t>Admin user moderation</t>
  </si>
  <si>
    <t>Warn one controlled member</t>
  </si>
  <si>
    <t>INDIRECT warning count</t>
  </si>
  <si>
    <t>DELTA warning/audit/target notification</t>
  </si>
  <si>
    <t>DELTA one notification delivery when policy requires</t>
  </si>
  <si>
    <t>One target warning/notification occurs; admin receives no self-notification and replay is deduped</t>
  </si>
  <si>
    <t>Moderation and notification coverage partial; three-session flow not run</t>
  </si>
  <si>
    <t>Compare target/admin inboxes, warning record, audit and counters</t>
  </si>
  <si>
    <t>New notification stays unread until target intentionally opens it</t>
  </si>
  <si>
    <t>ADMIN-USER-BLOCK-001</t>
  </si>
  <si>
    <t>Block, probe active access, then unblock one member</t>
  </si>
  <si>
    <t>INDIRECT active user/access state</t>
  </si>
  <si>
    <t>DELTA block/unblock audit and session policy</t>
  </si>
  <si>
    <t>Protected requests fail per policy; operator/admin remain usable and unblock restores only authorized access</t>
  </si>
  <si>
    <t>User block/security coverage partial; active-session three-role flow not run</t>
  </si>
  <si>
    <t>Compare old/new member requests, public visibility, admin/operator controls and restored role</t>
  </si>
  <si>
    <t>Use a disposable member identity</t>
  </si>
  <si>
    <t>ADMIN-SUPPORT-SESSION-001</t>
  </si>
  <si>
    <t>Expansion checkpoint CP09</t>
  </si>
  <si>
    <t>Admin support access</t>
  </si>
  <si>
    <t>Open and close one scoped support session</t>
  </si>
  <si>
    <t>DELTA time/actor/scope-bound capability audit</t>
  </si>
  <si>
    <t>Sensitive actions remain separately authorized and expiry/revoke immediately denies reuse</t>
  </si>
  <si>
    <t>No complete end-to-end support-session proof identified</t>
  </si>
  <si>
    <t>Compare capability scope, direct allowed/denied calls, immutable audit and post-revoke denial</t>
  </si>
  <si>
    <t>Never use broad impersonation as a fallback</t>
  </si>
  <si>
    <t>ADMIN-CONTENT-REV-001</t>
  </si>
  <si>
    <t>Admin content revisions</t>
  </si>
  <si>
    <t>Create and reopen one Help/Privacy/Terms/Explanation draft revision</t>
  </si>
  <si>
    <t>DELTA draft revision/version/author</t>
  </si>
  <si>
    <t>Draft persists once while active public content remains unchanged</t>
  </si>
  <si>
    <t>Content revision coverage exists in parts; multi-type bounded draft flow not run</t>
  </si>
  <si>
    <t>Choose one content type per execution and compare draft with public active control</t>
  </si>
  <si>
    <t>Branches share revision-draft contract but are executed independently</t>
  </si>
  <si>
    <t>P1 92</t>
  </si>
  <si>
    <t>ADMIN-CONTENT-REV-002</t>
  </si>
  <si>
    <t>Admin content activation</t>
  </si>
  <si>
    <t>Activate the retained draft once</t>
  </si>
  <si>
    <t>DELTA active revision and public cache revision</t>
  </si>
  <si>
    <t>Public clients show exact new revision; Privacy invalidates only stale consent and preserves history</t>
  </si>
  <si>
    <t>Content activation/consent tests partial; cross-client flow not run</t>
  </si>
  <si>
    <t>Compare active revision, public APIs/UI and consent requirements before/after</t>
  </si>
  <si>
    <t>Reuse draft from prior checkpoint; do not recreate it</t>
  </si>
  <si>
    <t>ADMIN-CONTENT-REV-003</t>
  </si>
  <si>
    <t>Admin content deletion</t>
  </si>
  <si>
    <t>Delete inactive revision and attempt to delete active revision</t>
  </si>
  <si>
    <t>DELTA inactive deletion; active denial audit</t>
  </si>
  <si>
    <t>Inactive is removed once; active/bound revision fails closed and public content remains</t>
  </si>
  <si>
    <t>Content deletion tests partial; complete active-control branch not run</t>
  </si>
  <si>
    <t>Compare revision inventory and public response after both short branches</t>
  </si>
  <si>
    <t>Use disposable inactive revision</t>
  </si>
  <si>
    <t>ADMIN-IDEA-LIFECYCLE-001</t>
  </si>
  <si>
    <t>Admin idea lifecycle</t>
  </si>
  <si>
    <t>Trash and restore one idea/article with public control open</t>
  </si>
  <si>
    <t>INDIRECT public/admin bucket count</t>
  </si>
  <si>
    <t>DELTA lifecycle state and audit</t>
  </si>
  <si>
    <t>Fresh public inclusion and admin buckets change once; identity/media remain stable</t>
  </si>
  <si>
    <t>Idea/article lifecycle coverage exists; open-surface and restore sequence not run</t>
  </si>
  <si>
    <t>Compare fresh public read, already-open behavior, admin buckets and stored media identity</t>
  </si>
  <si>
    <t>Record non-live open-surface behavior honestly</t>
  </si>
  <si>
    <t>ADMIN-NOTIFICATION-RULE-001</t>
  </si>
  <si>
    <t>Admin notification rules</t>
  </si>
  <si>
    <t>Save and reopen one rule, try invalid input, then restore</t>
  </si>
  <si>
    <t>DELTA runtime config revision/history</t>
  </si>
  <si>
    <t>Invalid save is atomic and unrelated rule/outbox rows stay unchanged</t>
  </si>
  <si>
    <t>Notification rule tests exist; complete UI save/reopen/restore flow not run</t>
  </si>
  <si>
    <t>Compare editor, active runtime config, history and control rule</t>
  </si>
  <si>
    <t>No delivery is implied by saving a rule</t>
  </si>
  <si>
    <t>ADMIN-NOTIFICATION-RUN-001</t>
  </si>
  <si>
    <t>Admin notification execution</t>
  </si>
  <si>
    <t>Manually run one armed rule with one eligible target</t>
  </si>
  <si>
    <t>DELTA task, outbox and inbox identities</t>
  </si>
  <si>
    <t>DELTA one named task/delivery</t>
  </si>
  <si>
    <t>Exactly one attributed delivery occurs and unchanged second run respects dedupe</t>
  </si>
  <si>
    <t>Notification task/outbox coverage exists; end-to-end manual run not performed</t>
  </si>
  <si>
    <t>Compare task, outbox, inbox, target UI and second-run no-op</t>
  </si>
  <si>
    <t>Admin self-notification remains an unchanged control unless policy says otherwise</t>
  </si>
  <si>
    <t>ADMIN-REPORT-001</t>
  </si>
  <si>
    <t>Admin moderation</t>
  </si>
  <si>
    <t>Resolve one user/content report once and replay</t>
  </si>
  <si>
    <t>INDIRECT moderation count</t>
  </si>
  <si>
    <t>DELTA report resolution and target policy effect</t>
  </si>
  <si>
    <t>CONDITIONAL target notification only if policy names it</t>
  </si>
  <si>
    <t>Exact report records actor/time/reason once; adjacent control remains unchanged</t>
  </si>
  <si>
    <t>Report moderation coverage partial; manual exact-target/replay flow not run</t>
  </si>
  <si>
    <t>Compare selected report, target state, audit and adjacent report before/after replay</t>
  </si>
  <si>
    <t>Do not batch unrelated reports into this row</t>
  </si>
  <si>
    <t>ADMIN-FEEDBACK-001</t>
  </si>
  <si>
    <t>Resolve one pending feedback item once</t>
  </si>
  <si>
    <t>INDIRECT pending feedback count</t>
  </si>
  <si>
    <t>DELTA feedback moderation state</t>
  </si>
  <si>
    <t>CONDITIONAL creator effect only if policy names it</t>
  </si>
  <si>
    <t>Creator-facing effect matches policy and unrelated impression/rating/report is unchanged</t>
  </si>
  <si>
    <t>Feedback/admin coverage exists; integrated exact-control flow not run</t>
  </si>
  <si>
    <t>Compare chosen feedback, creator projection, audit and unrelated controls</t>
  </si>
  <si>
    <t>One selected feedback only</t>
  </si>
  <si>
    <t>BASE-STAT</t>
  </si>
  <si>
    <t>Baseline</t>
  </si>
  <si>
    <t>Render and refresh persisted dashboard</t>
  </si>
  <si>
    <t>All sections stable; refresh reloads snapshot</t>
  </si>
  <si>
    <t>DTO/service support only</t>
  </si>
  <si>
    <t>Proceed with the controlled causal Statistics rows</t>
  </si>
  <si>
    <t>06:05 initial and 06:06 no-action refresh screenshots: all nine KPIs, five segments, graph/timeline, event type, city and topic panels rendered and visible values stayed stable; the header timestamp advanced normally. A separate 06:02/06:07 API sample later absorbed one user restored during fixture cleanup, so that delayed materialization was excluded from the refresh oracle. Mixed Hungarian/English labels are a nonblocking i18n observation.</t>
  </si>
  <si>
    <t>P1 68</t>
  </si>
  <si>
    <t>BASE-MON</t>
  </si>
  <si>
    <t>Monitoring</t>
  </si>
  <si>
    <t>Open All/Watch/Domains/Delivery/Workers</t>
  </si>
  <si>
    <t>Categories and filter counts match contract</t>
  </si>
  <si>
    <t>Security/DTO support only</t>
  </si>
  <si>
    <t>Record category/filter counts and health</t>
  </si>
  <si>
    <t>Queue counts are live; event totals accumulate</t>
  </si>
  <si>
    <t>BASE-GRAPH</t>
  </si>
  <si>
    <t>Open known graph fixture</t>
  </si>
  <si>
    <t>Graph summary only; compare later</t>
  </si>
  <si>
    <t>Member/link/component/isolated totals match</t>
  </si>
  <si>
    <t>Controller/service contracts</t>
  </si>
  <si>
    <t>Screenshot overview and compare API/domain counts</t>
  </si>
  <si>
    <t>Dedicated graph is not random-room generation</t>
  </si>
  <si>
    <t>P1 75</t>
  </si>
  <si>
    <t>STAT-010</t>
  </si>
  <si>
    <t>Causal</t>
  </si>
  <si>
    <t>Stage one controlled non-zero rating, press Save once, then let the frontend batch sync it</t>
  </si>
  <si>
    <t>Ratings timeline +1; Matching rates.synced rises by row count</t>
  </si>
  <si>
    <t>Matching rate/recompute flow rises</t>
  </si>
  <si>
    <t>Edge/score may change after recompute</t>
  </si>
  <si>
    <t>Affinity recompute may run</t>
  </si>
  <si>
    <t>Slider selection only stages; Save queues once; the Met card remains and shows the score; frontend pushes at most 50 queued ratings on its 30-second cycle</t>
  </si>
  <si>
    <t>MANUAL STATISTICS + BELL UI + FUNCTIONAL PASS; MONITORING/GRAPH PENDING</t>
  </si>
  <si>
    <t>Rating and graph-science tests; frontend stage/save/batch timing unit contract not yet isolated</t>
  </si>
  <si>
    <t>Qualify the same causal flow in the Monitoring and Graph packs</t>
  </si>
  <si>
    <t>Casey staged 4 for Nova and pressed Save once; the Met card remained and displayed 4. The delayed frontend batch reached the backend; fixture/API oracles passed exactly one stored rating, one outbox, one unread Nova bell, matching unread projection, and no Casey bell. Nova's 06:31 screenshot showed exactly one New rating item from Casey at 06:22. Statistics screenshots at 06:37/06:38 showed today's Ratings 0-&gt;1 and Matching/Rating activity 342-&gt;343, while Events/assets 1495, Communication 426 and Moderation 14 stayed stable. English notification copy on the Hungarian page is a nonblocking i18n observation. Monitoring/Graph effects remain separate.</t>
  </si>
  <si>
    <t>STAT-011</t>
  </si>
  <si>
    <t>Send controlled ordinary chat messages</t>
  </si>
  <si>
    <t>Messages timeline +1 per message; Communication +1 per message</t>
  </si>
  <si>
    <t>Chat flow +1 per message; outbox conditional</t>
  </si>
  <si>
    <t>Notification outbox conditional</t>
  </si>
  <si>
    <t>Message and unread/read projection correct</t>
  </si>
  <si>
    <t>Chat/realtime E2E support; focused WebSocket handshake regression PASS</t>
  </si>
  <si>
    <t>Closed; retain both historical one-message and current two-message causal samples, and repeat only after chat/statistics changes</t>
  </si>
  <si>
    <t>Historical 2026-08-04 sample: one Farkas Anna message changed chat 41-&gt;42, today's Messages 0-&gt;1, Communication/Messages 417-&gt;418 and Communication 426-&gt;427. Current 2026-08-05 replay reused the two deliberate Riley messages from CHAT-AUTH-001 without another write: the real worker snapshot at 08:42 reported daily Messages 2, chat.message.sent 419 and Communication 428 (Messages 419 + Warnings 9). Admin Statistics screenshots from snapshot 08:43 independently showed Daily usage Message 2 and Segments Communication 428 / Messages 419 / Warnings 9. Other visible daily metrics were Activity 18, New 0, Ratings 0, Event/assets 1306 and Moderation 0; no unrelated delta was attributed to the chat operation.</t>
  </si>
  <si>
    <t>P1 66</t>
  </si>
  <si>
    <t>STAT-012</t>
  </si>
  <si>
    <t>Invite or join one event member</t>
  </si>
  <si>
    <t>Event activity delta; Activities interaction changes</t>
  </si>
  <si>
    <t>Events/Members and outbox deltas</t>
  </si>
  <si>
    <t>Auto-inviter may be the trigger</t>
  </si>
  <si>
    <t>Member state and notification agree</t>
  </si>
  <si>
    <t>Service tests; dedicated manual-helper exact oracle</t>
  </si>
  <si>
    <t>Retain as a release-change sample; UI-POLL-JANK-001 remains separate</t>
  </si>
  <si>
    <t>A controlled 30-second eligibility window was picked up by the real scheduler at 08:49 without a Run button. Job Detail showed processed 1, pending 0 and 131ms. The exact machine oracle proved one Nova invitation, marker, outbox and bell with matching recipient sets. Monitoring showed membership writes 1359-&gt;1360, capacity/invites 1322-&gt;1323 and shared outbox 228-&gt;229 while event writes/model remained 59. Statistics showed Daily Events/assets 1322-&gt;1323, section total 1502-&gt;1503 and Event participation 1370-&gt;1371 while Active/Total events stayed 69/79. Nova UI showed exactly one Casey event invite. The manual bell query was corrected to accept payload.type. Guarded reset verified not-staged and restored the original rule/data.</t>
  </si>
  <si>
    <t>STAT-013</t>
  </si>
  <si>
    <t>Change one asset request</t>
  </si>
  <si>
    <t>Asset activity and asset-request delta</t>
  </si>
  <si>
    <t>Assets queue/flow delta</t>
  </si>
  <si>
    <t>Asset request state correct</t>
  </si>
  <si>
    <t>Service tests</t>
  </si>
  <si>
    <t>Use one isolated asset request</t>
  </si>
  <si>
    <t>P2 58</t>
  </si>
  <si>
    <t>STAT-014</t>
  </si>
  <si>
    <t>Submit feedback/report or isolated moderation action</t>
  </si>
  <si>
    <t>Moderation timeline/item and attention change</t>
  </si>
  <si>
    <t>Users/Jobs or relevant domain delta</t>
  </si>
  <si>
    <t>Bell/moderation state correct</t>
  </si>
  <si>
    <t>PARTIAL</t>
  </si>
  <si>
    <t>Capture exact before/after and health direction</t>
  </si>
  <si>
    <t>Rating/feedback functional API oracle passed; visual stats not run</t>
  </si>
  <si>
    <t>STAT-020</t>
  </si>
  <si>
    <t>Statistics graph summary</t>
  </si>
  <si>
    <t>Finish controlled affinity recompute</t>
  </si>
  <si>
    <t>Graph metrics/timeline change in predicted direction; prior dates stay immutable</t>
  </si>
  <si>
    <t>Matching queue returns terminal</t>
  </si>
  <si>
    <t>Edges/neighborhood/components agree</t>
  </si>
  <si>
    <t>Affinity recompute terminal</t>
  </si>
  <si>
    <t>Discovery/affinity projection correct</t>
  </si>
  <si>
    <t>DEFECT FIXED; HOT-DEPLOY RUNTIME + MANUAL STATISTICS UI PASS; AFFINITY GRAPH COMPARISON PENDING</t>
  </si>
  <si>
    <t>Historical immutability regression unit source added; dev classes hot-deploy compiled; runtime snapshot contract passed; standalone unit run intentionally not started</t>
  </si>
  <si>
    <t>Compare the corresponding current edge set in Affinity Graph explorer</t>
  </si>
  <si>
    <t>Initial manual refresh exposed a real defect: every Jul 22-Aug 3 point was rewritten from bridgeUsers 2-&gt;0, communities 2-&gt;1 and clusterQuality 7-&gt;3. Fix preserves stored past dates and replaces only today. Hot-deploy runtime proof compared 04:51:23 to 04:58:42: today's activeEdges changed 309-&gt;313 and recurringEdges 274-&gt;278 while all 13 prior points stayed exactly unchanged. The post-fix 07:05 browser screenshot, from the 07:03 admin snapshot after another real Refresh, reselected Jul 22 and retained Active edges 16, New edges 0, Recurring 13, Weak ties 16, Network quality 67%, and Cluster quality 3%. Manual Statistics UI retest passed; direct Affinity Graph comparison remains pending and the original FAIL evidence is retained.</t>
  </si>
  <si>
    <t>MON-011</t>
  </si>
  <si>
    <t>Observe one recompute pending to terminal</t>
  </si>
  <si>
    <t>Graph summary later</t>
  </si>
  <si>
    <t>Pending/running/failed and health transition correct</t>
  </si>
  <si>
    <t>Changed edge visible after terminal</t>
  </si>
  <si>
    <t>Affinity recompute runState/history changes</t>
  </si>
  <si>
    <t>Task terminal</t>
  </si>
  <si>
    <t>Worker/service tests</t>
  </si>
  <si>
    <t>Capture fast queue states and final zero</t>
  </si>
  <si>
    <t>MON-012</t>
  </si>
  <si>
    <t>Observe one notification outbox item</t>
  </si>
  <si>
    <t>Pending/running/sent or failed and health correct</t>
  </si>
  <si>
    <t>Notification-outbox runState changes</t>
  </si>
  <si>
    <t>Bell/Firebase/no-op and outbox row agree</t>
  </si>
  <si>
    <t>MANUAL CAUSAL PARTIAL</t>
  </si>
  <si>
    <t>Outbox tests</t>
  </si>
  <si>
    <t>Capture notification-outbox Job Detail pending-to-terminal/retained behavior and health state</t>
  </si>
  <si>
    <t>STAT-012 browser evidence showed the shared outbox flow 228-&gt;229 and exactly one matching Nova bell. Direct read-only evidence showed the logical outbox pending because Firebase delivery is inactive and the notification-outbox job retained pending work as documented. The dedicated outbox Job Detail lifecycle and failure/recovery UI states remain pending.</t>
  </si>
  <si>
    <t>MON-013</t>
  </si>
  <si>
    <t>Gap check</t>
  </si>
  <si>
    <t>Monitoring Jobs</t>
  </si>
  <si>
    <t>Run each job with non-empty fixture</t>
  </si>
  <si>
    <t>Per job matrix</t>
  </si>
  <si>
    <t>DELTA: scheduler start and terminal audit change once per real run</t>
  </si>
  <si>
    <t>Every runState/history must change</t>
  </si>
  <si>
    <t>Every domain oracle must pass independently</t>
  </si>
  <si>
    <t>NOT RUN as cross-surface pack</t>
  </si>
  <si>
    <t>Lifecycle registry/projection tests; 4 real zero-work scheduler runs observed 2026-08-04</t>
  </si>
  <si>
    <t>Capture browser delta and independent domain oracle</t>
  </si>
  <si>
    <t>Universal job-run telemetry is wired; manual all-job cross-surface pack remains</t>
  </si>
  <si>
    <t>MON-014</t>
  </si>
  <si>
    <t>Save and revert one parameter section</t>
  </si>
  <si>
    <t>DELTA Jobs config once per persisted version; recompute/outbox should transition</t>
  </si>
  <si>
    <t>Section-dependent</t>
  </si>
  <si>
    <t>Affinity recompute pending/run changes</t>
  </si>
  <si>
    <t>New config version and admin notification</t>
  </si>
  <si>
    <t>Params exact-once service tests; Params HTTP E2E</t>
  </si>
  <si>
    <t>Record save and revert as separate browser deltas</t>
  </si>
  <si>
    <t>admin.params.changed now emits on successful save/revert and not on no-op revert</t>
  </si>
  <si>
    <t>GRAPH-002</t>
  </si>
  <si>
    <t>Interaction</t>
  </si>
  <si>
    <t>Select forest/component</t>
  </si>
  <si>
    <t>Component expands with bounded lazy load</t>
  </si>
  <si>
    <t>Controller/service forest tests</t>
  </si>
  <si>
    <t>Compare component counts and member set</t>
  </si>
  <si>
    <t>GRAPH-003</t>
  </si>
  <si>
    <t>Select member; depth 1 to 3</t>
  </si>
  <si>
    <t>Panel and strongest connections match; depths are bounded supersets</t>
  </si>
  <si>
    <t>Profile detail visible</t>
  </si>
  <si>
    <t>Neighborhood service tests</t>
  </si>
  <si>
    <t>Capture each depth and return path</t>
  </si>
  <si>
    <t>GRAPH-004</t>
  </si>
  <si>
    <t>Change min/max link weight</t>
  </si>
  <si>
    <t>Graph summary is not live-filtered: X</t>
  </si>
  <si>
    <t>Only in-range edges; isolated members retained</t>
  </si>
  <si>
    <t>Weight-range service tests</t>
  </si>
  <si>
    <t>Check boundaries and visible/total labels</t>
  </si>
  <si>
    <t>P1 70</t>
  </si>
  <si>
    <t>GRAPH-005</t>
  </si>
  <si>
    <t>Pan rotate zoom arrow-pan reset</t>
  </si>
  <si>
    <t>Controls/progress work; reset returns overview</t>
  </si>
  <si>
    <t>No clipping at popup boundary</t>
  </si>
  <si>
    <t>Frontend behavior only</t>
  </si>
  <si>
    <t>Desktop plus narrow viewport evidence</t>
  </si>
  <si>
    <t>P2 52</t>
  </si>
  <si>
    <t>GRAPH-006</t>
  </si>
  <si>
    <t>Change controlled edge input and recompute</t>
  </si>
  <si>
    <t>Graph summary direction agrees after refresh</t>
  </si>
  <si>
    <t>Matching queue transition</t>
  </si>
  <si>
    <t>Expected edge/weight/component changes; unrelated edge stable</t>
  </si>
  <si>
    <t>Affinity/discovery projection correct</t>
  </si>
  <si>
    <t>Graph and params tests</t>
  </si>
  <si>
    <t>One changed pair plus one control pair</t>
  </si>
  <si>
    <t>GRAPH-007</t>
  </si>
  <si>
    <t>Scale</t>
  </si>
  <si>
    <t>Large/disconnected graph</t>
  </si>
  <si>
    <t>Forest paging/tiles/neighborhood bounded; isolated users visible</t>
  </si>
  <si>
    <t>No request loop or blank canvas</t>
  </si>
  <si>
    <t>Tile/forest service tests</t>
  </si>
  <si>
    <t>Capture network requests and final totals</t>
  </si>
  <si>
    <t>PARAM-001</t>
  </si>
  <si>
    <t>Persistence</t>
  </si>
  <si>
    <t>All Parameters</t>
  </si>
  <si>
    <t>Save/reopen/history/revert one safe value per section</t>
  </si>
  <si>
    <t>Config delta plus recompute/outbox transitions</t>
  </si>
  <si>
    <t>Exact value, new version, actor/date/summary, notification, non-destructive revert</t>
  </si>
  <si>
    <t>AdminParamsService exact-once tests; notification HTTP E2E</t>
  </si>
  <si>
    <t>Execute for every section and restore baseline</t>
  </si>
  <si>
    <t>PARAM-010</t>
  </si>
  <si>
    <t>Functional</t>
  </si>
  <si>
    <t>Matching Parameters</t>
  </si>
  <si>
    <t>Change one rating/evidence multiplier</t>
  </si>
  <si>
    <t>Graph summary changes after recompute</t>
  </si>
  <si>
    <t>Config delta and Matching queue</t>
  </si>
  <si>
    <t>User edge/score changes predicted direction</t>
  </si>
  <si>
    <t>Affinity output changes only for fixture signal</t>
  </si>
  <si>
    <t>Calculation/service tests</t>
  </si>
  <si>
    <t>Use fixture pair with one differing signal</t>
  </si>
  <si>
    <t>PARAM-011</t>
  </si>
  <si>
    <t>Profile Parameters</t>
  </si>
  <si>
    <t>Change one profile/trait or absolute-user weight</t>
  </si>
  <si>
    <t>Graph summary may change after recompute</t>
  </si>
  <si>
    <t>User affinity/order changes predictably</t>
  </si>
  <si>
    <t>Profile/affinity ordering correct</t>
  </si>
  <si>
    <t>Absolute affinity tests</t>
  </si>
  <si>
    <t>Use two controlled profiles and a control pair</t>
  </si>
  <si>
    <t>PARAM-012</t>
  </si>
  <si>
    <t>Event Parameters</t>
  </si>
  <si>
    <t>Change one event absolute/boost weight</t>
  </si>
  <si>
    <t>Config delta and Matching queue from generic save</t>
  </si>
  <si>
    <t>Affinity recompute is enqueued generically</t>
  </si>
  <si>
    <t>Event recommendation/rank changes predicted direction</t>
  </si>
  <si>
    <t>Absolute event affinity tests</t>
  </si>
  <si>
    <t>Use two otherwise controlled events</t>
  </si>
  <si>
    <t>Graph explorer contains user edges, not event ranking</t>
  </si>
  <si>
    <t>PARAM-013</t>
  </si>
  <si>
    <t>Asset Parameters</t>
  </si>
  <si>
    <t>Change one asset absolute/boost weight</t>
  </si>
  <si>
    <t>Asset recommendation/rank changes predicted direction</t>
  </si>
  <si>
    <t>Absolute asset affinity tests</t>
  </si>
  <si>
    <t>Use two otherwise controlled assets</t>
  </si>
  <si>
    <t>Graph explorer contains user edges, not asset ranking</t>
  </si>
  <si>
    <t>PARAM-014</t>
  </si>
  <si>
    <t>Discovery Parameters</t>
  </si>
  <si>
    <t>Change distance weight/max/strategy</t>
  </si>
  <si>
    <t>Distance-derived user edge changes predictably</t>
  </si>
  <si>
    <t>Discovery boundary/ranking correct</t>
  </si>
  <si>
    <t>Affinity calculation tests</t>
  </si>
  <si>
    <t>Use users on opposite sides of distance boundary</t>
  </si>
  <si>
    <t>PARAM-015</t>
  </si>
  <si>
    <t>Notification Parameters</t>
  </si>
  <si>
    <t>Change multicast threshold and revert</t>
  </si>
  <si>
    <t>Config delta plus outbox strategy/count transition</t>
  </si>
  <si>
    <t>Direct vs multicast delivery changes and restores</t>
  </si>
  <si>
    <t>AUTO COVERAGE; MANUAL NOT RUN</t>
  </si>
  <si>
    <t>BackendAdminParamsRealtimeE2ETest; exact-once telemetry tests</t>
  </si>
  <si>
    <t>Repeat through Parameters UI and inspect history</t>
  </si>
  <si>
    <t>HTTP E2E already proves save, consumer, history and revert</t>
  </si>
  <si>
    <t>PARAM-016</t>
  </si>
  <si>
    <t>Jobs Parameters</t>
  </si>
  <si>
    <t>Change one debounce/batch/lease value safely</t>
  </si>
  <si>
    <t>Config delta plus affected worker behavior</t>
  </si>
  <si>
    <t>Affected worker cadence/batch behavior</t>
  </si>
  <si>
    <t>Persist/reopen/revert; no hidden hook</t>
  </si>
  <si>
    <t>Service/config tests</t>
  </si>
  <si>
    <t>Use isolated env; do not shorten shared scheduler globally</t>
  </si>
  <si>
    <t>PARAM-017</t>
  </si>
  <si>
    <t>Validation</t>
  </si>
  <si>
    <t>Invalid bounds/text and cancel</t>
  </si>
  <si>
    <t>No new run on cancel/failed save</t>
  </si>
  <si>
    <t>No version/task/notification on cancel or rejected save</t>
  </si>
  <si>
    <t>Server bounds tests partial</t>
  </si>
  <si>
    <t>Test each value type once</t>
  </si>
  <si>
    <t>JOB-GRAPH-LAYOUT</t>
  </si>
  <si>
    <t>affinity-graph-layout</t>
  </si>
  <si>
    <t>Real daily worker materializes the current Admin Affinity Graph</t>
  </si>
  <si>
    <t>DELTA new layoutVersion and matching node/edge/forest totals</t>
  </si>
  <si>
    <t>Focused worker and graph materialization tests; real dev scheduler smoke</t>
  </si>
  <si>
    <t>Hold the daily rule, shorten the persisted schedule, capture the scheduled run, then reopen the graph</t>
  </si>
  <si>
    <t>The same worker and persisted one-day rule run in demo_db and myscoutee_db; the manual helper never calls the rebuild endpoint. Non-manual runtime evidence on 2026-08-04: automatic demo seed sync imported the tenth rule and the real scheduler completed it in 231 ms, publishing one version with 54 nodes, 1126 edges and 4 forests whose stored counts matched the layout header. Manual screenshot checkpoints remain NOT RUN.</t>
  </si>
  <si>
    <t>STATIC-SMOKE</t>
  </si>
  <si>
    <t>UI smoke</t>
  </si>
  <si>
    <t>Other admin inputs</t>
  </si>
  <si>
    <t>Cancel/save/reopen/validation/read-only/error/mobile/keyboard</t>
  </si>
  <si>
    <t>X unless screen documents a statistic</t>
  </si>
  <si>
    <t>X unless action emits documented telemetry</t>
  </si>
  <si>
    <t>X unless job/config input</t>
  </si>
  <si>
    <t>Exact persistence and validation only</t>
  </si>
  <si>
    <t>NOT RUN / not recorded</t>
  </si>
  <si>
    <t>Form/component tests vary</t>
  </si>
  <si>
    <t>Run once per input type, restore original</t>
  </si>
  <si>
    <t>A static form pass is not downstream functional proof</t>
  </si>
  <si>
    <t>P3 38</t>
  </si>
  <si>
    <t>OPERATOR-FIREBASE-001</t>
  </si>
  <si>
    <t>Operator authentication</t>
  </si>
  <si>
    <t>Verify and activate Firebase config, observe login mode, then roll back</t>
  </si>
  <si>
    <t>DELTA operator configuration/capability only</t>
  </si>
  <si>
    <t>Notification delivery becomes conditional on verified Firebase capability</t>
  </si>
  <si>
    <t>Fresh session opens Firebase login; failed activation and rollback preserve recovery</t>
  </si>
  <si>
    <t>Operator configuration/security tests partial</t>
  </si>
  <si>
    <t>Use disposable config, fresh session and masked evidence</t>
  </si>
  <si>
    <t>Provider activation is not a demo-login form smoke test</t>
  </si>
  <si>
    <t>OPERATOR-PAYMENT-001</t>
  </si>
  <si>
    <t>Operator payments</t>
  </si>
  <si>
    <t>Configure, validate, rotate and revoke a server-held payment-provider token</t>
  </si>
  <si>
    <t>DELTA immutable operator configuration/security audit; raw token X</t>
  </si>
  <si>
    <t>X unless a named provider-verification job is implemented; ordinary validation is a direct request</t>
  </si>
  <si>
    <t>Only masked provider/state/fingerprint metadata returns after save; invalid validation preserves the prior active revision; rotation changes the active revision and revoke makes payment operations fail closed</t>
  </si>
  <si>
    <t>DESIGN CAPTURED / NOT IMPLEMENTED</t>
  </si>
  <si>
    <t>No implementation coverage yet; requires encrypted secret storage, provider validation, revision activation and secret-safe audit coverage</t>
  </si>
  <si>
    <t>Use disposable first and second tokens; capture masked metadata, failed validation no-op, active revision switch, revoke denial and absence of either raw token from DTO/cache/log/audit</t>
  </si>
  <si>
    <t>Future operator-security domain. The raw payment token is never frontend state and never evidence; recovery must not expose it.</t>
  </si>
  <si>
    <t>OPERATOR-PAYMENT-IP-001</t>
  </si>
  <si>
    <t>Operator payment access</t>
  </si>
  <si>
    <t>Restrict payment-token management and payment operations to a server-side trusted-client-IP allowlist</t>
  </si>
  <si>
    <t>DELTA immutable allow/deny security audit with resolved IP and policy revision</t>
  </si>
  <si>
    <t>With policy 127.0.0.1, the same-host trusted resolved client is accepted and a nonmatching client is denied before token/provider access; spoofed forwarding headers, malformed IPs and an empty effective allowlist fail closed; restoring policy changes access exactly once</t>
  </si>
  <si>
    <t>No implementation coverage yet; requires authoritative IP/CIDR policy, trusted-proxy resolution, backend enforcement and audit coverage</t>
  </si>
  <si>
    <t>Configure 127.0.0.1 in a disposable deployment; compare same-host and separate-machine/direct-call requests, spoofed X-Forwarded-For and malformed input, then restore the prior policy</t>
  </si>
  <si>
    <t>Backend enforcement is required; frontend hiding is not PASS evidence. Audit actor/resolved IP/outcome but never the raw payment token.</t>
  </si>
  <si>
    <t>OPERATOR-BOOTSTRAP-001</t>
  </si>
  <si>
    <t>Operator bootstrap</t>
  </si>
  <si>
    <t>Use one disposable bootstrap credential once and retry it</t>
  </si>
  <si>
    <t>DELTA operator session and consumed/rotated authority</t>
  </si>
  <si>
    <t>Replay and ordinary-user access fail closed without exposing the bootstrap secret</t>
  </si>
  <si>
    <t>Operator bootstrap implementation exists; single-use recovery flow not manually run</t>
  </si>
  <si>
    <t>Capture masked audit and direct denial; never record the raw credential</t>
  </si>
  <si>
    <t>Recovery boundary must remain reachable after consumption</t>
  </si>
  <si>
    <t>OPERATOR-CONFIG-001</t>
  </si>
  <si>
    <t>Operator configuration</t>
  </si>
  <si>
    <t>Add or reorder one admin email, reopen, try invalid input and restore</t>
  </si>
  <si>
    <t>DELTA one normalized configuration revision</t>
  </si>
  <si>
    <t>Role access follows active unique email list; invalid save preserves prior revision atomically</t>
  </si>
  <si>
    <t>Operator configuration tests partial; live three-role observation not run</t>
  </si>
  <si>
    <t>Compare saved/reopened list, direct role access and revision before/after invalid input</t>
  </si>
  <si>
    <t>Restore the exact prior list</t>
  </si>
  <si>
    <t>OPERATOR-BRANDING-001</t>
  </si>
  <si>
    <t>Operator branding</t>
  </si>
  <si>
    <t>Change branding once and observe already-open and fresh clients</t>
  </si>
  <si>
    <t>DELTA public configuration revision</t>
  </si>
  <si>
    <t>Header, entry and PWA branding converge without mixed cache revision; rollback is exact</t>
  </si>
  <si>
    <t>Branding/config code exists; cross-client cache flow not run</t>
  </si>
  <si>
    <t>Compare operator revision, open member/admin views, fresh load and restored revision</t>
  </si>
  <si>
    <t>Use at most three identities; one open consumer may be reused</t>
  </si>
  <si>
    <t>OPERATOR-PRIVACY-001</t>
  </si>
  <si>
    <t>Operator public configuration</t>
  </si>
  <si>
    <t>Save valid privacy controller/contact values, then invalid partial input</t>
  </si>
  <si>
    <t>DELTA valid public configuration revision only</t>
  </si>
  <si>
    <t>Public config exposes valid pair; invalid save is atomic and unrelated branding stays unchanged</t>
  </si>
  <si>
    <t>Operator config validation coverage partial; full UI/server oracle not run</t>
  </si>
  <si>
    <t>Compare public DTO and persisted active revision before and after invalid input</t>
  </si>
  <si>
    <t>No operator secret may enter the public DTO</t>
  </si>
  <si>
    <t>OPERATOR-SOCIAL-001</t>
  </si>
  <si>
    <t>Add, reorder and remove one HTTPS social link while trying an unsafe scheme</t>
  </si>
  <si>
    <t>DELTA normalized ordered social-link revision</t>
  </si>
  <si>
    <t>Valid links preserve declared order; unsafe URL is rejected server-side and restore is exact</t>
  </si>
  <si>
    <t>Social configuration coverage partial; manual save/reopen not run</t>
  </si>
  <si>
    <t>Compare operator editor, public DTO, direct invalid call and restored list</t>
  </si>
  <si>
    <t>Frontend validation alone is not evidence</t>
  </si>
  <si>
    <t>OPERATOR-FIREBASE-002</t>
  </si>
  <si>
    <t>Operator Firebase</t>
  </si>
  <si>
    <t>Change Firebase config, fail one capability test and attempt activation</t>
  </si>
  <si>
    <t>DELTA candidate/tested/active revision state</t>
  </si>
  <si>
    <t>CONDITIONAL capability-test job only</t>
  </si>
  <si>
    <t>Changed config clears old verification; failed activation leaves current login/messaging runtime untouched</t>
  </si>
  <si>
    <t>Operator Firebase foundation exists; failed-revision activation flow not run</t>
  </si>
  <si>
    <t>Compare candidate and active revision, capability result, fresh login and unchanged runtime</t>
  </si>
  <si>
    <t>Inputs and credentials remain masked/write-only</t>
  </si>
  <si>
    <t>OPERATOR-FIREBASE-003</t>
  </si>
  <si>
    <t>Run messaging capability test with one real disposable device token</t>
  </si>
  <si>
    <t>DELTA tested revision/time and one target delivery</t>
  </si>
  <si>
    <t>DELTA one capability-test delivery</t>
  </si>
  <si>
    <t>One message reaches only target; token is absent from DTO, logs and audit</t>
  </si>
  <si>
    <t>Firebase messaging implementation exists; real-device capability run pending</t>
  </si>
  <si>
    <t>Use ADB/device and backend outbox/provider oracle; inspect secret-safe evidence</t>
  </si>
  <si>
    <t>Do not record the raw token in QA files</t>
  </si>
  <si>
    <t>OPERATOR-REGISTRY-001</t>
  </si>
  <si>
    <t>Expansion checkpoint CP05</t>
  </si>
  <si>
    <t>Operator registry</t>
  </si>
  <si>
    <t>Inspect and explicitly confirm one registry endpoint identity</t>
  </si>
  <si>
    <t>DELTA candidate inspection then pinned endpoint identity</t>
  </si>
  <si>
    <t>Inspection is read-only; changed endpoint/key/version requires a new explicit decision</t>
  </si>
  <si>
    <t>Registry inspection/identity code and tests exist; operator UI flow not run</t>
  </si>
  <si>
    <t>Compare candidate metadata, zero writes before confirm and pinned identity after confirm</t>
  </si>
  <si>
    <t>Never infer trust from URL reachability alone</t>
  </si>
  <si>
    <t>OPERATOR-REGISTRY-002</t>
  </si>
  <si>
    <t>Register deployment with the local Go registry</t>
  </si>
  <si>
    <t>DELTA signed deployment membership and receipt</t>
  </si>
  <si>
    <t>CONDITIONAL registry durable operation</t>
  </si>
  <si>
    <t>One membership exists and both sides agree without private-key leakage</t>
  </si>
  <si>
    <t>Registry server and backend protocol coverage exist; integrated dev-stack flow not run</t>
  </si>
  <si>
    <t>Compare local identity, signed request/receipt and registry membership through secret-safe fields</t>
  </si>
  <si>
    <t>Registry may be in Compose later but is not started during this audit</t>
  </si>
  <si>
    <t>OPERATOR-REGISTRY-003</t>
  </si>
  <si>
    <t>Operator registry retry</t>
  </si>
  <si>
    <t>Fail registration delivery, then retry once</t>
  </si>
  <si>
    <t>DELTA failed attempt then one completed receipt</t>
  </si>
  <si>
    <t>DELTA durable retry with same logical identity</t>
  </si>
  <si>
    <t>Retry resumes without duplicate deployment or group membership</t>
  </si>
  <si>
    <t>Durable registry operation coverage exists; failure/retry runtime not run</t>
  </si>
  <si>
    <t>Compare attempt history, idempotency identity and registry member count</t>
  </si>
  <si>
    <t>Do not recreate deployment identity as a retry mechanism</t>
  </si>
  <si>
    <t>OPERATOR-REGISTRY-004</t>
  </si>
  <si>
    <t>Operator registry replacement</t>
  </si>
  <si>
    <t>Replace or disconnect a binding with one injected failure</t>
  </si>
  <si>
    <t>DELTA guarded binding transition</t>
  </si>
  <si>
    <t>DELTA replacement/disconnect operation</t>
  </si>
  <si>
    <t>Failure reports retained/disconnected truth and never invents local success</t>
  </si>
  <si>
    <t>Registry replacement coverage partial; integrated failure path not run</t>
  </si>
  <si>
    <t>Compare local binding, remote membership and durable receipt after success and failure</t>
  </si>
  <si>
    <t>Use disposable binding and preserve primary identity</t>
  </si>
  <si>
    <t>OPERATOR-CLAIM-001</t>
  </si>
  <si>
    <t>Registry claims</t>
  </si>
  <si>
    <t>Create and withdraw one claim before redemption</t>
  </si>
  <si>
    <t>DELTA claim state, expiry and audit</t>
  </si>
  <si>
    <t>Withdrawn or expired claim cannot be redeemed and replay is idempotent</t>
  </si>
  <si>
    <t>Claim lifecycle implementation/tests exist; operator UI flow not run</t>
  </si>
  <si>
    <t>Compare claim record and direct redeem denial after withdrawal</t>
  </si>
  <si>
    <t>One bounded pre-redemption lifecycle</t>
  </si>
  <si>
    <t>OPERATOR-CLAIM-002</t>
  </si>
  <si>
    <t>Registry client tokens</t>
  </si>
  <si>
    <t>Issue, use and revoke one scoped client token</t>
  </si>
  <si>
    <t>DELTA verifier/commitment and revoke audit</t>
  </si>
  <si>
    <t>Raw token is shown once, grants only scope and immediately stops authorizing after revoke</t>
  </si>
  <si>
    <t>Registry token security coverage exists; complete operator/manual flow not run</t>
  </si>
  <si>
    <t>Capture only token fingerprint; compare scoped request and post-revoke direct denial</t>
  </si>
  <si>
    <t>Never store raw token in DTO, database evidence or log</t>
  </si>
  <si>
    <t>OPERATOR-CLAIM-003</t>
  </si>
  <si>
    <t>Registry group membership</t>
  </si>
  <si>
    <t>Redeem a valid claim into a group, then revoke the link</t>
  </si>
  <si>
    <t>DELTA group membership and signed receipt</t>
  </si>
  <si>
    <t>CONDITIONAL registry operation</t>
  </si>
  <si>
    <t>Replay is idempotent and unlink preserves unrelated deployment identity</t>
  </si>
  <si>
    <t>Group claim coverage exists; end-to-end operator flow not run</t>
  </si>
  <si>
    <t>Compare deployment/group membership on both sides and identity after unlink</t>
  </si>
  <si>
    <t>Use one disposable group/claim</t>
  </si>
  <si>
    <t>OPERATOR-DEPLOYMENT-STATE-001</t>
  </si>
  <si>
    <t>Deployment activation</t>
  </si>
  <si>
    <t>Deactivate and reactivate the registered deployment</t>
  </si>
  <si>
    <t>DELTA registry and local deployment state</t>
  </si>
  <si>
    <t>CONDITIONAL state-propagation work</t>
  </si>
  <si>
    <t>Consumer/admin fail closed while operator recovery remains available; reactivation converges once</t>
  </si>
  <si>
    <t>Deployment state gates exist; live three-role propagation not run</t>
  </si>
  <si>
    <t>Compare direct consumer/admin denial, operator access and both persisted states</t>
  </si>
  <si>
    <t>Do not conflate deployment inactive with browser offline mode</t>
  </si>
  <si>
    <t>OPERATOR-LEADERBOARD-001</t>
  </si>
  <si>
    <t>Registry leaderboard</t>
  </si>
  <si>
    <t>Load groups and one deployment page after controlled reports</t>
  </si>
  <si>
    <t>DELTA ranking read only</t>
  </si>
  <si>
    <t>INDIRECT registry ranking graph</t>
  </si>
  <si>
    <t>Ranking, paging and membership agree without leaking private deployment data</t>
  </si>
  <si>
    <t>Registry leaderboard endpoints/tests exist; controlled integrated data flow not run</t>
  </si>
  <si>
    <t>Compare source reports, ranking order, paging and repeated side-effect-free reads</t>
  </si>
  <si>
    <t>No report write is allowed from leaderboard load</t>
  </si>
  <si>
    <t>OPERATOR-ANNOUNCEMENT-001</t>
  </si>
  <si>
    <t>Registry announcements</t>
  </si>
  <si>
    <t>Publish and receive one controlled registry announcement</t>
  </si>
  <si>
    <t>INDIRECT announcement count</t>
  </si>
  <si>
    <t>DELTA cursor/acknowledgement and local receipt</t>
  </si>
  <si>
    <t>CONDITIONAL registry delivery task</t>
  </si>
  <si>
    <t>Eligible deployment receives exactly once in order without duplicate local notification</t>
  </si>
  <si>
    <t>Announcement infrastructure exists; multi-deployment integrated run not performed</t>
  </si>
  <si>
    <t>Compare registry sequence/cursor, local receipt and unaffected control deployment</t>
  </si>
  <si>
    <t>Acknowledgement must not hide delivery from another deployment</t>
  </si>
  <si>
    <t>OPERATOR-COMMUNITY-001</t>
  </si>
  <si>
    <t>Community providers</t>
  </si>
  <si>
    <t>Load available providers with one unavailable/malformed control</t>
  </si>
  <si>
    <t>DELTA compatible provider discovery only</t>
  </si>
  <si>
    <t>Only registry-advertised compatible providers appear and malformed metadata cannot activate</t>
  </si>
  <si>
    <t>Provider discovery coverage partial; operator activation flow not run</t>
  </si>
  <si>
    <t>Compare registry advertisements, compatibility filter, UI list and direct activation denial</t>
  </si>
  <si>
    <t>Payment provider routing remains deployment-local after selection</t>
  </si>
  <si>
    <t>OPERATOR-TLS-001</t>
  </si>
  <si>
    <t>Expansion checkpoint CP06</t>
  </si>
  <si>
    <t>Operator TLS</t>
  </si>
  <si>
    <t>Save emulated domain/contact/challenge config and validate it</t>
  </si>
  <si>
    <t>DELTA normalized candidate revision</t>
  </si>
  <si>
    <t>CONDITIONAL validation job only</t>
  </si>
  <si>
    <t>Invalid host/contact/challenge preserves prior active revision; no private key is exposed</t>
  </si>
  <si>
    <t>TLS operator configuration coverage partial; emulated validation not run</t>
  </si>
  <si>
    <t>Compare candidate, active revision, direct invalid call and secret-safe DTO/audit</t>
  </si>
  <si>
    <t>Use disposable local challenge configuration</t>
  </si>
  <si>
    <t>OPERATOR-TLS-002</t>
  </si>
  <si>
    <t>Run issue and renewal through the local challenge boundary</t>
  </si>
  <si>
    <t>DELTA certificate generation and active generation</t>
  </si>
  <si>
    <t>DELTA real TLS worker</t>
  </si>
  <si>
    <t>Valid cert/key pair is promoted once, nginx uses it and renewal is idempotent</t>
  </si>
  <si>
    <t>TLS worker/package foundation exists; issue/renew emulation not run</t>
  </si>
  <si>
    <t>Compare job events, certificate chain/generation, nginx presentation and file permissions</t>
  </si>
  <si>
    <t>Requires the user-authorized runtime stack later</t>
  </si>
  <si>
    <t>OPERATOR-TLS-003</t>
  </si>
  <si>
    <t>Operator TLS recovery</t>
  </si>
  <si>
    <t>Fail issuance or renewal after staging new material</t>
  </si>
  <si>
    <t>DELTA failed durable job without active-generation change</t>
  </si>
  <si>
    <t>DELTA resumable TLS worker</t>
  </si>
  <si>
    <t>Current valid cert stays active and partial files are not promoted; retry resumes safely</t>
  </si>
  <si>
    <t>Failure-recovery coverage partial; integrated TLS fault not run</t>
  </si>
  <si>
    <t>Compare active certificate before/after failure, staged files, audit and retry generation</t>
  </si>
  <si>
    <t>ACME/account secrets remain absent from evidence</t>
  </si>
  <si>
    <t>OPERATOR-UPDATE-001</t>
  </si>
  <si>
    <t>Operator update</t>
  </si>
  <si>
    <t>Offer and apply one signed compatible release</t>
  </si>
  <si>
    <t>DELTA verified release and active version</t>
  </si>
  <si>
    <t>DELTA durable update job</t>
  </si>
  <si>
    <t>Signature/fingerprint/version verify before replacement and active version changes once</t>
  </si>
  <si>
    <t>Update/package automation exists; disposable signed upgrade not run in this audit</t>
  </si>
  <si>
    <t>Compare preflight, job event sequence, active artifact/version and restart recovery</t>
  </si>
  <si>
    <t>Never apply to the live development checkout</t>
  </si>
  <si>
    <t>OPERATOR-UPDATE-002</t>
  </si>
  <si>
    <t>Operator update security</t>
  </si>
  <si>
    <t>Offer invalid-signature, corrupt and downgrade releases</t>
  </si>
  <si>
    <t>DELTA rejected attempt/audit only</t>
  </si>
  <si>
    <t>DELTA failed update job before activation</t>
  </si>
  <si>
    <t>Every variant fails before activation; services/data remain intact and no signing secret leaks</t>
  </si>
  <si>
    <t>Package verification tests exist; complete operator runtime branches not run</t>
  </si>
  <si>
    <t>Compare active artifact hash/version and job failure phase for independent variants</t>
  </si>
  <si>
    <t>Short variants share one preactivation rejection contract</t>
  </si>
  <si>
    <t>OPERATOR-UPDATE-003</t>
  </si>
  <si>
    <t>Operator update recovery</t>
  </si>
  <si>
    <t>Interrupt update worker and reconnect to job events</t>
  </si>
  <si>
    <t>DELTA durable phase/event cursor</t>
  </si>
  <si>
    <t>DELTA resumed update operation</t>
  </si>
  <si>
    <t>Worker resumes without double extraction/restart and UI reconstructs terminal truth</t>
  </si>
  <si>
    <t>Durable job/event-stream foundation exists; interruption test not run</t>
  </si>
  <si>
    <t>Compare operation identity, ordered events, filesystem generation and process restart count</t>
  </si>
  <si>
    <t>Disposable target only</t>
  </si>
  <si>
    <t>OPERATOR-REVENUE-001</t>
  </si>
  <si>
    <t>Expansion checkpoint CP07</t>
  </si>
  <si>
    <t>Operator revenue</t>
  </si>
  <si>
    <t>Synchronize one known captured-payment set</t>
  </si>
  <si>
    <t>DELTA exact provider/period/currency totals</t>
  </si>
  <si>
    <t>DELTA immutable revenue report revision</t>
  </si>
  <si>
    <t>DELTA revenue synchronization job</t>
  </si>
  <si>
    <t>Captured payments aggregate once; authorized, released, dummy and audit revisions are excluded</t>
  </si>
  <si>
    <t>Revenue reporting implementation/tests partial; payment-integrated set not run</t>
  </si>
  <si>
    <t>Reconcile source payments to report count/amount by provider, period and currency</t>
  </si>
  <si>
    <t>Do not infer revenue from authorization</t>
  </si>
  <si>
    <t>OPERATOR-REVENUE-002</t>
  </si>
  <si>
    <t>Operator revenue recovery</t>
  </si>
  <si>
    <t>Fail one revenue report and requeue it</t>
  </si>
  <si>
    <t>DELTA ordered attempts and terminal report</t>
  </si>
  <si>
    <t>DELTA one controlled requeue</t>
  </si>
  <si>
    <t>Failure is durable/secret-safe and requeue produces one reconstructible terminal attempt</t>
  </si>
  <si>
    <t>Admin job/revenue infrastructure exists; injected failure/requeue not run</t>
  </si>
  <si>
    <t>Compare job attempts, report versions and UI after reload</t>
  </si>
  <si>
    <t>Failed record stays immutable</t>
  </si>
  <si>
    <t>OPERATOR-REVENUE-003</t>
  </si>
  <si>
    <t>Payment settlement reconciliation</t>
  </si>
  <si>
    <t>Open settlements around one capture and one release</t>
  </si>
  <si>
    <t>DELTA provider/currency settlement totals</t>
  </si>
  <si>
    <t>DELTA reconciliation rows</t>
  </si>
  <si>
    <t>Payment, booking and provider operation IDs reconcile without mixing providers or currencies</t>
  </si>
  <si>
    <t>Settlement UI/reporting coverage partial; integrated payment data not run</t>
  </si>
  <si>
    <t>Trace one captured and one released payment end to end</t>
  </si>
  <si>
    <t>Authorization-only records remain outside captured totals</t>
  </si>
  <si>
    <t>OPERATOR-MEASUREMENT-001</t>
  </si>
  <si>
    <t>Operator measurement</t>
  </si>
  <si>
    <t>Synchronize one controlled measurement period</t>
  </si>
  <si>
    <t>DELTA exact period/count/value</t>
  </si>
  <si>
    <t>DELTA immutable measurement report</t>
  </si>
  <si>
    <t>INDIRECT leaderboard input</t>
  </si>
  <si>
    <t>DELTA measurement synchronization job</t>
  </si>
  <si>
    <t>Source period and inputs persist once; leaderboard reads do not rewrite report</t>
  </si>
  <si>
    <t>Measurement/registry coverage exists in parts; controlled integrated run not performed</t>
  </si>
  <si>
    <t>Compare source counters, report inputs, valuation and repeated leaderboard reads</t>
  </si>
  <si>
    <t>Use one closed measurement period</t>
  </si>
  <si>
    <t>OPERATOR-MEASUREMENT-002</t>
  </si>
  <si>
    <t>Operator measurement recovery</t>
  </si>
  <si>
    <t>Fail and requeue one measurement report</t>
  </si>
  <si>
    <t>DELTA immutable failed attempt and successful successor</t>
  </si>
  <si>
    <t>Attempt order is stable, duplicate work is prevented and success does not overwrite failure</t>
  </si>
  <si>
    <t>Admin job foundation exists; measurement failure/requeue not run</t>
  </si>
  <si>
    <t>Compare operation identities, attempts, report records and reload reconstruction</t>
  </si>
  <si>
    <t>No ad-hoc repair of the failed record</t>
  </si>
  <si>
    <t>PAYMENT-STRIPE-001</t>
  </si>
  <si>
    <t>Expansion checkpoint CP01</t>
  </si>
  <si>
    <t>Payment authorization</t>
  </si>
  <si>
    <t>Start one Stripe checkout with manual capture</t>
  </si>
  <si>
    <t>DELTA stable internal payment and provider operation</t>
  </si>
  <si>
    <t>Basket becomes pay/pending; membership, ticket and counters stay unchanged before authorization</t>
  </si>
  <si>
    <t>AUTOMATED FOUNDATION PASS; MANUAL NOT RUN</t>
  </si>
  <si>
    <t>Java focused payment tests and isolated simulator tests pass; Compose runtime not started</t>
  </si>
  <si>
    <t>Compare internal payment, Stripe PaymentIntent, basket and unchanged member/ticket projections before leaving checkout</t>
  </si>
  <si>
    <t>One producer action; stable payment and idempotency identity are the checkpoint boundary</t>
  </si>
  <si>
    <t>PAYMENT-STRIPE-002</t>
  </si>
  <si>
    <t>Approve one Stripe 3DS/manual-capture authorization</t>
  </si>
  <si>
    <t>INDIRECT membership after verified authorization</t>
  </si>
  <si>
    <t>DELTA signed callback, authorization and fulfillment</t>
  </si>
  <si>
    <t>DELTA durable fulfillment; capture remains X</t>
  </si>
  <si>
    <t>One authorized payment and one membership/ticket appear; amount remains uncaptured</t>
  </si>
  <si>
    <t>Java authorization/idempotency tests and simulator 3DS branch pass; runtime not started</t>
  </si>
  <si>
    <t>Prove signed requires_capture callback, exact-once fulfillment and duplicate-callback no-op</t>
  </si>
  <si>
    <t>Authorization is not capture; UI plus provider and persistence oracles are required</t>
  </si>
  <si>
    <t>PAYMENT-STRIPE-003</t>
  </si>
  <si>
    <t>Payment failure branches</t>
  </si>
  <si>
    <t>Run independent decline, cancel and timeout Stripe sessions</t>
  </si>
  <si>
    <t>DELTA exact failed or expired payment state</t>
  </si>
  <si>
    <t>No failed branch creates membership, ticket, counter or capture</t>
  </si>
  <si>
    <t>Simulator branch coverage exists; full MyScoutee runtime branches not run</t>
  </si>
  <si>
    <t>Use clean payment IDs for decline, cancel and timeout and compare unchanged booking projections</t>
  </si>
  <si>
    <t>The three short branches share one failure-isolation contract</t>
  </si>
  <si>
    <t>PAYMENT-STRIPE-WEBHOOK-001</t>
  </si>
  <si>
    <t>Payment callback security</t>
  </si>
  <si>
    <t>Send valid and invalid Stripe callback variants</t>
  </si>
  <si>
    <t>DELTA only for signed provider/amount/currency-matching callback</t>
  </si>
  <si>
    <t>CONDITIONAL exact durable operation for accepted callback only</t>
  </si>
  <si>
    <t>Rejected callbacks leave payment, booking and gateway-operation collections unchanged</t>
  </si>
  <si>
    <t>Signed webhook controller and focused Java coverage present; runtime HTTP not run</t>
  </si>
  <si>
    <t>Compare valid signature with invalid signature, wrong provider, amount and currency variants</t>
  </si>
  <si>
    <t>Backend validation is authoritative; simulator controls are not production trust</t>
  </si>
  <si>
    <t>PAYMENT-STRIPE-WEBHOOK-002</t>
  </si>
  <si>
    <t>Payment callback ordering</t>
  </si>
  <si>
    <t>Replay an accepted Stripe callback and deliver states out of order</t>
  </si>
  <si>
    <t>DELTA legal monotonic transition only</t>
  </si>
  <si>
    <t>DELTA at most one fulfillment/release/capture operation</t>
  </si>
  <si>
    <t>Terminal state never regresses and membership is not repeated</t>
  </si>
  <si>
    <t>Focused Java replay/repair tests pass; runtime callback sequence not run</t>
  </si>
  <si>
    <t>Match processed event IDs, transition history and operation idempotency keys after replay</t>
  </si>
  <si>
    <t>Replay may repair missing durable compensation but may not repeat the business write</t>
  </si>
  <si>
    <t>PAYMENT-BARION-001</t>
  </si>
  <si>
    <t>Start and authorize one Barion DelayedCapture payment; reject one malformed callback PaymentId</t>
  </si>
  <si>
    <t>DELTA callback PaymentId, PaymentState read and fulfillment</t>
  </si>
  <si>
    <t>Provider-neutral authorized state and one membership persist with Barion-local IDs; malformed ID fails before credential/network access</t>
  </si>
  <si>
    <t>Barion simulator and Java gateway foundation pass; malformed callback GUID guard focused test passes; Compose runtime not started</t>
  </si>
  <si>
    <t>Prove valid callback carries GUID PaymentId only, backend reads v4 state and replay fulfills once; malformed callback has zero provider traffic</t>
  </si>
  <si>
    <t>Stripe and Barion resource identities must remain isolated</t>
  </si>
  <si>
    <t>PAYMENT-BARION-002</t>
  </si>
  <si>
    <t>Payment challenge branches</t>
  </si>
  <si>
    <t>Run direct approval and bank-challenge approve/decline/cancel/timeout</t>
  </si>
  <si>
    <t>DELTA exact provider-neutral state per clean branch</t>
  </si>
  <si>
    <t>X unless authorization succeeds</t>
  </si>
  <si>
    <t>Only successful authorization can create membership/ticket; replay is idempotent</t>
  </si>
  <si>
    <t>Barion simulator branch tests pass; full browser/runtime flow not run</t>
  </si>
  <si>
    <t>Compare each clean branch against provider state and unchanged booking controls</t>
  </si>
  <si>
    <t>Short branches share one Barion challenge-routing contract</t>
  </si>
  <si>
    <t>PAYMENT-CAPTURE-001</t>
  </si>
  <si>
    <t>Expansion checkpoint CP02</t>
  </si>
  <si>
    <t>Payment settlement</t>
  </si>
  <si>
    <t>Cross event end for one fulfilled authorized booking; retry exact payload and probe changed amount under the same key</t>
  </si>
  <si>
    <t>INDIRECT captured revenue after settlement</t>
  </si>
  <si>
    <t>DELTA capture operation and terminal payment state</t>
  </si>
  <si>
    <t>DELTA real settlement worker exact once</t>
  </si>
  <si>
    <t>Exact authorized amount is captured once; retry/restart reuses operation identity and changed payload under that identity fails closed</t>
  </si>
  <si>
    <t>Settlement and durable gateway-operation idempotency/payload-conflict focused tests pass; runtime scheduler not run</t>
  </si>
  <si>
    <t>Compare event boundary, provider capture, payment status, exact retry and changed-payload denial</t>
  </si>
  <si>
    <t>Use the real worker when runtime execution is authorized</t>
  </si>
  <si>
    <t>PAYMENT-RELEASE-001</t>
  </si>
  <si>
    <t>Payment compensation</t>
  </si>
  <si>
    <t>Cancel one joined booking before capture</t>
  </si>
  <si>
    <t>DELTA cancelled booking plus pending/completed release</t>
  </si>
  <si>
    <t>DELTA durable provider release</t>
  </si>
  <si>
    <t>Uncaptured authorization is released; no refund record claims money was charged</t>
  </si>
  <si>
    <t>Focused cancellation and settlement release tests pass; runtime not run</t>
  </si>
  <si>
    <t>Compare booking cancellation, authorized payment, queued release and provider terminal state</t>
  </si>
  <si>
    <t>Cancellation and provider release are separate durable boundaries</t>
  </si>
  <si>
    <t>PAYMENT-COMPENSATE-001</t>
  </si>
  <si>
    <t>Make fulfillment fail after authorization</t>
  </si>
  <si>
    <t>DELTA fulfillment failure and release intent</t>
  </si>
  <si>
    <t>DELTA one durable release operation</t>
  </si>
  <si>
    <t>No membership/ticket appears; callback replay repairs queue work without retrying fulfillment</t>
  </si>
  <si>
    <t>PaymentAuthorizationCoordinator failure/replay tests pass</t>
  </si>
  <si>
    <t>Force one controlled last-place conflict and compare fulfillment and release records</t>
  </si>
  <si>
    <t>Failure must be persisted before callback acknowledgement</t>
  </si>
  <si>
    <t>PAYMENT-REPLACEMENT-001</t>
  </si>
  <si>
    <t>Cross-provider replacement</t>
  </si>
  <si>
    <t>Authorize a successor on another provider, transfer one place and release predecessor</t>
  </si>
  <si>
    <t>INDIRECT seat ownership</t>
  </si>
  <si>
    <t>DELTA predecessor/successor saga state</t>
  </si>
  <si>
    <t>DELTA successor authorization then predecessor release</t>
  </si>
  <si>
    <t>Exactly one seat transfers only after successor authorization; providers use only their own IDs</t>
  </si>
  <si>
    <t>BLOCKED / DESIGN GAP</t>
  </si>
  <si>
    <t>Provider-neutral fields exist; replacement saga and seat-transfer writer are not implemented</t>
  </si>
  <si>
    <t>Do not run until a durable successor-first replacement workflow exists</t>
  </si>
  <si>
    <t>Honest gap; not a failed manual result and not simulated as PASS</t>
  </si>
  <si>
    <t>PAYMENT-EXPIRY-001</t>
  </si>
  <si>
    <t>Long authorization lifetime</t>
  </si>
  <si>
    <t>Cross the provider hold window before event fulfillment</t>
  </si>
  <si>
    <t>DELTA expiry and reauthorization/setup state</t>
  </si>
  <si>
    <t>CONDITIONAL reauthorization worker</t>
  </si>
  <si>
    <t>Expired authorization cannot capture and the UI never claims an indefinite hold</t>
  </si>
  <si>
    <t>Setup/reauthorization scheduling beyond provider hold windows is not implemented</t>
  </si>
  <si>
    <t>Do not run until provider capability/window and reauthorization policy are explicit</t>
  </si>
  <si>
    <t>Honest product/design gap</t>
  </si>
  <si>
    <t>PAYMENT-PARTIAL-001</t>
  </si>
  <si>
    <t>Capture a smaller controlled amount, retry, then attempt over-capture</t>
  </si>
  <si>
    <t>INDIRECT exact captured revenue</t>
  </si>
  <si>
    <t>DELTA provider and internal captured amount</t>
  </si>
  <si>
    <t>DELTA exact-once partial capture</t>
  </si>
  <si>
    <t>Amount/currency agree; retry is a no-op and invalid or excessive capture fails closed</t>
  </si>
  <si>
    <t>Gateway abstraction supports amounts; complete partial-capture runtime contract not proven</t>
  </si>
  <si>
    <t>Compare provider operation, internal payment and settlement totals for every branch</t>
  </si>
  <si>
    <t>Use independent clean payment for the invalid branch</t>
  </si>
  <si>
    <t>PAYMENT-SIMULATOR-001</t>
  </si>
  <si>
    <t>Payment simulator durability</t>
  </si>
  <si>
    <t>Restart only the future simulator between authorization and callback replay</t>
  </si>
  <si>
    <t>DELTA SQLite-restored provider state and delivery audit</t>
  </si>
  <si>
    <t>Same idempotency key returns the same resource and changed payload conflicts after restart</t>
  </si>
  <si>
    <t>Isolated Go simulator tests pass; container restart and Compose not run</t>
  </si>
  <si>
    <t>When authorized, restart only simulator and compare SQLite resources, event order and replay</t>
  </si>
  <si>
    <t>Never restart or duplicate the main dev stack for this checkpoint</t>
  </si>
  <si>
    <t>PAYMENT-SIMULATOR-SEC-001</t>
  </si>
  <si>
    <t>Payment simulator security</t>
  </si>
  <si>
    <t>Compare dev and production-resolved payment configuration and protected test controls</t>
  </si>
  <si>
    <t>DELTA security denial audit only</t>
  </si>
  <si>
    <t>Simulator is dev-only, accepts test credentials, protects controls and production rejects custom API bases</t>
  </si>
  <si>
    <t>Endpoint resolver/security foundation and static Compose design present; production runtime not run</t>
  </si>
  <si>
    <t>Inspect resolved topology and direct unauthorized control calls without starting Compose now</t>
  </si>
  <si>
    <t>Production must not inherit simulator capability or endpoint switches</t>
  </si>
  <si>
    <t>PAYMENT-PROVIDER-ROUTING-001</t>
  </si>
  <si>
    <t>Payment provider routing</t>
  </si>
  <si>
    <t>Repeat equivalent checkout once per selected provider</t>
  </si>
  <si>
    <t>DELTA provider-specific resource and callback records</t>
  </si>
  <si>
    <t>CONDITIONAL provider-local durable operation</t>
  </si>
  <si>
    <t>UX remains provider-neutral and switching providers never reuses another provider's authorization</t>
  </si>
  <si>
    <t>Deployment payment routing focused tests pass; browser/runtime not run</t>
  </si>
  <si>
    <t>Compare two clean payments, selected provider, IDs, callbacks and operation keys</t>
  </si>
  <si>
    <t>Provider can differ between predecessor and successor but IDs never cross</t>
  </si>
  <si>
    <t>DEPLOY-EMU-001</t>
  </si>
  <si>
    <t>Deployment emulation</t>
  </si>
  <si>
    <t>Render dev and production Compose/config without starting services</t>
  </si>
  <si>
    <t>Dev resolves simulator/registry dependencies; production excludes simulator/dev endpoints and baked secrets</t>
  </si>
  <si>
    <t>Dev Compose static config previously passes; production parity/security review remains</t>
  </si>
  <si>
    <t>Run static config/schema/secret assertions only; do not start Compose during this audit</t>
  </si>
  <si>
    <t>User explicitly prohibited starting the heavy stack while away</t>
  </si>
  <si>
    <t>DEPLOY-INSTALL-001</t>
  </si>
  <si>
    <t>Deployment install</t>
  </si>
  <si>
    <t>Install versioned package on a disposable host analogue</t>
  </si>
  <si>
    <t>DELTA install inventory and deployment identity</t>
  </si>
  <si>
    <t>CONDITIONAL package/service setup</t>
  </si>
  <si>
    <t>Clean host reaches qualified health with correct ownership, unit, env/secrets split and identity</t>
  </si>
  <si>
    <t>Packaging scripts/tests exist; clean disposable installation not run</t>
  </si>
  <si>
    <t>Compare package manifest, users/permissions, systemd, identity and health from empty target</t>
  </si>
  <si>
    <t>Target must be isolated from live developer state</t>
  </si>
  <si>
    <t>DEPLOY-UPGRADE-001</t>
  </si>
  <si>
    <t>Deployment upgrade</t>
  </si>
  <si>
    <t>Apply a signed next release with one injected failure branch</t>
  </si>
  <si>
    <t>DELTA version, backup and rollback state</t>
  </si>
  <si>
    <t>DELTA package/update operations</t>
  </si>
  <si>
    <t>Preflight/backup precede mutation; success advances once and failure rolls back coherently</t>
  </si>
  <si>
    <t>Upgrade/rollback automation partial; disposable full sequence not run</t>
  </si>
  <si>
    <t>Compare binary/config/data/identity before, success and injected-failure rollback</t>
  </si>
  <si>
    <t>No destructive action against current workspace or live data</t>
  </si>
  <si>
    <t>DEPLOY-BACKUP-001</t>
  </si>
  <si>
    <t>Deployment backup and restore</t>
  </si>
  <si>
    <t>Back up Mongo, media, config and identity; restore into isolated target</t>
  </si>
  <si>
    <t>INDIRECT exact counts</t>
  </si>
  <si>
    <t>DELTA backup manifest and restore audit</t>
  </si>
  <si>
    <t>DELTA backup/restore operation</t>
  </si>
  <si>
    <t>Counts, selected hashes, ownership and identity match; source remains untouched</t>
  </si>
  <si>
    <t>Backup/package tooling exists; isolated full restore proof not run</t>
  </si>
  <si>
    <t>Compare manifest, collection/object hashes, permissions and registry identity on target</t>
  </si>
  <si>
    <t>Never restore over the live source</t>
  </si>
  <si>
    <t>DEPLOY-TLS-001</t>
  </si>
  <si>
    <t>Deployment HTTPS</t>
  </si>
  <si>
    <t>Exercise redirect, hostname, chain and renewal presentation</t>
  </si>
  <si>
    <t>DELTA served certificate generation</t>
  </si>
  <si>
    <t>Only intended routes/ports are public and renewed chain is served without mixed material</t>
  </si>
  <si>
    <t>Nginx/TLS configuration exists; disposable deployed boundary not run</t>
  </si>
  <si>
    <t>Probe HTTP/HTTPS, host mismatch, chain, safe redirects and active renewal serial</t>
  </si>
  <si>
    <t>Use emulated/local domain until a real domain exists</t>
  </si>
  <si>
    <t>DEPLOY-RESTART-001</t>
  </si>
  <si>
    <t>Deployment restart</t>
  </si>
  <si>
    <t>Restart disposable host/services in dependency order</t>
  </si>
  <si>
    <t>DELTA health, ownership and recovered task state</t>
  </si>
  <si>
    <t>INDIRECT persisted workers recover once</t>
  </si>
  <si>
    <t>Dependencies become healthy without duplicate workers; sessions/tasks follow documented policy</t>
  </si>
  <si>
    <t>Health/dependency configuration exists; reboot/restart proof not run</t>
  </si>
  <si>
    <t>Compare process/container ownership, health, locks and persisted tasks before/after</t>
  </si>
  <si>
    <t>Never start an offspring beside an existing owner process</t>
  </si>
  <si>
    <t>DEPLOY-RESOURCE-001</t>
  </si>
  <si>
    <t>Deployment resilience</t>
  </si>
  <si>
    <t>Inject low disk, low memory and one unavailable dependency independently</t>
  </si>
  <si>
    <t>DELTA honest health/diagnostic state</t>
  </si>
  <si>
    <t>CONDITIONAL bounded retry only</t>
  </si>
  <si>
    <t>Writes fail safely, owner is identifiable, no retry storm/second build starts and recovery is clean</t>
  </si>
  <si>
    <t>Resource guards partial; controlled disposable fault injection not run</t>
  </si>
  <si>
    <t>Record resource baseline, one fault at a time, retry rate and post-recovery health</t>
  </si>
  <si>
    <t>Never induce resource pressure on the user's active laptop stack</t>
  </si>
  <si>
    <t>DEPLOY-SECURITY-001</t>
  </si>
  <si>
    <t>Deployment security</t>
  </si>
  <si>
    <t>Scan resolved ports, headers, CORS, artifacts and filesystem permissions</t>
  </si>
  <si>
    <t>DELTA audit findings only</t>
  </si>
  <si>
    <t>Only declared ports are public and secrets/private keys/simulator controls are absent from public artifacts/logs</t>
  </si>
  <si>
    <t>Security/package checks exist in parts; complete resolved-deployment scan not run</t>
  </si>
  <si>
    <t>Inspect disposable resolved topology, images, headers/origins and restricted files</t>
  </si>
  <si>
    <t>Static and runtime evidence are recorded separately</t>
  </si>
</sst>
</file>

<file path=xl/styles.xml><?xml version="1.0" encoding="utf-8"?>
<styleSheet xmlns="http://schemas.openxmlformats.org/spreadsheetml/2006/main">
  <numFmts count="1">
    <numFmt numFmtId="164" formatCode="General"/>
  </numFmts>
  <fonts count="5">
    <font>
      <sz val="10"/>
      <name val="Arial"/>
      <family val="2"/>
      <charset val="1"/>
    </font>
    <font>
      <sz val="10"/>
      <name val="Arial"/>
      <family val="0"/>
    </font>
    <font>
      <sz val="10"/>
      <name val="Arial"/>
      <family val="0"/>
    </font>
    <font>
      <sz val="10"/>
      <name val="Arial"/>
      <family val="0"/>
    </font>
    <font>
      <b val="true"/>
      <sz val="10"/>
      <color rgb="FFFFFFFF"/>
      <name val="Arial"/>
      <family val="2"/>
      <charset val="1"/>
    </font>
  </fonts>
  <fills count="39">
    <fill>
      <patternFill patternType="none"/>
    </fill>
    <fill>
      <patternFill patternType="gray125"/>
    </fill>
    <fill>
      <patternFill patternType="solid">
        <fgColor rgb="FF44546A"/>
        <bgColor rgb="FF1F4E78"/>
      </patternFill>
    </fill>
    <fill>
      <patternFill patternType="solid">
        <fgColor rgb="FF4472C4"/>
        <bgColor rgb="FF5B9BD5"/>
      </patternFill>
    </fill>
    <fill>
      <patternFill patternType="solid">
        <fgColor rgb="FFBFBFBF"/>
        <bgColor rgb="FFB4C6E7"/>
      </patternFill>
    </fill>
    <fill>
      <patternFill patternType="solid">
        <fgColor rgb="FF92D050"/>
        <bgColor rgb="FFBFBFBF"/>
      </patternFill>
    </fill>
    <fill>
      <patternFill patternType="solid">
        <fgColor rgb="FF5B9BD5"/>
        <bgColor rgb="FF4472C4"/>
      </patternFill>
    </fill>
    <fill>
      <patternFill patternType="solid">
        <fgColor rgb="FFFFC000"/>
        <bgColor rgb="FFFF9900"/>
      </patternFill>
    </fill>
    <fill>
      <patternFill patternType="solid">
        <fgColor rgb="FFB4A7D6"/>
        <bgColor rgb="FFBFBFBF"/>
      </patternFill>
    </fill>
    <fill>
      <patternFill patternType="solid">
        <fgColor rgb="FFB4C6E7"/>
        <bgColor rgb="FFBFBFBF"/>
      </patternFill>
    </fill>
    <fill>
      <patternFill patternType="solid">
        <fgColor rgb="FFFF7C80"/>
        <bgColor rgb="FFFF6666"/>
      </patternFill>
    </fill>
    <fill>
      <patternFill patternType="solid">
        <fgColor rgb="FFFF6666"/>
        <bgColor rgb="FFFF7C80"/>
      </patternFill>
    </fill>
    <fill>
      <patternFill patternType="solid">
        <fgColor rgb="FF1F4E78"/>
        <bgColor rgb="FF44546A"/>
      </patternFill>
    </fill>
    <fill>
      <patternFill patternType="solid">
        <fgColor rgb="FF7FC8C8"/>
        <bgColor indexed="64"/>
      </patternFill>
    </fill>
    <fill>
      <patternFill patternType="solid">
        <fgColor rgb="FFE7E6E6"/>
        <bgColor indexed="64"/>
      </patternFill>
    </fill>
    <fill>
      <patternFill patternType="solid">
        <fgColor rgb="FFE4DFEC"/>
        <bgColor indexed="64"/>
      </patternFill>
    </fill>
    <fill>
      <patternFill patternType="solid">
        <fgColor rgb="FFD9EAF7"/>
        <bgColor indexed="64"/>
      </patternFill>
    </fill>
    <fill>
      <patternFill patternType="solid">
        <fgColor rgb="FFE2F0D9"/>
        <bgColor indexed="64"/>
      </patternFill>
    </fill>
    <fill>
      <patternFill patternType="solid">
        <fgColor rgb="FFFCE4D6"/>
        <bgColor indexed="64"/>
      </patternFill>
    </fill>
    <fill>
      <patternFill patternType="solid">
        <fgColor rgb="FFF4CCCC"/>
        <bgColor indexed="64"/>
      </patternFill>
    </fill>
    <fill>
      <patternFill patternType="solid">
        <fgColor rgb="FFDDEBF7"/>
        <bgColor indexed="64"/>
      </patternFill>
    </fill>
    <fill>
      <patternFill patternType="solid">
        <fgColor rgb="FFFFE5CC"/>
        <bgColor indexed="64"/>
      </patternFill>
    </fill>
    <fill>
      <patternFill patternType="solid">
        <fgColor rgb="FFDDE8CB"/>
        <bgColor indexed="64"/>
      </patternFill>
    </fill>
    <fill>
      <patternFill patternType="solid">
        <fgColor rgb="FFFFF2CC"/>
        <bgColor indexed="64"/>
      </patternFill>
    </fill>
    <fill>
      <patternFill patternType="solid">
        <fgColor rgb="FFD9E1F2"/>
        <bgColor indexed="64"/>
      </patternFill>
    </fill>
    <fill>
      <patternFill patternType="solid">
        <fgColor rgb="FFEAD1DC"/>
        <bgColor indexed="64"/>
      </patternFill>
    </fill>
    <fill>
      <patternFill patternType="solid">
        <fgColor rgb="FFD9D2E9"/>
        <bgColor indexed="64"/>
      </patternFill>
    </fill>
    <fill>
      <patternFill patternType="solid">
        <fgColor rgb="FFCFE2F3"/>
        <bgColor indexed="64"/>
      </patternFill>
    </fill>
    <fill>
      <patternFill patternType="solid">
        <fgColor rgb="FFB6D7A8"/>
        <bgColor indexed="64"/>
      </patternFill>
    </fill>
    <fill>
      <patternFill patternType="solid">
        <fgColor rgb="FFA2C4C9"/>
        <bgColor indexed="64"/>
      </patternFill>
    </fill>
    <fill>
      <patternFill patternType="solid">
        <fgColor rgb="FFC9DAF8"/>
        <bgColor indexed="64"/>
      </patternFill>
    </fill>
    <fill>
      <patternFill patternType="solid">
        <fgColor rgb="FFD5A6BD"/>
        <bgColor indexed="64"/>
      </patternFill>
    </fill>
    <fill>
      <patternFill patternType="solid">
        <fgColor rgb="FFF9CB9C"/>
        <bgColor indexed="64"/>
      </patternFill>
    </fill>
    <fill>
      <patternFill patternType="solid">
        <fgColor rgb="FFFFD966"/>
        <bgColor indexed="64"/>
      </patternFill>
    </fill>
    <fill>
      <patternFill patternType="solid">
        <fgColor rgb="FF76A5AF"/>
        <bgColor indexed="64"/>
      </patternFill>
    </fill>
    <fill>
      <patternFill patternType="solid">
        <fgColor rgb="FF45818E"/>
        <bgColor indexed="64"/>
      </patternFill>
    </fill>
    <fill>
      <patternFill patternType="solid">
        <fgColor rgb="FFC6E0B4"/>
        <bgColor indexed="64"/>
      </patternFill>
    </fill>
    <fill>
      <patternFill patternType="solid">
        <fgColor rgb="FFF4B183"/>
        <bgColor indexed="64"/>
      </patternFill>
    </fill>
    <fill>
      <patternFill patternType="solid">
        <fgColor rgb="FFCBD7E7"/>
        <bgColor indexed="64"/>
      </patternFill>
    </fill>
  </fills>
  <borders count="10">
    <border diagonalUp="false" diagonalDown="false">
      <left/>
      <right/>
      <top/>
      <bottom/>
      <diagonal/>
    </border>
    <border diagonalUp="false" diagonalDown="false">
      <left style="medium">
        <color rgb="FF44546A"/>
      </left>
      <right/>
      <top style="medium">
        <color rgb="FF44546A"/>
      </top>
      <bottom/>
      <diagonal/>
    </border>
    <border diagonalUp="false" diagonalDown="false">
      <left/>
      <right/>
      <top style="medium">
        <color rgb="FF44546A"/>
      </top>
      <bottom/>
      <diagonal/>
    </border>
    <border diagonalUp="false" diagonalDown="false">
      <left/>
      <right style="medium">
        <color rgb="FF44546A"/>
      </right>
      <top/>
      <bottom/>
      <diagonal/>
    </border>
    <border diagonalUp="false" diagonalDown="false">
      <left style="medium">
        <color rgb="FF44546A"/>
      </left>
      <right/>
      <top/>
      <bottom/>
      <diagonal/>
    </border>
    <border diagonalUp="false" diagonalDown="false">
      <left/>
      <right/>
      <top/>
      <bottom style="medium">
        <color rgb="FF44546A"/>
      </bottom>
      <diagonal/>
    </border>
    <border diagonalUp="false" diagonalDown="false">
      <left/>
      <right style="medium">
        <color rgb="FF44546A"/>
      </right>
      <top/>
      <bottom style="medium">
        <color rgb="FF44546A"/>
      </bottom>
      <diagonal/>
    </border>
    <border diagonalUp="false" diagonalDown="false">
      <left style="medium"/>
      <right/>
      <top/>
      <bottom style="medium"/>
      <diagonal/>
    </border>
    <border diagonalUp="false" diagonalDown="false">
      <left/>
      <right/>
      <top/>
      <bottom style="medium"/>
      <diagonal/>
    </border>
    <border>
      <left/>
      <right style="medium">
        <color rgb="FF44546A"/>
      </right>
      <top style="medium">
        <color rgb="FF44546A"/>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53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1" xfId="0" applyFont="true" applyBorder="true" applyAlignment="false" applyProtection="false">
      <alignment horizontal="general" vertical="bottom" textRotation="0" wrapText="false" indent="0" shrinkToFit="false"/>
      <protection locked="true" hidden="false"/>
    </xf>
    <xf numFmtId="164" fontId="0" fillId="0" borderId="2"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3" borderId="3" xfId="0" applyFont="true" applyBorder="true" applyAlignment="false" applyProtection="false">
      <alignment horizontal="general" vertical="bottom" textRotation="0" wrapText="false" indent="0" shrinkToFit="false"/>
      <protection locked="true" hidden="false"/>
    </xf>
    <xf numFmtId="164" fontId="0" fillId="4" borderId="4" xfId="0" applyFont="true" applyBorder="true" applyAlignment="false" applyProtection="false">
      <alignment horizontal="general" vertical="bottom" textRotation="0" wrapText="false" indent="0" shrinkToFit="false"/>
      <protection locked="true" hidden="false"/>
    </xf>
    <xf numFmtId="164" fontId="0" fillId="4" borderId="0" xfId="0" applyFont="true" applyBorder="false" applyAlignment="false" applyProtection="false">
      <alignment horizontal="general" vertical="bottom" textRotation="0" wrapText="false" indent="0" shrinkToFit="false"/>
      <protection locked="true" hidden="false"/>
    </xf>
    <xf numFmtId="164" fontId="0" fillId="5" borderId="0" xfId="0" applyFont="true" applyBorder="false" applyAlignment="false" applyProtection="false">
      <alignment horizontal="general" vertical="bottom" textRotation="0" wrapText="false" indent="0" shrinkToFit="false"/>
      <protection locked="true" hidden="false"/>
    </xf>
    <xf numFmtId="164" fontId="0" fillId="5" borderId="3" xfId="0" applyFont="true" applyBorder="true" applyAlignment="false" applyProtection="false">
      <alignment horizontal="general" vertical="bottom" textRotation="0" wrapText="false" indent="0" shrinkToFit="false"/>
      <protection locked="true" hidden="false"/>
    </xf>
    <xf numFmtId="164" fontId="0" fillId="6" borderId="4"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false" applyAlignment="false" applyProtection="false">
      <alignment horizontal="general" vertical="bottom" textRotation="0" wrapText="false" indent="0" shrinkToFit="false"/>
      <protection locked="true" hidden="false"/>
    </xf>
    <xf numFmtId="164" fontId="0" fillId="7" borderId="0" xfId="0" applyFont="true" applyBorder="false" applyAlignment="false" applyProtection="false">
      <alignment horizontal="general" vertical="bottom" textRotation="0" wrapText="false" indent="0" shrinkToFit="false"/>
      <protection locked="true" hidden="false"/>
    </xf>
    <xf numFmtId="164" fontId="0" fillId="7" borderId="3" xfId="0" applyFont="true" applyBorder="true" applyAlignment="false" applyProtection="false">
      <alignment horizontal="general" vertical="bottom" textRotation="0" wrapText="false" indent="0" shrinkToFit="false"/>
      <protection locked="true" hidden="false"/>
    </xf>
    <xf numFmtId="164" fontId="0" fillId="8" borderId="4" xfId="0" applyFont="true" applyBorder="tru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64" fontId="0" fillId="9" borderId="0" xfId="0" applyFont="true" applyBorder="false" applyAlignment="false" applyProtection="false">
      <alignment horizontal="general" vertical="bottom" textRotation="0" wrapText="false" indent="0" shrinkToFit="false"/>
      <protection locked="true" hidden="false"/>
    </xf>
    <xf numFmtId="164" fontId="0" fillId="9" borderId="3" xfId="0" applyFont="true" applyBorder="true" applyAlignment="false" applyProtection="false">
      <alignment horizontal="general" vertical="bottom" textRotation="0" wrapText="false" indent="0" shrinkToFit="false"/>
      <protection locked="true" hidden="false"/>
    </xf>
    <xf numFmtId="164" fontId="0" fillId="10" borderId="4" xfId="0" applyFont="true" applyBorder="true" applyAlignment="false" applyProtection="false">
      <alignment horizontal="general" vertical="bottom" textRotation="0" wrapText="false" indent="0" shrinkToFit="false"/>
      <protection locked="true" hidden="false"/>
    </xf>
    <xf numFmtId="164" fontId="0" fillId="10" borderId="0" xfId="0" applyFont="true" applyBorder="false" applyAlignment="false" applyProtection="false">
      <alignment horizontal="general" vertical="bottom" textRotation="0" wrapText="false" indent="0" shrinkToFit="false"/>
      <protection locked="true" hidden="false"/>
    </xf>
    <xf numFmtId="164" fontId="0" fillId="11" borderId="0" xfId="0" applyFont="true" applyBorder="false" applyAlignment="false" applyProtection="false">
      <alignment horizontal="general" vertical="bottom" textRotation="0" wrapText="false" indent="0" shrinkToFit="false"/>
      <protection locked="true" hidden="false"/>
    </xf>
    <xf numFmtId="164" fontId="0" fillId="11" borderId="3" xfId="0" applyFont="true" applyBorder="tru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5" borderId="5" xfId="0" applyFont="true" applyBorder="true" applyAlignment="false" applyProtection="false">
      <alignment horizontal="general" vertical="bottom" textRotation="0" wrapText="false" indent="0" shrinkToFit="false"/>
      <protection locked="true" hidden="false"/>
    </xf>
    <xf numFmtId="164" fontId="0" fillId="5" borderId="6" xfId="0" applyFont="true" applyBorder="true" applyAlignment="false" applyProtection="false">
      <alignment horizontal="general" vertical="bottom" textRotation="0" wrapText="false" indent="0" shrinkToFit="false"/>
      <protection locked="true" hidden="false"/>
    </xf>
    <xf numFmtId="164" fontId="0" fillId="0" borderId="7" xfId="0" applyFont="false" applyBorder="true" applyAlignment="false" applyProtection="false">
      <alignment horizontal="general" vertical="bottom" textRotation="0" wrapText="false" indent="0" shrinkToFit="false"/>
      <protection locked="true" hidden="false"/>
    </xf>
    <xf numFmtId="164" fontId="0" fillId="0" borderId="8" xfId="0" applyFont="false" applyBorder="true" applyAlignment="false" applyProtection="false">
      <alignment horizontal="general" vertical="bottom" textRotation="0" wrapText="false" indent="0" shrinkToFit="false"/>
      <protection locked="true" hidden="false"/>
    </xf>
    <xf numFmtId="164" fontId="4" fillId="3" borderId="0" xfId="0" applyFont="true" applyBorder="true" applyAlignment="false" applyProtection="false">
      <alignment horizontal="general" vertical="bottom" textRotation="0" wrapText="false" indent="0" shrinkToFit="false"/>
      <protection locked="true" hidden="false"/>
    </xf>
    <xf numFmtId="164" fontId="4" fillId="12"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Fill="true" applyBorder="false" applyAlignment="false" applyProtection="false"/>
    <xf numFmtId="164" fontId="0" fillId="7" borderId="0" xfId="0" applyFont="false" applyFill="true" applyBorder="false" applyAlignment="false" applyProtection="false"/>
    <xf numFmtId="164" fontId="0" fillId="11" borderId="0" xfId="0" applyFont="false" applyFill="true" applyBorder="false" applyAlignment="false" applyProtection="false"/>
    <xf numFmtId="164" fontId="0" fillId="9" borderId="0" xfId="0" applyFont="false" applyFill="true" applyBorder="false" applyAlignment="false" applyProtection="false"/>
    <xf numFmtId="164" fontId="0" fillId="4" borderId="0" xfId="0" applyFont="false" applyFill="true" applyBorder="false" applyAlignment="false" applyProtection="false"/>
    <xf numFmtId="164" fontId="0" fillId="6" borderId="0" xfId="0" applyFont="false" applyFill="true" applyBorder="false" applyAlignment="false" applyProtection="false"/>
    <xf numFmtId="164" fontId="0" fillId="8" borderId="0" xfId="0" applyFont="false" applyFill="true" applyBorder="false" applyAlignment="false" applyProtection="false"/>
    <xf numFmtId="164" fontId="0" fillId="10" borderId="0" xfId="0" applyFont="false" applyFill="true" applyBorder="false" applyAlignment="false" applyProtection="false"/>
    <xf numFmtId="164" fontId="4" fillId="12" borderId="0" xfId="0" applyFont="true" applyFill="true" applyBorder="false" applyAlignment="false" applyProtection="false"/>
    <xf numFmtId="164" fontId="4" fillId="2" borderId="0" xfId="0" applyFont="true" applyFill="true" applyBorder="false" applyAlignment="false" applyProtection="false"/>
    <xf numFmtId="164" fontId="4" fillId="3" borderId="0" xfId="0" applyFont="true" applyFill="true" applyBorder="false" applyAlignment="false" applyProtection="false"/>
    <xf numFmtId="164" fontId="0" fillId="5" borderId="1" xfId="0" applyFont="false" applyFill="true" applyBorder="true" applyAlignment="false" applyProtection="false"/>
    <xf numFmtId="164" fontId="0" fillId="5" borderId="2" xfId="0" applyFont="false" applyFill="true" applyBorder="true" applyAlignment="false" applyProtection="false"/>
    <xf numFmtId="164" fontId="0" fillId="5" borderId="9" xfId="0" applyFont="false" applyFill="true" applyBorder="true" applyAlignment="false" applyProtection="false"/>
    <xf numFmtId="164" fontId="0" fillId="5" borderId="4" xfId="0" applyFont="false" applyFill="true" applyBorder="true" applyAlignment="false" applyProtection="false"/>
    <xf numFmtId="164" fontId="0" fillId="5" borderId="3" xfId="0" applyFont="false" applyFill="true" applyBorder="true" applyAlignment="false" applyProtection="false"/>
    <xf numFmtId="164" fontId="0" fillId="5" borderId="7" xfId="0" applyFont="false" applyFill="true" applyBorder="true" applyAlignment="false" applyProtection="false"/>
    <xf numFmtId="164" fontId="0" fillId="5" borderId="5" xfId="0" applyFont="false" applyFill="true" applyBorder="true" applyAlignment="false" applyProtection="false"/>
    <xf numFmtId="164" fontId="0" fillId="5" borderId="6" xfId="0" applyFont="false" applyFill="true" applyBorder="true" applyAlignment="false" applyProtection="false"/>
    <xf numFmtId="164" fontId="0" fillId="7" borderId="1" xfId="0" applyFont="false" applyFill="true" applyBorder="true" applyAlignment="false" applyProtection="false"/>
    <xf numFmtId="164" fontId="0" fillId="7" borderId="2" xfId="0" applyFont="false" applyFill="true" applyBorder="true" applyAlignment="false" applyProtection="false"/>
    <xf numFmtId="164" fontId="0" fillId="7" borderId="9" xfId="0" applyFont="false" applyFill="true" applyBorder="true" applyAlignment="false" applyProtection="false"/>
    <xf numFmtId="164" fontId="0" fillId="7" borderId="4" xfId="0" applyFont="false" applyFill="true" applyBorder="true" applyAlignment="false" applyProtection="false"/>
    <xf numFmtId="164" fontId="0" fillId="7" borderId="3" xfId="0" applyFont="false" applyFill="true" applyBorder="true" applyAlignment="false" applyProtection="false"/>
    <xf numFmtId="164" fontId="0" fillId="7" borderId="7" xfId="0" applyFont="false" applyFill="true" applyBorder="true" applyAlignment="false" applyProtection="false"/>
    <xf numFmtId="164" fontId="0" fillId="7" borderId="5" xfId="0" applyFont="false" applyFill="true" applyBorder="true" applyAlignment="false" applyProtection="false"/>
    <xf numFmtId="164" fontId="0" fillId="7" borderId="6" xfId="0" applyFont="false" applyFill="true" applyBorder="true" applyAlignment="false" applyProtection="false"/>
    <xf numFmtId="164" fontId="0" fillId="11" borderId="1" xfId="0" applyFont="false" applyFill="true" applyBorder="true" applyAlignment="false" applyProtection="false"/>
    <xf numFmtId="164" fontId="0" fillId="11" borderId="2" xfId="0" applyFont="false" applyFill="true" applyBorder="true" applyAlignment="false" applyProtection="false"/>
    <xf numFmtId="164" fontId="0" fillId="11" borderId="9" xfId="0" applyFont="false" applyFill="true" applyBorder="true" applyAlignment="false" applyProtection="false"/>
    <xf numFmtId="164" fontId="0" fillId="11" borderId="4" xfId="0" applyFont="false" applyFill="true" applyBorder="true" applyAlignment="false" applyProtection="false"/>
    <xf numFmtId="164" fontId="0" fillId="11" borderId="3" xfId="0" applyFont="false" applyFill="true" applyBorder="true" applyAlignment="false" applyProtection="false"/>
    <xf numFmtId="164" fontId="0" fillId="11" borderId="7" xfId="0" applyFont="false" applyFill="true" applyBorder="true" applyAlignment="false" applyProtection="false"/>
    <xf numFmtId="164" fontId="0" fillId="11" borderId="5" xfId="0" applyFont="false" applyFill="true" applyBorder="true" applyAlignment="false" applyProtection="false"/>
    <xf numFmtId="164" fontId="0" fillId="11" borderId="6" xfId="0" applyFont="false" applyFill="true" applyBorder="true" applyAlignment="false" applyProtection="false"/>
    <xf numFmtId="164" fontId="0" fillId="9" borderId="1" xfId="0" applyFont="false" applyFill="true" applyBorder="true" applyAlignment="false" applyProtection="false"/>
    <xf numFmtId="164" fontId="0" fillId="9" borderId="2" xfId="0" applyFont="false" applyFill="true" applyBorder="true" applyAlignment="false" applyProtection="false"/>
    <xf numFmtId="164" fontId="0" fillId="9" borderId="9" xfId="0" applyFont="false" applyFill="true" applyBorder="true" applyAlignment="false" applyProtection="false"/>
    <xf numFmtId="164" fontId="0" fillId="9" borderId="4" xfId="0" applyFont="false" applyFill="true" applyBorder="true" applyAlignment="false" applyProtection="false"/>
    <xf numFmtId="164" fontId="0" fillId="9" borderId="3" xfId="0" applyFont="false" applyFill="true" applyBorder="true" applyAlignment="false" applyProtection="false"/>
    <xf numFmtId="164" fontId="0" fillId="9" borderId="7" xfId="0" applyFont="false" applyFill="true" applyBorder="true" applyAlignment="false" applyProtection="false"/>
    <xf numFmtId="164" fontId="0" fillId="9" borderId="5" xfId="0" applyFont="false" applyFill="true" applyBorder="true" applyAlignment="false" applyProtection="false"/>
    <xf numFmtId="164" fontId="0" fillId="9" borderId="6" xfId="0" applyFont="false" applyFill="true" applyBorder="true" applyAlignment="false" applyProtection="false"/>
    <xf numFmtId="164" fontId="0" fillId="4" borderId="1" xfId="0" applyFont="false" applyFill="true" applyBorder="true" applyAlignment="false" applyProtection="false"/>
    <xf numFmtId="164" fontId="0" fillId="4" borderId="2" xfId="0" applyFont="false" applyFill="true" applyBorder="true" applyAlignment="false" applyProtection="false"/>
    <xf numFmtId="164" fontId="0" fillId="4" borderId="9" xfId="0" applyFont="false" applyFill="true" applyBorder="true" applyAlignment="false" applyProtection="false"/>
    <xf numFmtId="164" fontId="0" fillId="4" borderId="4" xfId="0" applyFont="false" applyFill="true" applyBorder="true" applyAlignment="false" applyProtection="false"/>
    <xf numFmtId="164" fontId="0" fillId="4" borderId="3" xfId="0" applyFont="false" applyFill="true" applyBorder="true" applyAlignment="false" applyProtection="false"/>
    <xf numFmtId="164" fontId="0" fillId="4" borderId="7" xfId="0" applyFont="false" applyFill="true" applyBorder="true" applyAlignment="false" applyProtection="false"/>
    <xf numFmtId="164" fontId="0" fillId="4" borderId="5" xfId="0" applyFont="false" applyFill="true" applyBorder="true" applyAlignment="false" applyProtection="false"/>
    <xf numFmtId="164" fontId="0" fillId="4" borderId="6" xfId="0" applyFont="false" applyFill="true" applyBorder="true" applyAlignment="false" applyProtection="false"/>
    <xf numFmtId="164" fontId="0" fillId="6" borderId="1" xfId="0" applyFont="false" applyFill="true" applyBorder="true" applyAlignment="false" applyProtection="false"/>
    <xf numFmtId="164" fontId="0" fillId="6" borderId="2" xfId="0" applyFont="false" applyFill="true" applyBorder="true" applyAlignment="false" applyProtection="false"/>
    <xf numFmtId="164" fontId="0" fillId="6" borderId="9" xfId="0" applyFont="false" applyFill="true" applyBorder="true" applyAlignment="false" applyProtection="false"/>
    <xf numFmtId="164" fontId="0" fillId="6" borderId="4" xfId="0" applyFont="false" applyFill="true" applyBorder="true" applyAlignment="false" applyProtection="false"/>
    <xf numFmtId="164" fontId="0" fillId="6" borderId="3" xfId="0" applyFont="false" applyFill="true" applyBorder="true" applyAlignment="false" applyProtection="false"/>
    <xf numFmtId="164" fontId="0" fillId="6" borderId="7" xfId="0" applyFont="false" applyFill="true" applyBorder="true" applyAlignment="false" applyProtection="false"/>
    <xf numFmtId="164" fontId="0" fillId="6" borderId="5" xfId="0" applyFont="false" applyFill="true" applyBorder="true" applyAlignment="false" applyProtection="false"/>
    <xf numFmtId="164" fontId="0" fillId="6" borderId="6" xfId="0" applyFont="false" applyFill="true" applyBorder="true" applyAlignment="false" applyProtection="false"/>
    <xf numFmtId="164" fontId="0" fillId="8" borderId="1" xfId="0" applyFont="false" applyFill="true" applyBorder="true" applyAlignment="false" applyProtection="false"/>
    <xf numFmtId="164" fontId="0" fillId="8" borderId="2" xfId="0" applyFont="false" applyFill="true" applyBorder="true" applyAlignment="false" applyProtection="false"/>
    <xf numFmtId="164" fontId="0" fillId="8" borderId="9" xfId="0" applyFont="false" applyFill="true" applyBorder="true" applyAlignment="false" applyProtection="false"/>
    <xf numFmtId="164" fontId="0" fillId="8" borderId="4" xfId="0" applyFont="false" applyFill="true" applyBorder="true" applyAlignment="false" applyProtection="false"/>
    <xf numFmtId="164" fontId="0" fillId="8" borderId="3" xfId="0" applyFont="false" applyFill="true" applyBorder="true" applyAlignment="false" applyProtection="false"/>
    <xf numFmtId="164" fontId="0" fillId="8" borderId="7" xfId="0" applyFont="false" applyFill="true" applyBorder="true" applyAlignment="false" applyProtection="false"/>
    <xf numFmtId="164" fontId="0" fillId="8" borderId="5" xfId="0" applyFont="false" applyFill="true" applyBorder="true" applyAlignment="false" applyProtection="false"/>
    <xf numFmtId="164" fontId="0" fillId="8" borderId="6" xfId="0" applyFont="false" applyFill="true" applyBorder="true" applyAlignment="false" applyProtection="false"/>
    <xf numFmtId="164" fontId="0" fillId="10" borderId="1" xfId="0" applyFont="false" applyFill="true" applyBorder="true" applyAlignment="false" applyProtection="false"/>
    <xf numFmtId="164" fontId="0" fillId="10" borderId="2" xfId="0" applyFont="false" applyFill="true" applyBorder="true" applyAlignment="false" applyProtection="false"/>
    <xf numFmtId="164" fontId="0" fillId="10" borderId="9" xfId="0" applyFont="false" applyFill="true" applyBorder="true" applyAlignment="false" applyProtection="false"/>
    <xf numFmtId="164" fontId="0" fillId="10" borderId="4" xfId="0" applyFont="false" applyFill="true" applyBorder="true" applyAlignment="false" applyProtection="false"/>
    <xf numFmtId="164" fontId="0" fillId="10" borderId="3" xfId="0" applyFont="false" applyFill="true" applyBorder="true" applyAlignment="false" applyProtection="false"/>
    <xf numFmtId="164" fontId="0" fillId="10" borderId="7" xfId="0" applyFont="false" applyFill="true" applyBorder="true" applyAlignment="false" applyProtection="false"/>
    <xf numFmtId="164" fontId="0" fillId="10" borderId="5" xfId="0" applyFont="false" applyFill="true" applyBorder="true" applyAlignment="false" applyProtection="false"/>
    <xf numFmtId="164" fontId="0" fillId="10" borderId="6" xfId="0" applyFont="false" applyFill="true" applyBorder="true" applyAlignment="false" applyProtection="false"/>
    <xf numFmtId="164" fontId="4" fillId="12" borderId="1" xfId="0" applyFont="true" applyFill="true" applyBorder="true" applyAlignment="false" applyProtection="false"/>
    <xf numFmtId="164" fontId="4" fillId="12" borderId="2" xfId="0" applyFont="true" applyFill="true" applyBorder="true" applyAlignment="false" applyProtection="false"/>
    <xf numFmtId="164" fontId="4" fillId="12" borderId="9" xfId="0" applyFont="true" applyFill="true" applyBorder="true" applyAlignment="false" applyProtection="false"/>
    <xf numFmtId="164" fontId="4" fillId="12" borderId="4" xfId="0" applyFont="true" applyFill="true" applyBorder="true" applyAlignment="false" applyProtection="false"/>
    <xf numFmtId="164" fontId="4" fillId="12" borderId="3" xfId="0" applyFont="true" applyFill="true" applyBorder="true" applyAlignment="false" applyProtection="false"/>
    <xf numFmtId="164" fontId="4" fillId="12" borderId="7" xfId="0" applyFont="true" applyFill="true" applyBorder="true" applyAlignment="false" applyProtection="false"/>
    <xf numFmtId="164" fontId="4" fillId="12" borderId="5" xfId="0" applyFont="true" applyFill="true" applyBorder="true" applyAlignment="false" applyProtection="false"/>
    <xf numFmtId="164" fontId="4" fillId="12" borderId="6" xfId="0" applyFont="true" applyFill="true" applyBorder="true" applyAlignment="false" applyProtection="false"/>
    <xf numFmtId="164" fontId="4" fillId="2" borderId="1" xfId="0" applyFont="true" applyFill="true" applyBorder="true" applyAlignment="false" applyProtection="false"/>
    <xf numFmtId="164" fontId="4" fillId="2" borderId="2" xfId="0" applyFont="true" applyFill="true" applyBorder="true" applyAlignment="false" applyProtection="false"/>
    <xf numFmtId="164" fontId="4" fillId="2" borderId="9" xfId="0" applyFont="true" applyFill="true" applyBorder="true" applyAlignment="false" applyProtection="false"/>
    <xf numFmtId="164" fontId="4" fillId="2" borderId="4" xfId="0" applyFont="true" applyFill="true" applyBorder="true" applyAlignment="false" applyProtection="false"/>
    <xf numFmtId="164" fontId="4" fillId="2" borderId="3" xfId="0" applyFont="true" applyFill="true" applyBorder="true" applyAlignment="false" applyProtection="false"/>
    <xf numFmtId="164" fontId="4" fillId="2" borderId="7" xfId="0" applyFont="true" applyFill="true" applyBorder="true" applyAlignment="false" applyProtection="false"/>
    <xf numFmtId="164" fontId="4" fillId="2" borderId="5" xfId="0" applyFont="true" applyFill="true" applyBorder="true" applyAlignment="false" applyProtection="false"/>
    <xf numFmtId="164" fontId="4" fillId="2" borderId="6" xfId="0" applyFont="true" applyFill="true" applyBorder="true" applyAlignment="false" applyProtection="false"/>
    <xf numFmtId="164" fontId="4" fillId="3" borderId="1" xfId="0" applyFont="true" applyFill="true" applyBorder="true" applyAlignment="false" applyProtection="false"/>
    <xf numFmtId="164" fontId="4" fillId="3" borderId="2" xfId="0" applyFont="true" applyFill="true" applyBorder="true" applyAlignment="false" applyProtection="false"/>
    <xf numFmtId="164" fontId="4" fillId="3" borderId="9" xfId="0" applyFont="true" applyFill="true" applyBorder="true" applyAlignment="false" applyProtection="false"/>
    <xf numFmtId="164" fontId="4" fillId="3" borderId="4" xfId="0" applyFont="true" applyFill="true" applyBorder="true" applyAlignment="false" applyProtection="false"/>
    <xf numFmtId="164" fontId="4" fillId="3" borderId="3" xfId="0" applyFont="true" applyFill="true" applyBorder="true" applyAlignment="false" applyProtection="false"/>
    <xf numFmtId="164" fontId="4" fillId="3" borderId="7" xfId="0" applyFont="true" applyFill="true" applyBorder="true" applyAlignment="false" applyProtection="false"/>
    <xf numFmtId="164" fontId="4" fillId="3" borderId="5" xfId="0" applyFont="true" applyFill="true" applyBorder="true" applyAlignment="false" applyProtection="false"/>
    <xf numFmtId="164" fontId="4" fillId="3" borderId="6" xfId="0" applyFont="true" applyFill="true" applyBorder="true" applyAlignment="false" applyProtection="false"/>
    <xf numFmtId="164" fontId="0" fillId="0" borderId="1" xfId="0" applyFont="false" applyFill="true" applyBorder="true" applyAlignment="false" applyProtection="false"/>
    <xf numFmtId="164" fontId="0" fillId="0" borderId="2" xfId="0" applyFont="false" applyFill="true" applyBorder="true" applyAlignment="false" applyProtection="false"/>
    <xf numFmtId="164" fontId="0" fillId="0" borderId="9" xfId="0" applyFont="false" applyFill="true" applyBorder="true" applyAlignment="false" applyProtection="false"/>
    <xf numFmtId="164" fontId="0" fillId="0" borderId="4" xfId="0" applyFont="false" applyFill="true" applyBorder="true" applyAlignment="false" applyProtection="false"/>
    <xf numFmtId="164" fontId="0" fillId="0" borderId="3" xfId="0" applyFont="false" applyFill="true" applyBorder="true" applyAlignment="false" applyProtection="false"/>
    <xf numFmtId="164" fontId="0" fillId="0" borderId="7" xfId="0" applyFont="false" applyFill="true" applyBorder="true" applyAlignment="false" applyProtection="false"/>
    <xf numFmtId="164" fontId="0" fillId="0" borderId="5" xfId="0" applyFont="false" applyFill="true" applyBorder="true" applyAlignment="false" applyProtection="false"/>
    <xf numFmtId="164" fontId="0" fillId="0" borderId="6" xfId="0" applyFont="false" applyFill="true" applyBorder="true" applyAlignment="false" applyProtection="false"/>
    <xf numFmtId="164" fontId="0" fillId="5" borderId="0" xfId="0" applyFont="false" applyFill="true" applyBorder="false" applyAlignment="true" applyProtection="false">
      <alignment vertical="top" wrapText="1"/>
    </xf>
    <xf numFmtId="164" fontId="0" fillId="7" borderId="0" xfId="0" applyFont="false" applyFill="true" applyBorder="false" applyAlignment="true" applyProtection="false">
      <alignment vertical="top" wrapText="1"/>
    </xf>
    <xf numFmtId="164" fontId="0" fillId="11" borderId="0" xfId="0" applyFont="false" applyFill="true" applyBorder="false" applyAlignment="true" applyProtection="false">
      <alignment vertical="top" wrapText="1"/>
    </xf>
    <xf numFmtId="164" fontId="0" fillId="9" borderId="0" xfId="0" applyFont="false" applyFill="true" applyBorder="false" applyAlignment="true" applyProtection="false">
      <alignment vertical="top" wrapText="1"/>
    </xf>
    <xf numFmtId="164" fontId="0" fillId="4" borderId="0" xfId="0" applyFont="false" applyFill="true" applyBorder="false" applyAlignment="true" applyProtection="false">
      <alignment vertical="top" wrapText="1"/>
    </xf>
    <xf numFmtId="164" fontId="0" fillId="6" borderId="0" xfId="0" applyFont="false" applyFill="true" applyBorder="false" applyAlignment="true" applyProtection="false">
      <alignment vertical="top" wrapText="1"/>
    </xf>
    <xf numFmtId="164" fontId="0" fillId="8" borderId="0" xfId="0" applyFont="false" applyFill="true" applyBorder="false" applyAlignment="true" applyProtection="false">
      <alignment vertical="top" wrapText="1"/>
    </xf>
    <xf numFmtId="164" fontId="0" fillId="10" borderId="0" xfId="0" applyFont="false" applyFill="true" applyBorder="false" applyAlignment="true" applyProtection="false">
      <alignment vertical="top" wrapText="1"/>
    </xf>
    <xf numFmtId="164" fontId="4" fillId="12" borderId="0" xfId="0" applyFont="true" applyFill="true" applyBorder="false" applyAlignment="true" applyProtection="false">
      <alignment vertical="top" wrapText="1"/>
    </xf>
    <xf numFmtId="164" fontId="4" fillId="2" borderId="0" xfId="0" applyFont="true" applyFill="true" applyBorder="false" applyAlignment="true" applyProtection="false">
      <alignment vertical="top" wrapText="1"/>
    </xf>
    <xf numFmtId="164" fontId="4" fillId="3" borderId="0" xfId="0" applyFont="true" applyFill="true" applyBorder="false" applyAlignment="true" applyProtection="false">
      <alignment vertical="top" wrapText="1"/>
    </xf>
    <xf numFmtId="164" fontId="0" fillId="0" borderId="0" xfId="0" applyFont="false" applyFill="true" applyBorder="false" applyAlignment="true" applyProtection="false">
      <alignment vertical="top" wrapText="1"/>
    </xf>
    <xf numFmtId="164" fontId="0" fillId="5" borderId="1" xfId="0" applyFont="false" applyFill="true" applyBorder="true" applyAlignment="true" applyProtection="false">
      <alignment vertical="top" wrapText="1"/>
    </xf>
    <xf numFmtId="164" fontId="0" fillId="5" borderId="2" xfId="0" applyFont="false" applyFill="true" applyBorder="true" applyAlignment="true" applyProtection="false">
      <alignment vertical="top" wrapText="1"/>
    </xf>
    <xf numFmtId="164" fontId="0" fillId="5" borderId="9" xfId="0" applyFont="false" applyFill="true" applyBorder="true" applyAlignment="true" applyProtection="false">
      <alignment vertical="top" wrapText="1"/>
    </xf>
    <xf numFmtId="164" fontId="0" fillId="5" borderId="4" xfId="0" applyFont="false" applyFill="true" applyBorder="true" applyAlignment="true" applyProtection="false">
      <alignment vertical="top" wrapText="1"/>
    </xf>
    <xf numFmtId="164" fontId="0" fillId="5" borderId="3" xfId="0" applyFont="false" applyFill="true" applyBorder="true" applyAlignment="true" applyProtection="false">
      <alignment vertical="top" wrapText="1"/>
    </xf>
    <xf numFmtId="164" fontId="0" fillId="5" borderId="7" xfId="0" applyFont="false" applyFill="true" applyBorder="true" applyAlignment="true" applyProtection="false">
      <alignment vertical="top" wrapText="1"/>
    </xf>
    <xf numFmtId="164" fontId="0" fillId="5" borderId="5" xfId="0" applyFont="false" applyFill="true" applyBorder="true" applyAlignment="true" applyProtection="false">
      <alignment vertical="top" wrapText="1"/>
    </xf>
    <xf numFmtId="164" fontId="0" fillId="5" borderId="6" xfId="0" applyFont="false" applyFill="true" applyBorder="true" applyAlignment="true" applyProtection="false">
      <alignment vertical="top" wrapText="1"/>
    </xf>
    <xf numFmtId="164" fontId="0" fillId="7" borderId="1" xfId="0" applyFont="false" applyFill="true" applyBorder="true" applyAlignment="true" applyProtection="false">
      <alignment vertical="top" wrapText="1"/>
    </xf>
    <xf numFmtId="164" fontId="0" fillId="7" borderId="2" xfId="0" applyFont="false" applyFill="true" applyBorder="true" applyAlignment="true" applyProtection="false">
      <alignment vertical="top" wrapText="1"/>
    </xf>
    <xf numFmtId="164" fontId="0" fillId="7" borderId="9" xfId="0" applyFont="false" applyFill="true" applyBorder="true" applyAlignment="true" applyProtection="false">
      <alignment vertical="top" wrapText="1"/>
    </xf>
    <xf numFmtId="164" fontId="0" fillId="7" borderId="4" xfId="0" applyFont="false" applyFill="true" applyBorder="true" applyAlignment="true" applyProtection="false">
      <alignment vertical="top" wrapText="1"/>
    </xf>
    <xf numFmtId="164" fontId="0" fillId="7" borderId="3" xfId="0" applyFont="false" applyFill="true" applyBorder="true" applyAlignment="true" applyProtection="false">
      <alignment vertical="top" wrapText="1"/>
    </xf>
    <xf numFmtId="164" fontId="0" fillId="7" borderId="7" xfId="0" applyFont="false" applyFill="true" applyBorder="true" applyAlignment="true" applyProtection="false">
      <alignment vertical="top" wrapText="1"/>
    </xf>
    <xf numFmtId="164" fontId="0" fillId="7" borderId="5" xfId="0" applyFont="false" applyFill="true" applyBorder="true" applyAlignment="true" applyProtection="false">
      <alignment vertical="top" wrapText="1"/>
    </xf>
    <xf numFmtId="164" fontId="0" fillId="7" borderId="6" xfId="0" applyFont="false" applyFill="true" applyBorder="true" applyAlignment="true" applyProtection="false">
      <alignment vertical="top" wrapText="1"/>
    </xf>
    <xf numFmtId="164" fontId="0" fillId="11" borderId="1" xfId="0" applyFont="false" applyFill="true" applyBorder="true" applyAlignment="true" applyProtection="false">
      <alignment vertical="top" wrapText="1"/>
    </xf>
    <xf numFmtId="164" fontId="0" fillId="11" borderId="2" xfId="0" applyFont="false" applyFill="true" applyBorder="true" applyAlignment="true" applyProtection="false">
      <alignment vertical="top" wrapText="1"/>
    </xf>
    <xf numFmtId="164" fontId="0" fillId="11" borderId="9" xfId="0" applyFont="false" applyFill="true" applyBorder="true" applyAlignment="true" applyProtection="false">
      <alignment vertical="top" wrapText="1"/>
    </xf>
    <xf numFmtId="164" fontId="0" fillId="11" borderId="4" xfId="0" applyFont="false" applyFill="true" applyBorder="true" applyAlignment="true" applyProtection="false">
      <alignment vertical="top" wrapText="1"/>
    </xf>
    <xf numFmtId="164" fontId="0" fillId="11" borderId="3" xfId="0" applyFont="false" applyFill="true" applyBorder="true" applyAlignment="true" applyProtection="false">
      <alignment vertical="top" wrapText="1"/>
    </xf>
    <xf numFmtId="164" fontId="0" fillId="11" borderId="7" xfId="0" applyFont="false" applyFill="true" applyBorder="true" applyAlignment="true" applyProtection="false">
      <alignment vertical="top" wrapText="1"/>
    </xf>
    <xf numFmtId="164" fontId="0" fillId="11" borderId="5" xfId="0" applyFont="false" applyFill="true" applyBorder="true" applyAlignment="true" applyProtection="false">
      <alignment vertical="top" wrapText="1"/>
    </xf>
    <xf numFmtId="164" fontId="0" fillId="11" borderId="6" xfId="0" applyFont="false" applyFill="true" applyBorder="true" applyAlignment="true" applyProtection="false">
      <alignment vertical="top" wrapText="1"/>
    </xf>
    <xf numFmtId="164" fontId="0" fillId="9" borderId="1" xfId="0" applyFont="false" applyFill="true" applyBorder="true" applyAlignment="true" applyProtection="false">
      <alignment vertical="top" wrapText="1"/>
    </xf>
    <xf numFmtId="164" fontId="0" fillId="9" borderId="2" xfId="0" applyFont="false" applyFill="true" applyBorder="true" applyAlignment="true" applyProtection="false">
      <alignment vertical="top" wrapText="1"/>
    </xf>
    <xf numFmtId="164" fontId="0" fillId="9" borderId="9" xfId="0" applyFont="false" applyFill="true" applyBorder="true" applyAlignment="true" applyProtection="false">
      <alignment vertical="top" wrapText="1"/>
    </xf>
    <xf numFmtId="164" fontId="0" fillId="9" borderId="4" xfId="0" applyFont="false" applyFill="true" applyBorder="true" applyAlignment="true" applyProtection="false">
      <alignment vertical="top" wrapText="1"/>
    </xf>
    <xf numFmtId="164" fontId="0" fillId="9" borderId="3" xfId="0" applyFont="false" applyFill="true" applyBorder="true" applyAlignment="true" applyProtection="false">
      <alignment vertical="top" wrapText="1"/>
    </xf>
    <xf numFmtId="164" fontId="0" fillId="9" borderId="7" xfId="0" applyFont="false" applyFill="true" applyBorder="true" applyAlignment="true" applyProtection="false">
      <alignment vertical="top" wrapText="1"/>
    </xf>
    <xf numFmtId="164" fontId="0" fillId="9" borderId="5" xfId="0" applyFont="false" applyFill="true" applyBorder="true" applyAlignment="true" applyProtection="false">
      <alignment vertical="top" wrapText="1"/>
    </xf>
    <xf numFmtId="164" fontId="0" fillId="9" borderId="6" xfId="0" applyFont="false" applyFill="true" applyBorder="true" applyAlignment="true" applyProtection="false">
      <alignment vertical="top" wrapText="1"/>
    </xf>
    <xf numFmtId="164" fontId="0" fillId="4" borderId="1" xfId="0" applyFont="false" applyFill="true" applyBorder="true" applyAlignment="true" applyProtection="false">
      <alignment vertical="top" wrapText="1"/>
    </xf>
    <xf numFmtId="164" fontId="0" fillId="4" borderId="2" xfId="0" applyFont="false" applyFill="true" applyBorder="true" applyAlignment="true" applyProtection="false">
      <alignment vertical="top" wrapText="1"/>
    </xf>
    <xf numFmtId="164" fontId="0" fillId="4" borderId="9" xfId="0" applyFont="false" applyFill="true" applyBorder="true" applyAlignment="true" applyProtection="false">
      <alignment vertical="top" wrapText="1"/>
    </xf>
    <xf numFmtId="164" fontId="0" fillId="4" borderId="4" xfId="0" applyFont="false" applyFill="true" applyBorder="true" applyAlignment="true" applyProtection="false">
      <alignment vertical="top" wrapText="1"/>
    </xf>
    <xf numFmtId="164" fontId="0" fillId="4" borderId="3" xfId="0" applyFont="false" applyFill="true" applyBorder="true" applyAlignment="true" applyProtection="false">
      <alignment vertical="top" wrapText="1"/>
    </xf>
    <xf numFmtId="164" fontId="0" fillId="4" borderId="7" xfId="0" applyFont="false" applyFill="true" applyBorder="true" applyAlignment="true" applyProtection="false">
      <alignment vertical="top" wrapText="1"/>
    </xf>
    <xf numFmtId="164" fontId="0" fillId="4" borderId="5" xfId="0" applyFont="false" applyFill="true" applyBorder="true" applyAlignment="true" applyProtection="false">
      <alignment vertical="top" wrapText="1"/>
    </xf>
    <xf numFmtId="164" fontId="0" fillId="4" borderId="6" xfId="0" applyFont="false" applyFill="true" applyBorder="true" applyAlignment="true" applyProtection="false">
      <alignment vertical="top" wrapText="1"/>
    </xf>
    <xf numFmtId="164" fontId="0" fillId="6" borderId="1" xfId="0" applyFont="false" applyFill="true" applyBorder="true" applyAlignment="true" applyProtection="false">
      <alignment vertical="top" wrapText="1"/>
    </xf>
    <xf numFmtId="164" fontId="0" fillId="6" borderId="2" xfId="0" applyFont="false" applyFill="true" applyBorder="true" applyAlignment="true" applyProtection="false">
      <alignment vertical="top" wrapText="1"/>
    </xf>
    <xf numFmtId="164" fontId="0" fillId="6" borderId="9" xfId="0" applyFont="false" applyFill="true" applyBorder="true" applyAlignment="true" applyProtection="false">
      <alignment vertical="top" wrapText="1"/>
    </xf>
    <xf numFmtId="164" fontId="0" fillId="6" borderId="4" xfId="0" applyFont="false" applyFill="true" applyBorder="true" applyAlignment="true" applyProtection="false">
      <alignment vertical="top" wrapText="1"/>
    </xf>
    <xf numFmtId="164" fontId="0" fillId="6" borderId="3" xfId="0" applyFont="false" applyFill="true" applyBorder="true" applyAlignment="true" applyProtection="false">
      <alignment vertical="top" wrapText="1"/>
    </xf>
    <xf numFmtId="164" fontId="0" fillId="6" borderId="7" xfId="0" applyFont="false" applyFill="true" applyBorder="true" applyAlignment="true" applyProtection="false">
      <alignment vertical="top" wrapText="1"/>
    </xf>
    <xf numFmtId="164" fontId="0" fillId="6" borderId="5" xfId="0" applyFont="false" applyFill="true" applyBorder="true" applyAlignment="true" applyProtection="false">
      <alignment vertical="top" wrapText="1"/>
    </xf>
    <xf numFmtId="164" fontId="0" fillId="6" borderId="6" xfId="0" applyFont="false" applyFill="true" applyBorder="true" applyAlignment="true" applyProtection="false">
      <alignment vertical="top" wrapText="1"/>
    </xf>
    <xf numFmtId="164" fontId="0" fillId="8" borderId="1" xfId="0" applyFont="false" applyFill="true" applyBorder="true" applyAlignment="true" applyProtection="false">
      <alignment vertical="top" wrapText="1"/>
    </xf>
    <xf numFmtId="164" fontId="0" fillId="8" borderId="2" xfId="0" applyFont="false" applyFill="true" applyBorder="true" applyAlignment="true" applyProtection="false">
      <alignment vertical="top" wrapText="1"/>
    </xf>
    <xf numFmtId="164" fontId="0" fillId="8" borderId="9" xfId="0" applyFont="false" applyFill="true" applyBorder="true" applyAlignment="true" applyProtection="false">
      <alignment vertical="top" wrapText="1"/>
    </xf>
    <xf numFmtId="164" fontId="0" fillId="8" borderId="4" xfId="0" applyFont="false" applyFill="true" applyBorder="true" applyAlignment="true" applyProtection="false">
      <alignment vertical="top" wrapText="1"/>
    </xf>
    <xf numFmtId="164" fontId="0" fillId="8" borderId="3" xfId="0" applyFont="false" applyFill="true" applyBorder="true" applyAlignment="true" applyProtection="false">
      <alignment vertical="top" wrapText="1"/>
    </xf>
    <xf numFmtId="164" fontId="0" fillId="8" borderId="7" xfId="0" applyFont="false" applyFill="true" applyBorder="true" applyAlignment="true" applyProtection="false">
      <alignment vertical="top" wrapText="1"/>
    </xf>
    <xf numFmtId="164" fontId="0" fillId="8" borderId="5" xfId="0" applyFont="false" applyFill="true" applyBorder="true" applyAlignment="true" applyProtection="false">
      <alignment vertical="top" wrapText="1"/>
    </xf>
    <xf numFmtId="164" fontId="0" fillId="8" borderId="6" xfId="0" applyFont="false" applyFill="true" applyBorder="true" applyAlignment="true" applyProtection="false">
      <alignment vertical="top" wrapText="1"/>
    </xf>
    <xf numFmtId="164" fontId="0" fillId="10" borderId="1" xfId="0" applyFont="false" applyFill="true" applyBorder="true" applyAlignment="true" applyProtection="false">
      <alignment vertical="top" wrapText="1"/>
    </xf>
    <xf numFmtId="164" fontId="0" fillId="10" borderId="2" xfId="0" applyFont="false" applyFill="true" applyBorder="true" applyAlignment="true" applyProtection="false">
      <alignment vertical="top" wrapText="1"/>
    </xf>
    <xf numFmtId="164" fontId="0" fillId="10" borderId="9" xfId="0" applyFont="false" applyFill="true" applyBorder="true" applyAlignment="true" applyProtection="false">
      <alignment vertical="top" wrapText="1"/>
    </xf>
    <xf numFmtId="164" fontId="0" fillId="10" borderId="4" xfId="0" applyFont="false" applyFill="true" applyBorder="true" applyAlignment="true" applyProtection="false">
      <alignment vertical="top" wrapText="1"/>
    </xf>
    <xf numFmtId="164" fontId="0" fillId="10" borderId="3" xfId="0" applyFont="false" applyFill="true" applyBorder="true" applyAlignment="true" applyProtection="false">
      <alignment vertical="top" wrapText="1"/>
    </xf>
    <xf numFmtId="164" fontId="0" fillId="10" borderId="7" xfId="0" applyFont="false" applyFill="true" applyBorder="true" applyAlignment="true" applyProtection="false">
      <alignment vertical="top" wrapText="1"/>
    </xf>
    <xf numFmtId="164" fontId="0" fillId="10" borderId="5" xfId="0" applyFont="false" applyFill="true" applyBorder="true" applyAlignment="true" applyProtection="false">
      <alignment vertical="top" wrapText="1"/>
    </xf>
    <xf numFmtId="164" fontId="0" fillId="10" borderId="6" xfId="0" applyFont="false" applyFill="true" applyBorder="true" applyAlignment="true" applyProtection="false">
      <alignment vertical="top" wrapText="1"/>
    </xf>
    <xf numFmtId="164" fontId="4" fillId="12" borderId="1" xfId="0" applyFont="true" applyFill="true" applyBorder="true" applyAlignment="true" applyProtection="false">
      <alignment vertical="top" wrapText="1"/>
    </xf>
    <xf numFmtId="164" fontId="4" fillId="12" borderId="2" xfId="0" applyFont="true" applyFill="true" applyBorder="true" applyAlignment="true" applyProtection="false">
      <alignment vertical="top" wrapText="1"/>
    </xf>
    <xf numFmtId="164" fontId="4" fillId="12" borderId="9" xfId="0" applyFont="true" applyFill="true" applyBorder="true" applyAlignment="true" applyProtection="false">
      <alignment vertical="top" wrapText="1"/>
    </xf>
    <xf numFmtId="164" fontId="4" fillId="12" borderId="4" xfId="0" applyFont="true" applyFill="true" applyBorder="true" applyAlignment="true" applyProtection="false">
      <alignment vertical="top" wrapText="1"/>
    </xf>
    <xf numFmtId="164" fontId="4" fillId="12" borderId="3" xfId="0" applyFont="true" applyFill="true" applyBorder="true" applyAlignment="true" applyProtection="false">
      <alignment vertical="top" wrapText="1"/>
    </xf>
    <xf numFmtId="164" fontId="4" fillId="12" borderId="7" xfId="0" applyFont="true" applyFill="true" applyBorder="true" applyAlignment="true" applyProtection="false">
      <alignment vertical="top" wrapText="1"/>
    </xf>
    <xf numFmtId="164" fontId="4" fillId="12" borderId="5" xfId="0" applyFont="true" applyFill="true" applyBorder="true" applyAlignment="true" applyProtection="false">
      <alignment vertical="top" wrapText="1"/>
    </xf>
    <xf numFmtId="164" fontId="4" fillId="12" borderId="6" xfId="0" applyFont="true" applyFill="true" applyBorder="true" applyAlignment="true" applyProtection="false">
      <alignment vertical="top" wrapText="1"/>
    </xf>
    <xf numFmtId="164" fontId="4" fillId="2" borderId="1" xfId="0" applyFont="true" applyFill="true" applyBorder="true" applyAlignment="true" applyProtection="false">
      <alignment vertical="top" wrapText="1"/>
    </xf>
    <xf numFmtId="164" fontId="4" fillId="2" borderId="2" xfId="0" applyFont="true" applyFill="true" applyBorder="true" applyAlignment="true" applyProtection="false">
      <alignment vertical="top" wrapText="1"/>
    </xf>
    <xf numFmtId="164" fontId="4" fillId="2" borderId="9" xfId="0" applyFont="true" applyFill="true" applyBorder="true" applyAlignment="true" applyProtection="false">
      <alignment vertical="top" wrapText="1"/>
    </xf>
    <xf numFmtId="164" fontId="4" fillId="2" borderId="4" xfId="0" applyFont="true" applyFill="true" applyBorder="true" applyAlignment="true" applyProtection="false">
      <alignment vertical="top" wrapText="1"/>
    </xf>
    <xf numFmtId="164" fontId="4" fillId="2" borderId="3" xfId="0" applyFont="true" applyFill="true" applyBorder="true" applyAlignment="true" applyProtection="false">
      <alignment vertical="top" wrapText="1"/>
    </xf>
    <xf numFmtId="164" fontId="4" fillId="2" borderId="7" xfId="0" applyFont="true" applyFill="true" applyBorder="true" applyAlignment="true" applyProtection="false">
      <alignment vertical="top" wrapText="1"/>
    </xf>
    <xf numFmtId="164" fontId="4" fillId="2" borderId="5" xfId="0" applyFont="true" applyFill="true" applyBorder="true" applyAlignment="true" applyProtection="false">
      <alignment vertical="top" wrapText="1"/>
    </xf>
    <xf numFmtId="164" fontId="4" fillId="2" borderId="6" xfId="0" applyFont="true" applyFill="true" applyBorder="true" applyAlignment="true" applyProtection="false">
      <alignment vertical="top" wrapText="1"/>
    </xf>
    <xf numFmtId="164" fontId="4" fillId="3" borderId="1" xfId="0" applyFont="true" applyFill="true" applyBorder="true" applyAlignment="true" applyProtection="false">
      <alignment vertical="top" wrapText="1"/>
    </xf>
    <xf numFmtId="164" fontId="4" fillId="3" borderId="2" xfId="0" applyFont="true" applyFill="true" applyBorder="true" applyAlignment="true" applyProtection="false">
      <alignment vertical="top" wrapText="1"/>
    </xf>
    <xf numFmtId="164" fontId="4" fillId="3" borderId="9" xfId="0" applyFont="true" applyFill="true" applyBorder="true" applyAlignment="true" applyProtection="false">
      <alignment vertical="top" wrapText="1"/>
    </xf>
    <xf numFmtId="164" fontId="4" fillId="3" borderId="4" xfId="0" applyFont="true" applyFill="true" applyBorder="true" applyAlignment="true" applyProtection="false">
      <alignment vertical="top" wrapText="1"/>
    </xf>
    <xf numFmtId="164" fontId="4" fillId="3" borderId="3" xfId="0" applyFont="true" applyFill="true" applyBorder="true" applyAlignment="true" applyProtection="false">
      <alignment vertical="top" wrapText="1"/>
    </xf>
    <xf numFmtId="164" fontId="4" fillId="3" borderId="7" xfId="0" applyFont="true" applyFill="true" applyBorder="true" applyAlignment="true" applyProtection="false">
      <alignment vertical="top" wrapText="1"/>
    </xf>
    <xf numFmtId="164" fontId="4" fillId="3" borderId="5" xfId="0" applyFont="true" applyFill="true" applyBorder="true" applyAlignment="true" applyProtection="false">
      <alignment vertical="top" wrapText="1"/>
    </xf>
    <xf numFmtId="164" fontId="4" fillId="3" borderId="6" xfId="0" applyFont="true" applyFill="true" applyBorder="true" applyAlignment="true" applyProtection="false">
      <alignment vertical="top" wrapText="1"/>
    </xf>
    <xf numFmtId="164" fontId="0" fillId="0" borderId="1" xfId="0" applyFont="false" applyFill="true" applyBorder="true" applyAlignment="true" applyProtection="false">
      <alignment vertical="top" wrapText="1"/>
    </xf>
    <xf numFmtId="164" fontId="0" fillId="0" borderId="2" xfId="0" applyFont="false" applyFill="true" applyBorder="true" applyAlignment="true" applyProtection="false">
      <alignment vertical="top" wrapText="1"/>
    </xf>
    <xf numFmtId="164" fontId="0" fillId="0" borderId="9" xfId="0" applyFont="false" applyFill="true" applyBorder="true" applyAlignment="true" applyProtection="false">
      <alignment vertical="top" wrapText="1"/>
    </xf>
    <xf numFmtId="164" fontId="0" fillId="0" borderId="4" xfId="0" applyFont="false" applyFill="true" applyBorder="true" applyAlignment="true" applyProtection="false">
      <alignment vertical="top" wrapText="1"/>
    </xf>
    <xf numFmtId="164" fontId="0" fillId="0" borderId="3" xfId="0" applyFont="false" applyFill="true" applyBorder="true" applyAlignment="true" applyProtection="false">
      <alignment vertical="top" wrapText="1"/>
    </xf>
    <xf numFmtId="164" fontId="0" fillId="0" borderId="7" xfId="0" applyFont="false" applyFill="true" applyBorder="true" applyAlignment="true" applyProtection="false">
      <alignment vertical="top" wrapText="1"/>
    </xf>
    <xf numFmtId="164" fontId="0" fillId="0" borderId="5" xfId="0" applyFont="false" applyFill="true" applyBorder="true" applyAlignment="true" applyProtection="false">
      <alignment vertical="top" wrapText="1"/>
    </xf>
    <xf numFmtId="164" fontId="0" fillId="0" borderId="6" xfId="0" applyFont="false" applyFill="true" applyBorder="true" applyAlignment="true" applyProtection="false">
      <alignment vertical="top" wrapText="1"/>
    </xf>
    <xf numFmtId="164" fontId="0" fillId="13" borderId="0" xfId="0" applyFont="false" applyFill="true" applyBorder="false" applyAlignment="true" applyProtection="false">
      <alignment vertical="top" wrapText="1"/>
    </xf>
    <xf numFmtId="164" fontId="0" fillId="13" borderId="1" xfId="0" applyFont="false" applyFill="true" applyBorder="true" applyAlignment="true" applyProtection="false">
      <alignment vertical="top" wrapText="1"/>
    </xf>
    <xf numFmtId="164" fontId="0" fillId="13" borderId="2" xfId="0" applyFont="false" applyFill="true" applyBorder="true" applyAlignment="true" applyProtection="false">
      <alignment vertical="top" wrapText="1"/>
    </xf>
    <xf numFmtId="164" fontId="0" fillId="13" borderId="9" xfId="0" applyFont="false" applyFill="true" applyBorder="true" applyAlignment="true" applyProtection="false">
      <alignment vertical="top" wrapText="1"/>
    </xf>
    <xf numFmtId="164" fontId="0" fillId="13" borderId="4" xfId="0" applyFont="false" applyFill="true" applyBorder="true" applyAlignment="true" applyProtection="false">
      <alignment vertical="top" wrapText="1"/>
    </xf>
    <xf numFmtId="164" fontId="0" fillId="13" borderId="3" xfId="0" applyFont="false" applyFill="true" applyBorder="true" applyAlignment="true" applyProtection="false">
      <alignment vertical="top" wrapText="1"/>
    </xf>
    <xf numFmtId="164" fontId="0" fillId="13" borderId="7" xfId="0" applyFont="false" applyFill="true" applyBorder="true" applyAlignment="true" applyProtection="false">
      <alignment vertical="top" wrapText="1"/>
    </xf>
    <xf numFmtId="164" fontId="0" fillId="13" borderId="5" xfId="0" applyFont="false" applyFill="true" applyBorder="true" applyAlignment="true" applyProtection="false">
      <alignment vertical="top" wrapText="1"/>
    </xf>
    <xf numFmtId="164" fontId="0" fillId="13" borderId="6" xfId="0" applyFont="false" applyFill="true" applyBorder="true" applyAlignment="true" applyProtection="false">
      <alignment vertical="top" wrapText="1"/>
    </xf>
    <xf numFmtId="164" fontId="0" fillId="14" borderId="0" xfId="0" applyFont="false" applyFill="true" applyBorder="false" applyAlignment="true" applyProtection="false">
      <alignment vertical="top" wrapText="1"/>
    </xf>
    <xf numFmtId="164" fontId="0" fillId="15" borderId="0" xfId="0" applyFont="false" applyFill="true" applyBorder="false" applyAlignment="true" applyProtection="false">
      <alignment vertical="top" wrapText="1"/>
    </xf>
    <xf numFmtId="164" fontId="0" fillId="16" borderId="0" xfId="0" applyFont="false" applyFill="true" applyBorder="false" applyAlignment="true" applyProtection="false">
      <alignment vertical="top" wrapText="1"/>
    </xf>
    <xf numFmtId="164" fontId="0" fillId="17" borderId="0" xfId="0" applyFont="false" applyFill="true" applyBorder="false" applyAlignment="true" applyProtection="false">
      <alignment vertical="top" wrapText="1"/>
    </xf>
    <xf numFmtId="164" fontId="0" fillId="18" borderId="0" xfId="0" applyFont="false" applyFill="true" applyBorder="false" applyAlignment="true" applyProtection="false">
      <alignment vertical="top" wrapText="1"/>
    </xf>
    <xf numFmtId="164" fontId="0" fillId="19" borderId="0" xfId="0" applyFont="false" applyFill="true" applyBorder="false" applyAlignment="true" applyProtection="false">
      <alignment vertical="top" wrapText="1"/>
    </xf>
    <xf numFmtId="164" fontId="0" fillId="20" borderId="0" xfId="0" applyFont="false" applyFill="true" applyBorder="false" applyAlignment="true" applyProtection="false">
      <alignment vertical="top" wrapText="1"/>
    </xf>
    <xf numFmtId="164" fontId="0" fillId="21" borderId="0" xfId="0" applyFont="false" applyFill="true" applyBorder="false" applyAlignment="true" applyProtection="false">
      <alignment vertical="top" wrapText="1"/>
    </xf>
    <xf numFmtId="164" fontId="0" fillId="22" borderId="0" xfId="0" applyFont="false" applyFill="true" applyBorder="false" applyAlignment="true" applyProtection="false">
      <alignment vertical="top" wrapText="1"/>
    </xf>
    <xf numFmtId="164" fontId="0" fillId="23" borderId="0" xfId="0" applyFont="false" applyFill="true" applyBorder="false" applyAlignment="true" applyProtection="false">
      <alignment vertical="top" wrapText="1"/>
    </xf>
    <xf numFmtId="164" fontId="0" fillId="24" borderId="0" xfId="0" applyFont="false" applyFill="true" applyBorder="false" applyAlignment="true" applyProtection="false">
      <alignment vertical="top" wrapText="1"/>
    </xf>
    <xf numFmtId="164" fontId="0" fillId="25" borderId="0" xfId="0" applyFont="false" applyFill="true" applyBorder="false" applyAlignment="true" applyProtection="false">
      <alignment vertical="top" wrapText="1"/>
    </xf>
    <xf numFmtId="164" fontId="0" fillId="26" borderId="0" xfId="0" applyFont="false" applyFill="true" applyBorder="false" applyAlignment="true" applyProtection="false">
      <alignment vertical="top" wrapText="1"/>
    </xf>
    <xf numFmtId="164" fontId="0" fillId="27" borderId="0" xfId="0" applyFont="false" applyFill="true" applyBorder="false" applyAlignment="true" applyProtection="false">
      <alignment vertical="top" wrapText="1"/>
    </xf>
    <xf numFmtId="164" fontId="0" fillId="28" borderId="0" xfId="0" applyFont="false" applyFill="true" applyBorder="false" applyAlignment="true" applyProtection="false">
      <alignment vertical="top" wrapText="1"/>
    </xf>
    <xf numFmtId="164" fontId="0" fillId="29" borderId="0" xfId="0" applyFont="false" applyFill="true" applyBorder="false" applyAlignment="true" applyProtection="false">
      <alignment vertical="top" wrapText="1"/>
    </xf>
    <xf numFmtId="164" fontId="0" fillId="30" borderId="0" xfId="0" applyFont="false" applyFill="true" applyBorder="false" applyAlignment="true" applyProtection="false">
      <alignment vertical="top" wrapText="1"/>
    </xf>
    <xf numFmtId="164" fontId="0" fillId="31" borderId="0" xfId="0" applyFont="false" applyFill="true" applyBorder="false" applyAlignment="true" applyProtection="false">
      <alignment vertical="top" wrapText="1"/>
    </xf>
    <xf numFmtId="164" fontId="0" fillId="32" borderId="0" xfId="0" applyFont="false" applyFill="true" applyBorder="false" applyAlignment="true" applyProtection="false">
      <alignment vertical="top" wrapText="1"/>
    </xf>
    <xf numFmtId="164" fontId="0" fillId="33" borderId="0" xfId="0" applyFont="false" applyFill="true" applyBorder="false" applyAlignment="true" applyProtection="false">
      <alignment vertical="top" wrapText="1"/>
    </xf>
    <xf numFmtId="164" fontId="0" fillId="34" borderId="0" xfId="0" applyFont="false" applyFill="true" applyBorder="false" applyAlignment="true" applyProtection="false">
      <alignment vertical="top" wrapText="1"/>
    </xf>
    <xf numFmtId="164" fontId="0" fillId="35" borderId="0" xfId="0" applyFont="false" applyFill="true" applyBorder="false" applyAlignment="true" applyProtection="false">
      <alignment vertical="top" wrapText="1"/>
    </xf>
    <xf numFmtId="164" fontId="0" fillId="14" borderId="1" xfId="0" applyFont="false" applyFill="true" applyBorder="true" applyAlignment="true" applyProtection="false">
      <alignment vertical="top" wrapText="1"/>
    </xf>
    <xf numFmtId="164" fontId="0" fillId="14" borderId="2" xfId="0" applyFont="false" applyFill="true" applyBorder="true" applyAlignment="true" applyProtection="false">
      <alignment vertical="top" wrapText="1"/>
    </xf>
    <xf numFmtId="164" fontId="0" fillId="14" borderId="9" xfId="0" applyFont="false" applyFill="true" applyBorder="true" applyAlignment="true" applyProtection="false">
      <alignment vertical="top" wrapText="1"/>
    </xf>
    <xf numFmtId="164" fontId="0" fillId="14" borderId="4" xfId="0" applyFont="false" applyFill="true" applyBorder="true" applyAlignment="true" applyProtection="false">
      <alignment vertical="top" wrapText="1"/>
    </xf>
    <xf numFmtId="164" fontId="0" fillId="14" borderId="3" xfId="0" applyFont="false" applyFill="true" applyBorder="true" applyAlignment="true" applyProtection="false">
      <alignment vertical="top" wrapText="1"/>
    </xf>
    <xf numFmtId="164" fontId="0" fillId="14" borderId="7" xfId="0" applyFont="false" applyFill="true" applyBorder="true" applyAlignment="true" applyProtection="false">
      <alignment vertical="top" wrapText="1"/>
    </xf>
    <xf numFmtId="164" fontId="0" fillId="14" borderId="5" xfId="0" applyFont="false" applyFill="true" applyBorder="true" applyAlignment="true" applyProtection="false">
      <alignment vertical="top" wrapText="1"/>
    </xf>
    <xf numFmtId="164" fontId="0" fillId="14" borderId="6" xfId="0" applyFont="false" applyFill="true" applyBorder="true" applyAlignment="true" applyProtection="false">
      <alignment vertical="top" wrapText="1"/>
    </xf>
    <xf numFmtId="164" fontId="0" fillId="15" borderId="1" xfId="0" applyFont="false" applyFill="true" applyBorder="true" applyAlignment="true" applyProtection="false">
      <alignment vertical="top" wrapText="1"/>
    </xf>
    <xf numFmtId="164" fontId="0" fillId="15" borderId="2" xfId="0" applyFont="false" applyFill="true" applyBorder="true" applyAlignment="true" applyProtection="false">
      <alignment vertical="top" wrapText="1"/>
    </xf>
    <xf numFmtId="164" fontId="0" fillId="15" borderId="9" xfId="0" applyFont="false" applyFill="true" applyBorder="true" applyAlignment="true" applyProtection="false">
      <alignment vertical="top" wrapText="1"/>
    </xf>
    <xf numFmtId="164" fontId="0" fillId="15" borderId="4" xfId="0" applyFont="false" applyFill="true" applyBorder="true" applyAlignment="true" applyProtection="false">
      <alignment vertical="top" wrapText="1"/>
    </xf>
    <xf numFmtId="164" fontId="0" fillId="15" borderId="3" xfId="0" applyFont="false" applyFill="true" applyBorder="true" applyAlignment="true" applyProtection="false">
      <alignment vertical="top" wrapText="1"/>
    </xf>
    <xf numFmtId="164" fontId="0" fillId="15" borderId="7" xfId="0" applyFont="false" applyFill="true" applyBorder="true" applyAlignment="true" applyProtection="false">
      <alignment vertical="top" wrapText="1"/>
    </xf>
    <xf numFmtId="164" fontId="0" fillId="15" borderId="5" xfId="0" applyFont="false" applyFill="true" applyBorder="true" applyAlignment="true" applyProtection="false">
      <alignment vertical="top" wrapText="1"/>
    </xf>
    <xf numFmtId="164" fontId="0" fillId="15" borderId="6" xfId="0" applyFont="false" applyFill="true" applyBorder="true" applyAlignment="true" applyProtection="false">
      <alignment vertical="top" wrapText="1"/>
    </xf>
    <xf numFmtId="164" fontId="0" fillId="16" borderId="1" xfId="0" applyFont="false" applyFill="true" applyBorder="true" applyAlignment="true" applyProtection="false">
      <alignment vertical="top" wrapText="1"/>
    </xf>
    <xf numFmtId="164" fontId="0" fillId="16" borderId="2" xfId="0" applyFont="false" applyFill="true" applyBorder="true" applyAlignment="true" applyProtection="false">
      <alignment vertical="top" wrapText="1"/>
    </xf>
    <xf numFmtId="164" fontId="0" fillId="16" borderId="9" xfId="0" applyFont="false" applyFill="true" applyBorder="true" applyAlignment="true" applyProtection="false">
      <alignment vertical="top" wrapText="1"/>
    </xf>
    <xf numFmtId="164" fontId="0" fillId="16" borderId="4" xfId="0" applyFont="false" applyFill="true" applyBorder="true" applyAlignment="true" applyProtection="false">
      <alignment vertical="top" wrapText="1"/>
    </xf>
    <xf numFmtId="164" fontId="0" fillId="16" borderId="3" xfId="0" applyFont="false" applyFill="true" applyBorder="true" applyAlignment="true" applyProtection="false">
      <alignment vertical="top" wrapText="1"/>
    </xf>
    <xf numFmtId="164" fontId="0" fillId="16" borderId="7" xfId="0" applyFont="false" applyFill="true" applyBorder="true" applyAlignment="true" applyProtection="false">
      <alignment vertical="top" wrapText="1"/>
    </xf>
    <xf numFmtId="164" fontId="0" fillId="16" borderId="5" xfId="0" applyFont="false" applyFill="true" applyBorder="true" applyAlignment="true" applyProtection="false">
      <alignment vertical="top" wrapText="1"/>
    </xf>
    <xf numFmtId="164" fontId="0" fillId="16" borderId="6" xfId="0" applyFont="false" applyFill="true" applyBorder="true" applyAlignment="true" applyProtection="false">
      <alignment vertical="top" wrapText="1"/>
    </xf>
    <xf numFmtId="164" fontId="0" fillId="17" borderId="1" xfId="0" applyFont="false" applyFill="true" applyBorder="true" applyAlignment="true" applyProtection="false">
      <alignment vertical="top" wrapText="1"/>
    </xf>
    <xf numFmtId="164" fontId="0" fillId="17" borderId="2" xfId="0" applyFont="false" applyFill="true" applyBorder="true" applyAlignment="true" applyProtection="false">
      <alignment vertical="top" wrapText="1"/>
    </xf>
    <xf numFmtId="164" fontId="0" fillId="17" borderId="9" xfId="0" applyFont="false" applyFill="true" applyBorder="true" applyAlignment="true" applyProtection="false">
      <alignment vertical="top" wrapText="1"/>
    </xf>
    <xf numFmtId="164" fontId="0" fillId="17" borderId="4" xfId="0" applyFont="false" applyFill="true" applyBorder="true" applyAlignment="true" applyProtection="false">
      <alignment vertical="top" wrapText="1"/>
    </xf>
    <xf numFmtId="164" fontId="0" fillId="17" borderId="3" xfId="0" applyFont="false" applyFill="true" applyBorder="true" applyAlignment="true" applyProtection="false">
      <alignment vertical="top" wrapText="1"/>
    </xf>
    <xf numFmtId="164" fontId="0" fillId="17" borderId="7" xfId="0" applyFont="false" applyFill="true" applyBorder="true" applyAlignment="true" applyProtection="false">
      <alignment vertical="top" wrapText="1"/>
    </xf>
    <xf numFmtId="164" fontId="0" fillId="17" borderId="5" xfId="0" applyFont="false" applyFill="true" applyBorder="true" applyAlignment="true" applyProtection="false">
      <alignment vertical="top" wrapText="1"/>
    </xf>
    <xf numFmtId="164" fontId="0" fillId="17" borderId="6" xfId="0" applyFont="false" applyFill="true" applyBorder="true" applyAlignment="true" applyProtection="false">
      <alignment vertical="top" wrapText="1"/>
    </xf>
    <xf numFmtId="164" fontId="0" fillId="18" borderId="1" xfId="0" applyFont="false" applyFill="true" applyBorder="true" applyAlignment="true" applyProtection="false">
      <alignment vertical="top" wrapText="1"/>
    </xf>
    <xf numFmtId="164" fontId="0" fillId="18" borderId="2" xfId="0" applyFont="false" applyFill="true" applyBorder="true" applyAlignment="true" applyProtection="false">
      <alignment vertical="top" wrapText="1"/>
    </xf>
    <xf numFmtId="164" fontId="0" fillId="18" borderId="9" xfId="0" applyFont="false" applyFill="true" applyBorder="true" applyAlignment="true" applyProtection="false">
      <alignment vertical="top" wrapText="1"/>
    </xf>
    <xf numFmtId="164" fontId="0" fillId="18" borderId="4" xfId="0" applyFont="false" applyFill="true" applyBorder="true" applyAlignment="true" applyProtection="false">
      <alignment vertical="top" wrapText="1"/>
    </xf>
    <xf numFmtId="164" fontId="0" fillId="18" borderId="3" xfId="0" applyFont="false" applyFill="true" applyBorder="true" applyAlignment="true" applyProtection="false">
      <alignment vertical="top" wrapText="1"/>
    </xf>
    <xf numFmtId="164" fontId="0" fillId="18" borderId="7" xfId="0" applyFont="false" applyFill="true" applyBorder="true" applyAlignment="true" applyProtection="false">
      <alignment vertical="top" wrapText="1"/>
    </xf>
    <xf numFmtId="164" fontId="0" fillId="18" borderId="5" xfId="0" applyFont="false" applyFill="true" applyBorder="true" applyAlignment="true" applyProtection="false">
      <alignment vertical="top" wrapText="1"/>
    </xf>
    <xf numFmtId="164" fontId="0" fillId="18" borderId="6" xfId="0" applyFont="false" applyFill="true" applyBorder="true" applyAlignment="true" applyProtection="false">
      <alignment vertical="top" wrapText="1"/>
    </xf>
    <xf numFmtId="164" fontId="0" fillId="19" borderId="1" xfId="0" applyFont="false" applyFill="true" applyBorder="true" applyAlignment="true" applyProtection="false">
      <alignment vertical="top" wrapText="1"/>
    </xf>
    <xf numFmtId="164" fontId="0" fillId="19" borderId="2" xfId="0" applyFont="false" applyFill="true" applyBorder="true" applyAlignment="true" applyProtection="false">
      <alignment vertical="top" wrapText="1"/>
    </xf>
    <xf numFmtId="164" fontId="0" fillId="19" borderId="9" xfId="0" applyFont="false" applyFill="true" applyBorder="true" applyAlignment="true" applyProtection="false">
      <alignment vertical="top" wrapText="1"/>
    </xf>
    <xf numFmtId="164" fontId="0" fillId="19" borderId="4" xfId="0" applyFont="false" applyFill="true" applyBorder="true" applyAlignment="true" applyProtection="false">
      <alignment vertical="top" wrapText="1"/>
    </xf>
    <xf numFmtId="164" fontId="0" fillId="19" borderId="3" xfId="0" applyFont="false" applyFill="true" applyBorder="true" applyAlignment="true" applyProtection="false">
      <alignment vertical="top" wrapText="1"/>
    </xf>
    <xf numFmtId="164" fontId="0" fillId="19" borderId="7" xfId="0" applyFont="false" applyFill="true" applyBorder="true" applyAlignment="true" applyProtection="false">
      <alignment vertical="top" wrapText="1"/>
    </xf>
    <xf numFmtId="164" fontId="0" fillId="19" borderId="5" xfId="0" applyFont="false" applyFill="true" applyBorder="true" applyAlignment="true" applyProtection="false">
      <alignment vertical="top" wrapText="1"/>
    </xf>
    <xf numFmtId="164" fontId="0" fillId="19" borderId="6" xfId="0" applyFont="false" applyFill="true" applyBorder="true" applyAlignment="true" applyProtection="false">
      <alignment vertical="top" wrapText="1"/>
    </xf>
    <xf numFmtId="164" fontId="0" fillId="20" borderId="1" xfId="0" applyFont="false" applyFill="true" applyBorder="true" applyAlignment="true" applyProtection="false">
      <alignment vertical="top" wrapText="1"/>
    </xf>
    <xf numFmtId="164" fontId="0" fillId="20" borderId="2" xfId="0" applyFont="false" applyFill="true" applyBorder="true" applyAlignment="true" applyProtection="false">
      <alignment vertical="top" wrapText="1"/>
    </xf>
    <xf numFmtId="164" fontId="0" fillId="20" borderId="9" xfId="0" applyFont="false" applyFill="true" applyBorder="true" applyAlignment="true" applyProtection="false">
      <alignment vertical="top" wrapText="1"/>
    </xf>
    <xf numFmtId="164" fontId="0" fillId="20" borderId="4" xfId="0" applyFont="false" applyFill="true" applyBorder="true" applyAlignment="true" applyProtection="false">
      <alignment vertical="top" wrapText="1"/>
    </xf>
    <xf numFmtId="164" fontId="0" fillId="20" borderId="3" xfId="0" applyFont="false" applyFill="true" applyBorder="true" applyAlignment="true" applyProtection="false">
      <alignment vertical="top" wrapText="1"/>
    </xf>
    <xf numFmtId="164" fontId="0" fillId="20" borderId="7" xfId="0" applyFont="false" applyFill="true" applyBorder="true" applyAlignment="true" applyProtection="false">
      <alignment vertical="top" wrapText="1"/>
    </xf>
    <xf numFmtId="164" fontId="0" fillId="20" borderId="5" xfId="0" applyFont="false" applyFill="true" applyBorder="true" applyAlignment="true" applyProtection="false">
      <alignment vertical="top" wrapText="1"/>
    </xf>
    <xf numFmtId="164" fontId="0" fillId="20" borderId="6" xfId="0" applyFont="false" applyFill="true" applyBorder="true" applyAlignment="true" applyProtection="false">
      <alignment vertical="top" wrapText="1"/>
    </xf>
    <xf numFmtId="164" fontId="0" fillId="21" borderId="1" xfId="0" applyFont="false" applyFill="true" applyBorder="true" applyAlignment="true" applyProtection="false">
      <alignment vertical="top" wrapText="1"/>
    </xf>
    <xf numFmtId="164" fontId="0" fillId="21" borderId="2" xfId="0" applyFont="false" applyFill="true" applyBorder="true" applyAlignment="true" applyProtection="false">
      <alignment vertical="top" wrapText="1"/>
    </xf>
    <xf numFmtId="164" fontId="0" fillId="21" borderId="9" xfId="0" applyFont="false" applyFill="true" applyBorder="true" applyAlignment="true" applyProtection="false">
      <alignment vertical="top" wrapText="1"/>
    </xf>
    <xf numFmtId="164" fontId="0" fillId="21" borderId="4" xfId="0" applyFont="false" applyFill="true" applyBorder="true" applyAlignment="true" applyProtection="false">
      <alignment vertical="top" wrapText="1"/>
    </xf>
    <xf numFmtId="164" fontId="0" fillId="21" borderId="3" xfId="0" applyFont="false" applyFill="true" applyBorder="true" applyAlignment="true" applyProtection="false">
      <alignment vertical="top" wrapText="1"/>
    </xf>
    <xf numFmtId="164" fontId="0" fillId="21" borderId="7" xfId="0" applyFont="false" applyFill="true" applyBorder="true" applyAlignment="true" applyProtection="false">
      <alignment vertical="top" wrapText="1"/>
    </xf>
    <xf numFmtId="164" fontId="0" fillId="21" borderId="5" xfId="0" applyFont="false" applyFill="true" applyBorder="true" applyAlignment="true" applyProtection="false">
      <alignment vertical="top" wrapText="1"/>
    </xf>
    <xf numFmtId="164" fontId="0" fillId="21" borderId="6" xfId="0" applyFont="false" applyFill="true" applyBorder="true" applyAlignment="true" applyProtection="false">
      <alignment vertical="top" wrapText="1"/>
    </xf>
    <xf numFmtId="164" fontId="0" fillId="22" borderId="1" xfId="0" applyFont="false" applyFill="true" applyBorder="true" applyAlignment="true" applyProtection="false">
      <alignment vertical="top" wrapText="1"/>
    </xf>
    <xf numFmtId="164" fontId="0" fillId="22" borderId="2" xfId="0" applyFont="false" applyFill="true" applyBorder="true" applyAlignment="true" applyProtection="false">
      <alignment vertical="top" wrapText="1"/>
    </xf>
    <xf numFmtId="164" fontId="0" fillId="22" borderId="9" xfId="0" applyFont="false" applyFill="true" applyBorder="true" applyAlignment="true" applyProtection="false">
      <alignment vertical="top" wrapText="1"/>
    </xf>
    <xf numFmtId="164" fontId="0" fillId="22" borderId="4" xfId="0" applyFont="false" applyFill="true" applyBorder="true" applyAlignment="true" applyProtection="false">
      <alignment vertical="top" wrapText="1"/>
    </xf>
    <xf numFmtId="164" fontId="0" fillId="22" borderId="3" xfId="0" applyFont="false" applyFill="true" applyBorder="true" applyAlignment="true" applyProtection="false">
      <alignment vertical="top" wrapText="1"/>
    </xf>
    <xf numFmtId="164" fontId="0" fillId="22" borderId="7" xfId="0" applyFont="false" applyFill="true" applyBorder="true" applyAlignment="true" applyProtection="false">
      <alignment vertical="top" wrapText="1"/>
    </xf>
    <xf numFmtId="164" fontId="0" fillId="22" borderId="5" xfId="0" applyFont="false" applyFill="true" applyBorder="true" applyAlignment="true" applyProtection="false">
      <alignment vertical="top" wrapText="1"/>
    </xf>
    <xf numFmtId="164" fontId="0" fillId="22" borderId="6" xfId="0" applyFont="false" applyFill="true" applyBorder="true" applyAlignment="true" applyProtection="false">
      <alignment vertical="top" wrapText="1"/>
    </xf>
    <xf numFmtId="164" fontId="0" fillId="23" borderId="1" xfId="0" applyFont="false" applyFill="true" applyBorder="true" applyAlignment="true" applyProtection="false">
      <alignment vertical="top" wrapText="1"/>
    </xf>
    <xf numFmtId="164" fontId="0" fillId="23" borderId="2" xfId="0" applyFont="false" applyFill="true" applyBorder="true" applyAlignment="true" applyProtection="false">
      <alignment vertical="top" wrapText="1"/>
    </xf>
    <xf numFmtId="164" fontId="0" fillId="23" borderId="9" xfId="0" applyFont="false" applyFill="true" applyBorder="true" applyAlignment="true" applyProtection="false">
      <alignment vertical="top" wrapText="1"/>
    </xf>
    <xf numFmtId="164" fontId="0" fillId="23" borderId="4" xfId="0" applyFont="false" applyFill="true" applyBorder="true" applyAlignment="true" applyProtection="false">
      <alignment vertical="top" wrapText="1"/>
    </xf>
    <xf numFmtId="164" fontId="0" fillId="23" borderId="3" xfId="0" applyFont="false" applyFill="true" applyBorder="true" applyAlignment="true" applyProtection="false">
      <alignment vertical="top" wrapText="1"/>
    </xf>
    <xf numFmtId="164" fontId="0" fillId="23" borderId="7" xfId="0" applyFont="false" applyFill="true" applyBorder="true" applyAlignment="true" applyProtection="false">
      <alignment vertical="top" wrapText="1"/>
    </xf>
    <xf numFmtId="164" fontId="0" fillId="23" borderId="5" xfId="0" applyFont="false" applyFill="true" applyBorder="true" applyAlignment="true" applyProtection="false">
      <alignment vertical="top" wrapText="1"/>
    </xf>
    <xf numFmtId="164" fontId="0" fillId="23" borderId="6" xfId="0" applyFont="false" applyFill="true" applyBorder="true" applyAlignment="true" applyProtection="false">
      <alignment vertical="top" wrapText="1"/>
    </xf>
    <xf numFmtId="164" fontId="0" fillId="24" borderId="1" xfId="0" applyFont="false" applyFill="true" applyBorder="true" applyAlignment="true" applyProtection="false">
      <alignment vertical="top" wrapText="1"/>
    </xf>
    <xf numFmtId="164" fontId="0" fillId="24" borderId="2" xfId="0" applyFont="false" applyFill="true" applyBorder="true" applyAlignment="true" applyProtection="false">
      <alignment vertical="top" wrapText="1"/>
    </xf>
    <xf numFmtId="164" fontId="0" fillId="24" borderId="9" xfId="0" applyFont="false" applyFill="true" applyBorder="true" applyAlignment="true" applyProtection="false">
      <alignment vertical="top" wrapText="1"/>
    </xf>
    <xf numFmtId="164" fontId="0" fillId="24" borderId="4" xfId="0" applyFont="false" applyFill="true" applyBorder="true" applyAlignment="true" applyProtection="false">
      <alignment vertical="top" wrapText="1"/>
    </xf>
    <xf numFmtId="164" fontId="0" fillId="24" borderId="3" xfId="0" applyFont="false" applyFill="true" applyBorder="true" applyAlignment="true" applyProtection="false">
      <alignment vertical="top" wrapText="1"/>
    </xf>
    <xf numFmtId="164" fontId="0" fillId="24" borderId="7" xfId="0" applyFont="false" applyFill="true" applyBorder="true" applyAlignment="true" applyProtection="false">
      <alignment vertical="top" wrapText="1"/>
    </xf>
    <xf numFmtId="164" fontId="0" fillId="24" borderId="5" xfId="0" applyFont="false" applyFill="true" applyBorder="true" applyAlignment="true" applyProtection="false">
      <alignment vertical="top" wrapText="1"/>
    </xf>
    <xf numFmtId="164" fontId="0" fillId="24" borderId="6" xfId="0" applyFont="false" applyFill="true" applyBorder="true" applyAlignment="true" applyProtection="false">
      <alignment vertical="top" wrapText="1"/>
    </xf>
    <xf numFmtId="164" fontId="0" fillId="25" borderId="1" xfId="0" applyFont="false" applyFill="true" applyBorder="true" applyAlignment="true" applyProtection="false">
      <alignment vertical="top" wrapText="1"/>
    </xf>
    <xf numFmtId="164" fontId="0" fillId="25" borderId="2" xfId="0" applyFont="false" applyFill="true" applyBorder="true" applyAlignment="true" applyProtection="false">
      <alignment vertical="top" wrapText="1"/>
    </xf>
    <xf numFmtId="164" fontId="0" fillId="25" borderId="9" xfId="0" applyFont="false" applyFill="true" applyBorder="true" applyAlignment="true" applyProtection="false">
      <alignment vertical="top" wrapText="1"/>
    </xf>
    <xf numFmtId="164" fontId="0" fillId="25" borderId="4" xfId="0" applyFont="false" applyFill="true" applyBorder="true" applyAlignment="true" applyProtection="false">
      <alignment vertical="top" wrapText="1"/>
    </xf>
    <xf numFmtId="164" fontId="0" fillId="25" borderId="3" xfId="0" applyFont="false" applyFill="true" applyBorder="true" applyAlignment="true" applyProtection="false">
      <alignment vertical="top" wrapText="1"/>
    </xf>
    <xf numFmtId="164" fontId="0" fillId="25" borderId="7" xfId="0" applyFont="false" applyFill="true" applyBorder="true" applyAlignment="true" applyProtection="false">
      <alignment vertical="top" wrapText="1"/>
    </xf>
    <xf numFmtId="164" fontId="0" fillId="25" borderId="5" xfId="0" applyFont="false" applyFill="true" applyBorder="true" applyAlignment="true" applyProtection="false">
      <alignment vertical="top" wrapText="1"/>
    </xf>
    <xf numFmtId="164" fontId="0" fillId="25" borderId="6" xfId="0" applyFont="false" applyFill="true" applyBorder="true" applyAlignment="true" applyProtection="false">
      <alignment vertical="top" wrapText="1"/>
    </xf>
    <xf numFmtId="164" fontId="0" fillId="26" borderId="1" xfId="0" applyFont="false" applyFill="true" applyBorder="true" applyAlignment="true" applyProtection="false">
      <alignment vertical="top" wrapText="1"/>
    </xf>
    <xf numFmtId="164" fontId="0" fillId="26" borderId="2" xfId="0" applyFont="false" applyFill="true" applyBorder="true" applyAlignment="true" applyProtection="false">
      <alignment vertical="top" wrapText="1"/>
    </xf>
    <xf numFmtId="164" fontId="0" fillId="26" borderId="9" xfId="0" applyFont="false" applyFill="true" applyBorder="true" applyAlignment="true" applyProtection="false">
      <alignment vertical="top" wrapText="1"/>
    </xf>
    <xf numFmtId="164" fontId="0" fillId="26" borderId="4" xfId="0" applyFont="false" applyFill="true" applyBorder="true" applyAlignment="true" applyProtection="false">
      <alignment vertical="top" wrapText="1"/>
    </xf>
    <xf numFmtId="164" fontId="0" fillId="26" borderId="3" xfId="0" applyFont="false" applyFill="true" applyBorder="true" applyAlignment="true" applyProtection="false">
      <alignment vertical="top" wrapText="1"/>
    </xf>
    <xf numFmtId="164" fontId="0" fillId="26" borderId="7" xfId="0" applyFont="false" applyFill="true" applyBorder="true" applyAlignment="true" applyProtection="false">
      <alignment vertical="top" wrapText="1"/>
    </xf>
    <xf numFmtId="164" fontId="0" fillId="26" borderId="5" xfId="0" applyFont="false" applyFill="true" applyBorder="true" applyAlignment="true" applyProtection="false">
      <alignment vertical="top" wrapText="1"/>
    </xf>
    <xf numFmtId="164" fontId="0" fillId="26" borderId="6" xfId="0" applyFont="false" applyFill="true" applyBorder="true" applyAlignment="true" applyProtection="false">
      <alignment vertical="top" wrapText="1"/>
    </xf>
    <xf numFmtId="164" fontId="0" fillId="27" borderId="1" xfId="0" applyFont="false" applyFill="true" applyBorder="true" applyAlignment="true" applyProtection="false">
      <alignment vertical="top" wrapText="1"/>
    </xf>
    <xf numFmtId="164" fontId="0" fillId="27" borderId="2" xfId="0" applyFont="false" applyFill="true" applyBorder="true" applyAlignment="true" applyProtection="false">
      <alignment vertical="top" wrapText="1"/>
    </xf>
    <xf numFmtId="164" fontId="0" fillId="27" borderId="9" xfId="0" applyFont="false" applyFill="true" applyBorder="true" applyAlignment="true" applyProtection="false">
      <alignment vertical="top" wrapText="1"/>
    </xf>
    <xf numFmtId="164" fontId="0" fillId="27" borderId="4" xfId="0" applyFont="false" applyFill="true" applyBorder="true" applyAlignment="true" applyProtection="false">
      <alignment vertical="top" wrapText="1"/>
    </xf>
    <xf numFmtId="164" fontId="0" fillId="27" borderId="3" xfId="0" applyFont="false" applyFill="true" applyBorder="true" applyAlignment="true" applyProtection="false">
      <alignment vertical="top" wrapText="1"/>
    </xf>
    <xf numFmtId="164" fontId="0" fillId="27" borderId="7" xfId="0" applyFont="false" applyFill="true" applyBorder="true" applyAlignment="true" applyProtection="false">
      <alignment vertical="top" wrapText="1"/>
    </xf>
    <xf numFmtId="164" fontId="0" fillId="27" borderId="5" xfId="0" applyFont="false" applyFill="true" applyBorder="true" applyAlignment="true" applyProtection="false">
      <alignment vertical="top" wrapText="1"/>
    </xf>
    <xf numFmtId="164" fontId="0" fillId="27" borderId="6" xfId="0" applyFont="false" applyFill="true" applyBorder="true" applyAlignment="true" applyProtection="false">
      <alignment vertical="top" wrapText="1"/>
    </xf>
    <xf numFmtId="164" fontId="0" fillId="28" borderId="1" xfId="0" applyFont="false" applyFill="true" applyBorder="true" applyAlignment="true" applyProtection="false">
      <alignment vertical="top" wrapText="1"/>
    </xf>
    <xf numFmtId="164" fontId="0" fillId="28" borderId="2" xfId="0" applyFont="false" applyFill="true" applyBorder="true" applyAlignment="true" applyProtection="false">
      <alignment vertical="top" wrapText="1"/>
    </xf>
    <xf numFmtId="164" fontId="0" fillId="28" borderId="9" xfId="0" applyFont="false" applyFill="true" applyBorder="true" applyAlignment="true" applyProtection="false">
      <alignment vertical="top" wrapText="1"/>
    </xf>
    <xf numFmtId="164" fontId="0" fillId="28" borderId="4" xfId="0" applyFont="false" applyFill="true" applyBorder="true" applyAlignment="true" applyProtection="false">
      <alignment vertical="top" wrapText="1"/>
    </xf>
    <xf numFmtId="164" fontId="0" fillId="28" borderId="3" xfId="0" applyFont="false" applyFill="true" applyBorder="true" applyAlignment="true" applyProtection="false">
      <alignment vertical="top" wrapText="1"/>
    </xf>
    <xf numFmtId="164" fontId="0" fillId="28" borderId="7" xfId="0" applyFont="false" applyFill="true" applyBorder="true" applyAlignment="true" applyProtection="false">
      <alignment vertical="top" wrapText="1"/>
    </xf>
    <xf numFmtId="164" fontId="0" fillId="28" borderId="5" xfId="0" applyFont="false" applyFill="true" applyBorder="true" applyAlignment="true" applyProtection="false">
      <alignment vertical="top" wrapText="1"/>
    </xf>
    <xf numFmtId="164" fontId="0" fillId="28" borderId="6" xfId="0" applyFont="false" applyFill="true" applyBorder="true" applyAlignment="true" applyProtection="false">
      <alignment vertical="top" wrapText="1"/>
    </xf>
    <xf numFmtId="164" fontId="0" fillId="29" borderId="1" xfId="0" applyFont="false" applyFill="true" applyBorder="true" applyAlignment="true" applyProtection="false">
      <alignment vertical="top" wrapText="1"/>
    </xf>
    <xf numFmtId="164" fontId="0" fillId="29" borderId="2" xfId="0" applyFont="false" applyFill="true" applyBorder="true" applyAlignment="true" applyProtection="false">
      <alignment vertical="top" wrapText="1"/>
    </xf>
    <xf numFmtId="164" fontId="0" fillId="29" borderId="9" xfId="0" applyFont="false" applyFill="true" applyBorder="true" applyAlignment="true" applyProtection="false">
      <alignment vertical="top" wrapText="1"/>
    </xf>
    <xf numFmtId="164" fontId="0" fillId="29" borderId="4" xfId="0" applyFont="false" applyFill="true" applyBorder="true" applyAlignment="true" applyProtection="false">
      <alignment vertical="top" wrapText="1"/>
    </xf>
    <xf numFmtId="164" fontId="0" fillId="29" borderId="3" xfId="0" applyFont="false" applyFill="true" applyBorder="true" applyAlignment="true" applyProtection="false">
      <alignment vertical="top" wrapText="1"/>
    </xf>
    <xf numFmtId="164" fontId="0" fillId="29" borderId="7" xfId="0" applyFont="false" applyFill="true" applyBorder="true" applyAlignment="true" applyProtection="false">
      <alignment vertical="top" wrapText="1"/>
    </xf>
    <xf numFmtId="164" fontId="0" fillId="29" borderId="5" xfId="0" applyFont="false" applyFill="true" applyBorder="true" applyAlignment="true" applyProtection="false">
      <alignment vertical="top" wrapText="1"/>
    </xf>
    <xf numFmtId="164" fontId="0" fillId="29" borderId="6" xfId="0" applyFont="false" applyFill="true" applyBorder="true" applyAlignment="true" applyProtection="false">
      <alignment vertical="top" wrapText="1"/>
    </xf>
    <xf numFmtId="164" fontId="0" fillId="30" borderId="1" xfId="0" applyFont="false" applyFill="true" applyBorder="true" applyAlignment="true" applyProtection="false">
      <alignment vertical="top" wrapText="1"/>
    </xf>
    <xf numFmtId="164" fontId="0" fillId="30" borderId="2" xfId="0" applyFont="false" applyFill="true" applyBorder="true" applyAlignment="true" applyProtection="false">
      <alignment vertical="top" wrapText="1"/>
    </xf>
    <xf numFmtId="164" fontId="0" fillId="30" borderId="9" xfId="0" applyFont="false" applyFill="true" applyBorder="true" applyAlignment="true" applyProtection="false">
      <alignment vertical="top" wrapText="1"/>
    </xf>
    <xf numFmtId="164" fontId="0" fillId="30" borderId="4" xfId="0" applyFont="false" applyFill="true" applyBorder="true" applyAlignment="true" applyProtection="false">
      <alignment vertical="top" wrapText="1"/>
    </xf>
    <xf numFmtId="164" fontId="0" fillId="30" borderId="3" xfId="0" applyFont="false" applyFill="true" applyBorder="true" applyAlignment="true" applyProtection="false">
      <alignment vertical="top" wrapText="1"/>
    </xf>
    <xf numFmtId="164" fontId="0" fillId="30" borderId="7" xfId="0" applyFont="false" applyFill="true" applyBorder="true" applyAlignment="true" applyProtection="false">
      <alignment vertical="top" wrapText="1"/>
    </xf>
    <xf numFmtId="164" fontId="0" fillId="30" borderId="5" xfId="0" applyFont="false" applyFill="true" applyBorder="true" applyAlignment="true" applyProtection="false">
      <alignment vertical="top" wrapText="1"/>
    </xf>
    <xf numFmtId="164" fontId="0" fillId="30" borderId="6" xfId="0" applyFont="false" applyFill="true" applyBorder="true" applyAlignment="true" applyProtection="false">
      <alignment vertical="top" wrapText="1"/>
    </xf>
    <xf numFmtId="164" fontId="0" fillId="31" borderId="1" xfId="0" applyFont="false" applyFill="true" applyBorder="true" applyAlignment="true" applyProtection="false">
      <alignment vertical="top" wrapText="1"/>
    </xf>
    <xf numFmtId="164" fontId="0" fillId="31" borderId="2" xfId="0" applyFont="false" applyFill="true" applyBorder="true" applyAlignment="true" applyProtection="false">
      <alignment vertical="top" wrapText="1"/>
    </xf>
    <xf numFmtId="164" fontId="0" fillId="31" borderId="9" xfId="0" applyFont="false" applyFill="true" applyBorder="true" applyAlignment="true" applyProtection="false">
      <alignment vertical="top" wrapText="1"/>
    </xf>
    <xf numFmtId="164" fontId="0" fillId="31" borderId="4" xfId="0" applyFont="false" applyFill="true" applyBorder="true" applyAlignment="true" applyProtection="false">
      <alignment vertical="top" wrapText="1"/>
    </xf>
    <xf numFmtId="164" fontId="0" fillId="31" borderId="3" xfId="0" applyFont="false" applyFill="true" applyBorder="true" applyAlignment="true" applyProtection="false">
      <alignment vertical="top" wrapText="1"/>
    </xf>
    <xf numFmtId="164" fontId="0" fillId="31" borderId="7" xfId="0" applyFont="false" applyFill="true" applyBorder="true" applyAlignment="true" applyProtection="false">
      <alignment vertical="top" wrapText="1"/>
    </xf>
    <xf numFmtId="164" fontId="0" fillId="31" borderId="5" xfId="0" applyFont="false" applyFill="true" applyBorder="true" applyAlignment="true" applyProtection="false">
      <alignment vertical="top" wrapText="1"/>
    </xf>
    <xf numFmtId="164" fontId="0" fillId="31" borderId="6" xfId="0" applyFont="false" applyFill="true" applyBorder="true" applyAlignment="true" applyProtection="false">
      <alignment vertical="top" wrapText="1"/>
    </xf>
    <xf numFmtId="164" fontId="0" fillId="32" borderId="1" xfId="0" applyFont="false" applyFill="true" applyBorder="true" applyAlignment="true" applyProtection="false">
      <alignment vertical="top" wrapText="1"/>
    </xf>
    <xf numFmtId="164" fontId="0" fillId="32" borderId="2" xfId="0" applyFont="false" applyFill="true" applyBorder="true" applyAlignment="true" applyProtection="false">
      <alignment vertical="top" wrapText="1"/>
    </xf>
    <xf numFmtId="164" fontId="0" fillId="32" borderId="9" xfId="0" applyFont="false" applyFill="true" applyBorder="true" applyAlignment="true" applyProtection="false">
      <alignment vertical="top" wrapText="1"/>
    </xf>
    <xf numFmtId="164" fontId="0" fillId="32" borderId="4" xfId="0" applyFont="false" applyFill="true" applyBorder="true" applyAlignment="true" applyProtection="false">
      <alignment vertical="top" wrapText="1"/>
    </xf>
    <xf numFmtId="164" fontId="0" fillId="32" borderId="3" xfId="0" applyFont="false" applyFill="true" applyBorder="true" applyAlignment="true" applyProtection="false">
      <alignment vertical="top" wrapText="1"/>
    </xf>
    <xf numFmtId="164" fontId="0" fillId="32" borderId="7" xfId="0" applyFont="false" applyFill="true" applyBorder="true" applyAlignment="true" applyProtection="false">
      <alignment vertical="top" wrapText="1"/>
    </xf>
    <xf numFmtId="164" fontId="0" fillId="32" borderId="5" xfId="0" applyFont="false" applyFill="true" applyBorder="true" applyAlignment="true" applyProtection="false">
      <alignment vertical="top" wrapText="1"/>
    </xf>
    <xf numFmtId="164" fontId="0" fillId="32" borderId="6" xfId="0" applyFont="false" applyFill="true" applyBorder="true" applyAlignment="true" applyProtection="false">
      <alignment vertical="top" wrapText="1"/>
    </xf>
    <xf numFmtId="164" fontId="0" fillId="33" borderId="1" xfId="0" applyFont="false" applyFill="true" applyBorder="true" applyAlignment="true" applyProtection="false">
      <alignment vertical="top" wrapText="1"/>
    </xf>
    <xf numFmtId="164" fontId="0" fillId="33" borderId="2" xfId="0" applyFont="false" applyFill="true" applyBorder="true" applyAlignment="true" applyProtection="false">
      <alignment vertical="top" wrapText="1"/>
    </xf>
    <xf numFmtId="164" fontId="0" fillId="33" borderId="9" xfId="0" applyFont="false" applyFill="true" applyBorder="true" applyAlignment="true" applyProtection="false">
      <alignment vertical="top" wrapText="1"/>
    </xf>
    <xf numFmtId="164" fontId="0" fillId="33" borderId="4" xfId="0" applyFont="false" applyFill="true" applyBorder="true" applyAlignment="true" applyProtection="false">
      <alignment vertical="top" wrapText="1"/>
    </xf>
    <xf numFmtId="164" fontId="0" fillId="33" borderId="3" xfId="0" applyFont="false" applyFill="true" applyBorder="true" applyAlignment="true" applyProtection="false">
      <alignment vertical="top" wrapText="1"/>
    </xf>
    <xf numFmtId="164" fontId="0" fillId="33" borderId="7" xfId="0" applyFont="false" applyFill="true" applyBorder="true" applyAlignment="true" applyProtection="false">
      <alignment vertical="top" wrapText="1"/>
    </xf>
    <xf numFmtId="164" fontId="0" fillId="33" borderId="5" xfId="0" applyFont="false" applyFill="true" applyBorder="true" applyAlignment="true" applyProtection="false">
      <alignment vertical="top" wrapText="1"/>
    </xf>
    <xf numFmtId="164" fontId="0" fillId="33" borderId="6" xfId="0" applyFont="false" applyFill="true" applyBorder="true" applyAlignment="true" applyProtection="false">
      <alignment vertical="top" wrapText="1"/>
    </xf>
    <xf numFmtId="164" fontId="0" fillId="34" borderId="1" xfId="0" applyFont="false" applyFill="true" applyBorder="true" applyAlignment="true" applyProtection="false">
      <alignment vertical="top" wrapText="1"/>
    </xf>
    <xf numFmtId="164" fontId="0" fillId="34" borderId="2" xfId="0" applyFont="false" applyFill="true" applyBorder="true" applyAlignment="true" applyProtection="false">
      <alignment vertical="top" wrapText="1"/>
    </xf>
    <xf numFmtId="164" fontId="0" fillId="34" borderId="9" xfId="0" applyFont="false" applyFill="true" applyBorder="true" applyAlignment="true" applyProtection="false">
      <alignment vertical="top" wrapText="1"/>
    </xf>
    <xf numFmtId="164" fontId="0" fillId="34" borderId="4" xfId="0" applyFont="false" applyFill="true" applyBorder="true" applyAlignment="true" applyProtection="false">
      <alignment vertical="top" wrapText="1"/>
    </xf>
    <xf numFmtId="164" fontId="0" fillId="34" borderId="3" xfId="0" applyFont="false" applyFill="true" applyBorder="true" applyAlignment="true" applyProtection="false">
      <alignment vertical="top" wrapText="1"/>
    </xf>
    <xf numFmtId="164" fontId="0" fillId="34" borderId="7" xfId="0" applyFont="false" applyFill="true" applyBorder="true" applyAlignment="true" applyProtection="false">
      <alignment vertical="top" wrapText="1"/>
    </xf>
    <xf numFmtId="164" fontId="0" fillId="34" borderId="5" xfId="0" applyFont="false" applyFill="true" applyBorder="true" applyAlignment="true" applyProtection="false">
      <alignment vertical="top" wrapText="1"/>
    </xf>
    <xf numFmtId="164" fontId="0" fillId="34" borderId="6" xfId="0" applyFont="false" applyFill="true" applyBorder="true" applyAlignment="true" applyProtection="false">
      <alignment vertical="top" wrapText="1"/>
    </xf>
    <xf numFmtId="164" fontId="0" fillId="35" borderId="1" xfId="0" applyFont="false" applyFill="true" applyBorder="true" applyAlignment="true" applyProtection="false">
      <alignment vertical="top" wrapText="1"/>
    </xf>
    <xf numFmtId="164" fontId="0" fillId="35" borderId="2" xfId="0" applyFont="false" applyFill="true" applyBorder="true" applyAlignment="true" applyProtection="false">
      <alignment vertical="top" wrapText="1"/>
    </xf>
    <xf numFmtId="164" fontId="0" fillId="35" borderId="9" xfId="0" applyFont="false" applyFill="true" applyBorder="true" applyAlignment="true" applyProtection="false">
      <alignment vertical="top" wrapText="1"/>
    </xf>
    <xf numFmtId="164" fontId="0" fillId="35" borderId="4" xfId="0" applyFont="false" applyFill="true" applyBorder="true" applyAlignment="true" applyProtection="false">
      <alignment vertical="top" wrapText="1"/>
    </xf>
    <xf numFmtId="164" fontId="0" fillId="35" borderId="3" xfId="0" applyFont="false" applyFill="true" applyBorder="true" applyAlignment="true" applyProtection="false">
      <alignment vertical="top" wrapText="1"/>
    </xf>
    <xf numFmtId="164" fontId="0" fillId="35" borderId="7" xfId="0" applyFont="false" applyFill="true" applyBorder="true" applyAlignment="true" applyProtection="false">
      <alignment vertical="top" wrapText="1"/>
    </xf>
    <xf numFmtId="164" fontId="0" fillId="35" borderId="5" xfId="0" applyFont="false" applyFill="true" applyBorder="true" applyAlignment="true" applyProtection="false">
      <alignment vertical="top" wrapText="1"/>
    </xf>
    <xf numFmtId="164" fontId="0" fillId="35" borderId="6" xfId="0" applyFont="false" applyFill="true" applyBorder="true" applyAlignment="true" applyProtection="false">
      <alignment vertical="top" wrapText="1"/>
    </xf>
    <xf numFmtId="164" fontId="0" fillId="36" borderId="0" xfId="0" applyFont="false" applyFill="true" applyBorder="false" applyAlignment="true" applyProtection="false">
      <alignment vertical="top" wrapText="1"/>
    </xf>
    <xf numFmtId="164" fontId="0" fillId="37" borderId="0" xfId="0" applyFont="false" applyFill="true" applyBorder="false" applyAlignment="true" applyProtection="false">
      <alignment vertical="top" wrapText="1"/>
    </xf>
    <xf numFmtId="164" fontId="0" fillId="5" borderId="0" xfId="0" applyFont="false" applyFill="true" applyBorder="false" applyAlignment="true" applyProtection="false">
      <alignment vertical="top" wrapText="1" horizontal="right"/>
    </xf>
    <xf numFmtId="164" fontId="0" fillId="7" borderId="0" xfId="0" applyFont="false" applyFill="true" applyBorder="false" applyAlignment="true" applyProtection="false">
      <alignment vertical="top" wrapText="1" horizontal="right"/>
    </xf>
    <xf numFmtId="164" fontId="0" fillId="11" borderId="0" xfId="0" applyFont="false" applyFill="true" applyBorder="false" applyAlignment="true" applyProtection="false">
      <alignment vertical="top" wrapText="1" horizontal="right"/>
    </xf>
    <xf numFmtId="164" fontId="0" fillId="9" borderId="0" xfId="0" applyFont="false" applyFill="true" applyBorder="false" applyAlignment="true" applyProtection="false">
      <alignment vertical="top" wrapText="1" horizontal="right"/>
    </xf>
    <xf numFmtId="164" fontId="4" fillId="3" borderId="0" xfId="0" applyFont="true" applyFill="true" applyBorder="false" applyAlignment="true" applyProtection="false">
      <alignment vertical="top" wrapText="1" horizontal="right"/>
    </xf>
    <xf numFmtId="164" fontId="0" fillId="13" borderId="0" xfId="0" applyFont="false" applyFill="true" applyBorder="false" applyAlignment="true" applyProtection="false">
      <alignment vertical="top" wrapText="1" horizontal="right"/>
    </xf>
    <xf numFmtId="164" fontId="0" fillId="36" borderId="1" xfId="0" applyFont="false" applyFill="true" applyBorder="true" applyAlignment="true" applyProtection="false">
      <alignment vertical="top" wrapText="1"/>
    </xf>
    <xf numFmtId="164" fontId="0" fillId="36" borderId="2" xfId="0" applyFont="false" applyFill="true" applyBorder="true" applyAlignment="true" applyProtection="false">
      <alignment vertical="top" wrapText="1"/>
    </xf>
    <xf numFmtId="164" fontId="0" fillId="36" borderId="9" xfId="0" applyFont="false" applyFill="true" applyBorder="true" applyAlignment="true" applyProtection="false">
      <alignment vertical="top" wrapText="1"/>
    </xf>
    <xf numFmtId="164" fontId="0" fillId="36" borderId="4" xfId="0" applyFont="false" applyFill="true" applyBorder="true" applyAlignment="true" applyProtection="false">
      <alignment vertical="top" wrapText="1"/>
    </xf>
    <xf numFmtId="164" fontId="0" fillId="36" borderId="3" xfId="0" applyFont="false" applyFill="true" applyBorder="true" applyAlignment="true" applyProtection="false">
      <alignment vertical="top" wrapText="1"/>
    </xf>
    <xf numFmtId="164" fontId="0" fillId="36" borderId="7" xfId="0" applyFont="false" applyFill="true" applyBorder="true" applyAlignment="true" applyProtection="false">
      <alignment vertical="top" wrapText="1"/>
    </xf>
    <xf numFmtId="164" fontId="0" fillId="36" borderId="5" xfId="0" applyFont="false" applyFill="true" applyBorder="true" applyAlignment="true" applyProtection="false">
      <alignment vertical="top" wrapText="1"/>
    </xf>
    <xf numFmtId="164" fontId="0" fillId="36" borderId="6" xfId="0" applyFont="false" applyFill="true" applyBorder="true" applyAlignment="true" applyProtection="false">
      <alignment vertical="top" wrapText="1"/>
    </xf>
    <xf numFmtId="164" fontId="0" fillId="37" borderId="1" xfId="0" applyFont="false" applyFill="true" applyBorder="true" applyAlignment="true" applyProtection="false">
      <alignment vertical="top" wrapText="1"/>
    </xf>
    <xf numFmtId="164" fontId="0" fillId="37" borderId="2" xfId="0" applyFont="false" applyFill="true" applyBorder="true" applyAlignment="true" applyProtection="false">
      <alignment vertical="top" wrapText="1"/>
    </xf>
    <xf numFmtId="164" fontId="0" fillId="37" borderId="9" xfId="0" applyFont="false" applyFill="true" applyBorder="true" applyAlignment="true" applyProtection="false">
      <alignment vertical="top" wrapText="1"/>
    </xf>
    <xf numFmtId="164" fontId="0" fillId="37" borderId="4" xfId="0" applyFont="false" applyFill="true" applyBorder="true" applyAlignment="true" applyProtection="false">
      <alignment vertical="top" wrapText="1"/>
    </xf>
    <xf numFmtId="164" fontId="0" fillId="37" borderId="3" xfId="0" applyFont="false" applyFill="true" applyBorder="true" applyAlignment="true" applyProtection="false">
      <alignment vertical="top" wrapText="1"/>
    </xf>
    <xf numFmtId="164" fontId="0" fillId="37" borderId="7" xfId="0" applyFont="false" applyFill="true" applyBorder="true" applyAlignment="true" applyProtection="false">
      <alignment vertical="top" wrapText="1"/>
    </xf>
    <xf numFmtId="164" fontId="0" fillId="37" borderId="5" xfId="0" applyFont="false" applyFill="true" applyBorder="true" applyAlignment="true" applyProtection="false">
      <alignment vertical="top" wrapText="1"/>
    </xf>
    <xf numFmtId="164" fontId="0" fillId="37" borderId="6" xfId="0" applyFont="false" applyFill="true" applyBorder="true" applyAlignment="true" applyProtection="false">
      <alignment vertical="top" wrapText="1"/>
    </xf>
    <xf numFmtId="164" fontId="0" fillId="5" borderId="1" xfId="0" applyFont="false" applyFill="true" applyBorder="true" applyAlignment="true" applyProtection="false">
      <alignment vertical="top" wrapText="1" horizontal="right"/>
    </xf>
    <xf numFmtId="164" fontId="0" fillId="5" borderId="2" xfId="0" applyFont="false" applyFill="true" applyBorder="true" applyAlignment="true" applyProtection="false">
      <alignment vertical="top" wrapText="1" horizontal="right"/>
    </xf>
    <xf numFmtId="164" fontId="0" fillId="5" borderId="9" xfId="0" applyFont="false" applyFill="true" applyBorder="true" applyAlignment="true" applyProtection="false">
      <alignment vertical="top" wrapText="1" horizontal="right"/>
    </xf>
    <xf numFmtId="164" fontId="0" fillId="5" borderId="4" xfId="0" applyFont="false" applyFill="true" applyBorder="true" applyAlignment="true" applyProtection="false">
      <alignment vertical="top" wrapText="1" horizontal="right"/>
    </xf>
    <xf numFmtId="164" fontId="0" fillId="5" borderId="3" xfId="0" applyFont="false" applyFill="true" applyBorder="true" applyAlignment="true" applyProtection="false">
      <alignment vertical="top" wrapText="1" horizontal="right"/>
    </xf>
    <xf numFmtId="164" fontId="0" fillId="5" borderId="7" xfId="0" applyFont="false" applyFill="true" applyBorder="true" applyAlignment="true" applyProtection="false">
      <alignment vertical="top" wrapText="1" horizontal="right"/>
    </xf>
    <xf numFmtId="164" fontId="0" fillId="5" borderId="5" xfId="0" applyFont="false" applyFill="true" applyBorder="true" applyAlignment="true" applyProtection="false">
      <alignment vertical="top" wrapText="1" horizontal="right"/>
    </xf>
    <xf numFmtId="164" fontId="0" fillId="5" borderId="6" xfId="0" applyFont="false" applyFill="true" applyBorder="true" applyAlignment="true" applyProtection="false">
      <alignment vertical="top" wrapText="1" horizontal="right"/>
    </xf>
    <xf numFmtId="164" fontId="0" fillId="7" borderId="1" xfId="0" applyFont="false" applyFill="true" applyBorder="true" applyAlignment="true" applyProtection="false">
      <alignment vertical="top" wrapText="1" horizontal="right"/>
    </xf>
    <xf numFmtId="164" fontId="0" fillId="7" borderId="2" xfId="0" applyFont="false" applyFill="true" applyBorder="true" applyAlignment="true" applyProtection="false">
      <alignment vertical="top" wrapText="1" horizontal="right"/>
    </xf>
    <xf numFmtId="164" fontId="0" fillId="7" borderId="9" xfId="0" applyFont="false" applyFill="true" applyBorder="true" applyAlignment="true" applyProtection="false">
      <alignment vertical="top" wrapText="1" horizontal="right"/>
    </xf>
    <xf numFmtId="164" fontId="0" fillId="7" borderId="4" xfId="0" applyFont="false" applyFill="true" applyBorder="true" applyAlignment="true" applyProtection="false">
      <alignment vertical="top" wrapText="1" horizontal="right"/>
    </xf>
    <xf numFmtId="164" fontId="0" fillId="7" borderId="3" xfId="0" applyFont="false" applyFill="true" applyBorder="true" applyAlignment="true" applyProtection="false">
      <alignment vertical="top" wrapText="1" horizontal="right"/>
    </xf>
    <xf numFmtId="164" fontId="0" fillId="7" borderId="7" xfId="0" applyFont="false" applyFill="true" applyBorder="true" applyAlignment="true" applyProtection="false">
      <alignment vertical="top" wrapText="1" horizontal="right"/>
    </xf>
    <xf numFmtId="164" fontId="0" fillId="7" borderId="5" xfId="0" applyFont="false" applyFill="true" applyBorder="true" applyAlignment="true" applyProtection="false">
      <alignment vertical="top" wrapText="1" horizontal="right"/>
    </xf>
    <xf numFmtId="164" fontId="0" fillId="7" borderId="6" xfId="0" applyFont="false" applyFill="true" applyBorder="true" applyAlignment="true" applyProtection="false">
      <alignment vertical="top" wrapText="1" horizontal="right"/>
    </xf>
    <xf numFmtId="164" fontId="0" fillId="11" borderId="1" xfId="0" applyFont="false" applyFill="true" applyBorder="true" applyAlignment="true" applyProtection="false">
      <alignment vertical="top" wrapText="1" horizontal="right"/>
    </xf>
    <xf numFmtId="164" fontId="0" fillId="11" borderId="2" xfId="0" applyFont="false" applyFill="true" applyBorder="true" applyAlignment="true" applyProtection="false">
      <alignment vertical="top" wrapText="1" horizontal="right"/>
    </xf>
    <xf numFmtId="164" fontId="0" fillId="11" borderId="9" xfId="0" applyFont="false" applyFill="true" applyBorder="true" applyAlignment="true" applyProtection="false">
      <alignment vertical="top" wrapText="1" horizontal="right"/>
    </xf>
    <xf numFmtId="164" fontId="0" fillId="11" borderId="4" xfId="0" applyFont="false" applyFill="true" applyBorder="true" applyAlignment="true" applyProtection="false">
      <alignment vertical="top" wrapText="1" horizontal="right"/>
    </xf>
    <xf numFmtId="164" fontId="0" fillId="11" borderId="3" xfId="0" applyFont="false" applyFill="true" applyBorder="true" applyAlignment="true" applyProtection="false">
      <alignment vertical="top" wrapText="1" horizontal="right"/>
    </xf>
    <xf numFmtId="164" fontId="0" fillId="11" borderId="7" xfId="0" applyFont="false" applyFill="true" applyBorder="true" applyAlignment="true" applyProtection="false">
      <alignment vertical="top" wrapText="1" horizontal="right"/>
    </xf>
    <xf numFmtId="164" fontId="0" fillId="11" borderId="5" xfId="0" applyFont="false" applyFill="true" applyBorder="true" applyAlignment="true" applyProtection="false">
      <alignment vertical="top" wrapText="1" horizontal="right"/>
    </xf>
    <xf numFmtId="164" fontId="0" fillId="11" borderId="6" xfId="0" applyFont="false" applyFill="true" applyBorder="true" applyAlignment="true" applyProtection="false">
      <alignment vertical="top" wrapText="1" horizontal="right"/>
    </xf>
    <xf numFmtId="164" fontId="0" fillId="9" borderId="1" xfId="0" applyFont="false" applyFill="true" applyBorder="true" applyAlignment="true" applyProtection="false">
      <alignment vertical="top" wrapText="1" horizontal="right"/>
    </xf>
    <xf numFmtId="164" fontId="0" fillId="9" borderId="2" xfId="0" applyFont="false" applyFill="true" applyBorder="true" applyAlignment="true" applyProtection="false">
      <alignment vertical="top" wrapText="1" horizontal="right"/>
    </xf>
    <xf numFmtId="164" fontId="0" fillId="9" borderId="9" xfId="0" applyFont="false" applyFill="true" applyBorder="true" applyAlignment="true" applyProtection="false">
      <alignment vertical="top" wrapText="1" horizontal="right"/>
    </xf>
    <xf numFmtId="164" fontId="0" fillId="9" borderId="4" xfId="0" applyFont="false" applyFill="true" applyBorder="true" applyAlignment="true" applyProtection="false">
      <alignment vertical="top" wrapText="1" horizontal="right"/>
    </xf>
    <xf numFmtId="164" fontId="0" fillId="9" borderId="3" xfId="0" applyFont="false" applyFill="true" applyBorder="true" applyAlignment="true" applyProtection="false">
      <alignment vertical="top" wrapText="1" horizontal="right"/>
    </xf>
    <xf numFmtId="164" fontId="0" fillId="9" borderId="7" xfId="0" applyFont="false" applyFill="true" applyBorder="true" applyAlignment="true" applyProtection="false">
      <alignment vertical="top" wrapText="1" horizontal="right"/>
    </xf>
    <xf numFmtId="164" fontId="0" fillId="9" borderId="5" xfId="0" applyFont="false" applyFill="true" applyBorder="true" applyAlignment="true" applyProtection="false">
      <alignment vertical="top" wrapText="1" horizontal="right"/>
    </xf>
    <xf numFmtId="164" fontId="0" fillId="9" borderId="6" xfId="0" applyFont="false" applyFill="true" applyBorder="true" applyAlignment="true" applyProtection="false">
      <alignment vertical="top" wrapText="1" horizontal="right"/>
    </xf>
    <xf numFmtId="164" fontId="4" fillId="3" borderId="1" xfId="0" applyFont="true" applyFill="true" applyBorder="true" applyAlignment="true" applyProtection="false">
      <alignment vertical="top" wrapText="1" horizontal="right"/>
    </xf>
    <xf numFmtId="164" fontId="4" fillId="3" borderId="2" xfId="0" applyFont="true" applyFill="true" applyBorder="true" applyAlignment="true" applyProtection="false">
      <alignment vertical="top" wrapText="1" horizontal="right"/>
    </xf>
    <xf numFmtId="164" fontId="4" fillId="3" borderId="9" xfId="0" applyFont="true" applyFill="true" applyBorder="true" applyAlignment="true" applyProtection="false">
      <alignment vertical="top" wrapText="1" horizontal="right"/>
    </xf>
    <xf numFmtId="164" fontId="4" fillId="3" borderId="4" xfId="0" applyFont="true" applyFill="true" applyBorder="true" applyAlignment="true" applyProtection="false">
      <alignment vertical="top" wrapText="1" horizontal="right"/>
    </xf>
    <xf numFmtId="164" fontId="4" fillId="3" borderId="3" xfId="0" applyFont="true" applyFill="true" applyBorder="true" applyAlignment="true" applyProtection="false">
      <alignment vertical="top" wrapText="1" horizontal="right"/>
    </xf>
    <xf numFmtId="164" fontId="4" fillId="3" borderId="7" xfId="0" applyFont="true" applyFill="true" applyBorder="true" applyAlignment="true" applyProtection="false">
      <alignment vertical="top" wrapText="1" horizontal="right"/>
    </xf>
    <xf numFmtId="164" fontId="4" fillId="3" borderId="5" xfId="0" applyFont="true" applyFill="true" applyBorder="true" applyAlignment="true" applyProtection="false">
      <alignment vertical="top" wrapText="1" horizontal="right"/>
    </xf>
    <xf numFmtId="164" fontId="4" fillId="3" borderId="6" xfId="0" applyFont="true" applyFill="true" applyBorder="true" applyAlignment="true" applyProtection="false">
      <alignment vertical="top" wrapText="1" horizontal="right"/>
    </xf>
    <xf numFmtId="164" fontId="0" fillId="13" borderId="1" xfId="0" applyFont="false" applyFill="true" applyBorder="true" applyAlignment="true" applyProtection="false">
      <alignment vertical="top" wrapText="1" horizontal="right"/>
    </xf>
    <xf numFmtId="164" fontId="0" fillId="13" borderId="2" xfId="0" applyFont="false" applyFill="true" applyBorder="true" applyAlignment="true" applyProtection="false">
      <alignment vertical="top" wrapText="1" horizontal="right"/>
    </xf>
    <xf numFmtId="164" fontId="0" fillId="13" borderId="9" xfId="0" applyFont="false" applyFill="true" applyBorder="true" applyAlignment="true" applyProtection="false">
      <alignment vertical="top" wrapText="1" horizontal="right"/>
    </xf>
    <xf numFmtId="164" fontId="0" fillId="13" borderId="4" xfId="0" applyFont="false" applyFill="true" applyBorder="true" applyAlignment="true" applyProtection="false">
      <alignment vertical="top" wrapText="1" horizontal="right"/>
    </xf>
    <xf numFmtId="164" fontId="0" fillId="13" borderId="3" xfId="0" applyFont="false" applyFill="true" applyBorder="true" applyAlignment="true" applyProtection="false">
      <alignment vertical="top" wrapText="1" horizontal="right"/>
    </xf>
    <xf numFmtId="164" fontId="0" fillId="13" borderId="7" xfId="0" applyFont="false" applyFill="true" applyBorder="true" applyAlignment="true" applyProtection="false">
      <alignment vertical="top" wrapText="1" horizontal="right"/>
    </xf>
    <xf numFmtId="164" fontId="0" fillId="13" borderId="5" xfId="0" applyFont="false" applyFill="true" applyBorder="true" applyAlignment="true" applyProtection="false">
      <alignment vertical="top" wrapText="1" horizontal="right"/>
    </xf>
    <xf numFmtId="164" fontId="0" fillId="13" borderId="6" xfId="0" applyFont="false" applyFill="true" applyBorder="true" applyAlignment="true" applyProtection="false">
      <alignment vertical="top" wrapText="1" horizontal="right"/>
    </xf>
    <xf numFmtId="164" fontId="0" fillId="38" borderId="0" xfId="0" applyFont="false" applyFill="true" applyBorder="false" applyAlignment="true" applyProtection="false">
      <alignment vertical="top" wrapText="1"/>
    </xf>
    <xf numFmtId="164" fontId="0" fillId="38" borderId="1" xfId="0" applyFont="false" applyFill="true" applyBorder="true" applyAlignment="true" applyProtection="false">
      <alignment vertical="top" wrapText="1"/>
    </xf>
    <xf numFmtId="164" fontId="0" fillId="38" borderId="2" xfId="0" applyFont="false" applyFill="true" applyBorder="true" applyAlignment="true" applyProtection="false">
      <alignment vertical="top" wrapText="1"/>
    </xf>
    <xf numFmtId="164" fontId="0" fillId="38" borderId="9" xfId="0" applyFont="false" applyFill="true" applyBorder="true" applyAlignment="true" applyProtection="false">
      <alignment vertical="top" wrapText="1"/>
    </xf>
    <xf numFmtId="164" fontId="0" fillId="38" borderId="4" xfId="0" applyFont="false" applyFill="true" applyBorder="true" applyAlignment="true" applyProtection="false">
      <alignment vertical="top" wrapText="1"/>
    </xf>
    <xf numFmtId="164" fontId="0" fillId="38" borderId="3" xfId="0" applyFont="false" applyFill="true" applyBorder="true" applyAlignment="true" applyProtection="false">
      <alignment vertical="top" wrapText="1"/>
    </xf>
    <xf numFmtId="164" fontId="0" fillId="38" borderId="7" xfId="0" applyFont="false" applyFill="true" applyBorder="true" applyAlignment="true" applyProtection="false">
      <alignment vertical="top" wrapText="1"/>
    </xf>
    <xf numFmtId="164" fontId="0" fillId="38" borderId="5" xfId="0" applyFont="false" applyFill="true" applyBorder="true" applyAlignment="true" applyProtection="false">
      <alignment vertical="top" wrapText="1"/>
    </xf>
    <xf numFmtId="164" fontId="0" fillId="38" borderId="6" xfId="0" applyFont="false" applyFill="true" applyBorder="true" applyAlignment="true" applyProtection="false">
      <alignment vertical="top" wrapText="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5B9BD5"/>
      <rgbColor rgb="FF993366"/>
      <rgbColor rgb="FFFFFFCC"/>
      <rgbColor rgb="FFCCFFFF"/>
      <rgbColor rgb="FF660066"/>
      <rgbColor rgb="FFFF7C80"/>
      <rgbColor rgb="FF0066CC"/>
      <rgbColor rgb="FFB4C6E7"/>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B4A7D6"/>
      <rgbColor rgb="FFFFCC99"/>
      <rgbColor rgb="FF4472C4"/>
      <rgbColor rgb="FF33CCCC"/>
      <rgbColor rgb="FF92D050"/>
      <rgbColor rgb="FFFFC000"/>
      <rgbColor rgb="FFFF9900"/>
      <rgbColor rgb="FFFF6666"/>
      <rgbColor rgb="FF44546A"/>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sharedStrings" Target="sharedStrings.xml"/>
</Relationships>
</file>

<file path=xl/worksheets/sheet1.xml><?xml version="1.0" encoding="utf-8"?>
<worksheet xmlns="http://schemas.openxmlformats.org/spreadsheetml/2006/main">
  <sheetPr filterMode="false">
    <pageSetUpPr fitToPage="false"/>
  </sheetPr>
  <dimension ref="A1:U242"/>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4" activeCellId="0" sqref="F4"/>
    </sheetView>
  </sheetViews>
  <sheetFormatPr defaultColWidth="11.7421875" defaultRowHeight="12.8" zeroHeight="false" outlineLevelRow="0" outlineLevelCol="0"/>
  <cols>
    <col min="1" max="1" width="14" hidden="false" customWidth="true"/>
    <col min="2" max="2" width="16" hidden="false" customWidth="true"/>
    <col min="3" max="3" width="12" hidden="false" customWidth="true"/>
    <col min="4" max="4" width="12" hidden="false" customWidth="true"/>
    <col min="5" max="5" width="14" hidden="false" customWidth="true"/>
    <col min="6" max="6" width="12" hidden="false" customWidth="true"/>
    <col min="7" max="7" width="14" hidden="false" customWidth="true"/>
    <col min="8" max="8" width="9" hidden="false" customWidth="true"/>
    <col min="9" max="9" width="12" hidden="false" customWidth="true"/>
    <col min="10" max="10" width="14" hidden="false" customWidth="true"/>
    <col min="11" max="11" width="12" hidden="false" customWidth="true"/>
    <col min="12" max="12" width="4" hidden="false" customWidth="true"/>
    <col min="13" max="13" width="4" hidden="false" customWidth="true"/>
    <col min="14" max="14" width="10" hidden="false" customWidth="true"/>
    <col min="15" max="15" width="12" hidden="false" customWidth="true"/>
    <col min="16" max="16" width="12" hidden="false" customWidth="true"/>
    <col min="17" max="17" width="8" hidden="false" customWidth="true"/>
    <col min="18" max="18" width="16" hidden="false" customWidth="true"/>
    <col min="19" max="19" width="10" hidden="false" customWidth="true"/>
    <col min="20" max="20" width="0.1" hidden="true" customWidth="true"/>
    <col min="21" max="21" width="0.1" hidden="true" customWidth="true"/>
  </cols>
  <sheetData>
    <row r="1" customFormat="false" ht="20" hidden="false" customHeight="true" outlineLevel="0" collapsed="false">
      <c r="A1" s="219" t="s">
        <v>0</v>
      </c>
      <c r="B1" s="221" t="s">
        <v>1</v>
      </c>
      <c r="C1" s="146" t="s">
        <v>1</v>
      </c>
      <c r="D1" s="147" t="s">
        <v>2</v>
      </c>
      <c r="E1" s="476" t="str">
        <f>COUNTIFS(T18:T242,"Done",U18:U242,"Core")&amp;" ("&amp;IF(COUNTIF(U18:U242,"Core")=0,"0%",TEXT(COUNTIFS(T18:T242,"Done",U18:U242,"Core")/COUNTIF(U18:U242,"Core"),"0%"))&amp;")"</f>
        <v>62 (48%)</v>
      </c>
      <c r="F1" s="146" t="s">
        <v>1</v>
      </c>
      <c r="G1" s="146" t="s">
        <v>1</v>
      </c>
      <c r="H1" s="146" t="s">
        <v>1</v>
      </c>
      <c r="I1" s="146" t="s">
        <v>1</v>
      </c>
      <c r="J1" s="146" t="s">
        <v>1</v>
      </c>
      <c r="K1" s="146" t="s">
        <v>1</v>
      </c>
      <c r="L1" s="146" t="s">
        <v>1</v>
      </c>
      <c r="M1" s="146" t="s">
        <v>1</v>
      </c>
      <c r="N1" s="146" t="s">
        <v>1</v>
      </c>
      <c r="O1" s="146" t="s">
        <v>1</v>
      </c>
      <c r="P1" s="146" t="s">
        <v>1</v>
      </c>
      <c r="Q1" s="146" t="s">
        <v>1</v>
      </c>
      <c r="R1" s="146" t="s">
        <v>1</v>
      </c>
      <c r="S1" s="146" t="s">
        <v>1</v>
      </c>
    </row>
    <row r="2" customFormat="false" ht="15" hidden="false" customHeight="false" outlineLevel="0" collapsed="false">
      <c r="A2" s="182" t="s">
        <v>4</v>
      </c>
      <c r="B2" s="183" t="s">
        <v>5</v>
      </c>
      <c r="C2" s="146" t="s">
        <v>1</v>
      </c>
      <c r="D2" s="158" t="s">
        <v>6</v>
      </c>
      <c r="E2" s="486">
        <f>COUNTIFS(T18:T242,"Pending",U18:U242,"Core")</f>
        <v>15</v>
      </c>
      <c r="F2" s="146" t="s">
        <v>1</v>
      </c>
      <c r="G2" s="146" t="s">
        <v>1</v>
      </c>
      <c r="H2" s="146" t="s">
        <v>1</v>
      </c>
      <c r="I2" s="146" t="s">
        <v>1</v>
      </c>
      <c r="J2" s="146" t="s">
        <v>1</v>
      </c>
      <c r="K2" s="146" t="s">
        <v>1</v>
      </c>
      <c r="L2" s="146" t="s">
        <v>1</v>
      </c>
      <c r="M2" s="146" t="s">
        <v>1</v>
      </c>
      <c r="N2" s="146" t="s">
        <v>1</v>
      </c>
      <c r="O2" s="146" t="s">
        <v>1</v>
      </c>
      <c r="P2" s="146" t="s">
        <v>1</v>
      </c>
      <c r="Q2" s="146" t="s">
        <v>1</v>
      </c>
      <c r="R2" s="146" t="s">
        <v>1</v>
      </c>
      <c r="S2" s="146" t="s">
        <v>1</v>
      </c>
    </row>
    <row r="3" customFormat="false" ht="15" hidden="false" customHeight="false" outlineLevel="0" collapsed="false">
      <c r="A3" s="190" t="s">
        <v>8</v>
      </c>
      <c r="B3" s="191" t="s">
        <v>9</v>
      </c>
      <c r="C3" s="146" t="s">
        <v>1</v>
      </c>
      <c r="D3" s="174" t="s">
        <v>10</v>
      </c>
      <c r="E3" s="502">
        <f>COUNTIFS(T18:T242,"Not started",U18:U242,"Core")</f>
        <v>51</v>
      </c>
      <c r="F3" s="146" t="s">
        <v>1</v>
      </c>
      <c r="G3" s="146" t="s">
        <v>1</v>
      </c>
      <c r="H3" s="146" t="s">
        <v>1</v>
      </c>
      <c r="I3" s="146" t="s">
        <v>1</v>
      </c>
      <c r="J3" s="146" t="s">
        <v>1</v>
      </c>
      <c r="K3" s="146" t="s">
        <v>1</v>
      </c>
      <c r="L3" s="146" t="s">
        <v>1</v>
      </c>
      <c r="M3" s="146" t="s">
        <v>1</v>
      </c>
      <c r="N3" s="146" t="s">
        <v>1</v>
      </c>
      <c r="O3" s="146" t="s">
        <v>1</v>
      </c>
      <c r="P3" s="146" t="s">
        <v>1</v>
      </c>
      <c r="Q3" s="146" t="s">
        <v>1</v>
      </c>
      <c r="R3" s="146" t="s">
        <v>1</v>
      </c>
      <c r="S3" s="146" t="s">
        <v>1</v>
      </c>
    </row>
    <row r="4" customFormat="false" ht="15" hidden="false" customHeight="false" outlineLevel="0" collapsed="false">
      <c r="A4" s="198" t="s">
        <v>12</v>
      </c>
      <c r="B4" s="199" t="s">
        <v>13</v>
      </c>
      <c r="C4" s="146" t="s">
        <v>1</v>
      </c>
      <c r="D4" s="166" t="s">
        <v>14</v>
      </c>
      <c r="E4" s="494">
        <f>COUNTIFS(T18:T242,"Failed",U18:U242,"Core")</f>
        <v>0</v>
      </c>
      <c r="F4" s="146" t="s">
        <v>1</v>
      </c>
      <c r="G4" s="146" t="s">
        <v>1</v>
      </c>
      <c r="H4" s="146" t="s">
        <v>1</v>
      </c>
      <c r="I4" s="146" t="s">
        <v>1</v>
      </c>
      <c r="J4" s="146" t="s">
        <v>1</v>
      </c>
      <c r="K4" s="146" t="s">
        <v>1</v>
      </c>
      <c r="L4" s="146" t="s">
        <v>1</v>
      </c>
      <c r="M4" s="146" t="s">
        <v>1</v>
      </c>
      <c r="N4" s="146" t="s">
        <v>1</v>
      </c>
      <c r="O4" s="146" t="s">
        <v>1</v>
      </c>
      <c r="P4" s="146" t="s">
        <v>1</v>
      </c>
      <c r="Q4" s="146" t="s">
        <v>1</v>
      </c>
      <c r="R4" s="146" t="s">
        <v>1</v>
      </c>
      <c r="S4" s="146" t="s">
        <v>1</v>
      </c>
    </row>
    <row r="5" customFormat="false" ht="15" hidden="false" customHeight="false" outlineLevel="0" collapsed="false">
      <c r="A5" s="206" t="s">
        <v>16</v>
      </c>
      <c r="B5" s="207" t="s">
        <v>17</v>
      </c>
      <c r="C5" s="146" t="s">
        <v>1</v>
      </c>
      <c r="D5" s="230" t="s">
        <v>18</v>
      </c>
      <c r="E5" s="510">
        <f>COUNTIF(U18:U242,"Core")</f>
        <v>128</v>
      </c>
      <c r="F5" s="146" t="s">
        <v>1</v>
      </c>
      <c r="G5" s="146" t="s">
        <v>1</v>
      </c>
      <c r="H5" s="146" t="s">
        <v>1</v>
      </c>
      <c r="I5" s="146" t="s">
        <v>1</v>
      </c>
      <c r="J5" s="146" t="s">
        <v>1</v>
      </c>
      <c r="K5" s="146" t="s">
        <v>1</v>
      </c>
      <c r="L5" s="146" t="s">
        <v>1</v>
      </c>
      <c r="M5" s="146" t="s">
        <v>1</v>
      </c>
      <c r="N5" s="146" t="s">
        <v>1</v>
      </c>
      <c r="O5" s="146" t="s">
        <v>1</v>
      </c>
      <c r="P5" s="146" t="s">
        <v>1</v>
      </c>
      <c r="Q5" s="146" t="s">
        <v>1</v>
      </c>
      <c r="R5" s="146" t="s">
        <v>1</v>
      </c>
      <c r="S5" s="146" t="s">
        <v>1</v>
      </c>
    </row>
    <row r="6" customFormat="false" ht="15" hidden="false" customHeight="false" outlineLevel="0" collapsed="false">
      <c r="A6" s="249" t="s">
        <v>20</v>
      </c>
      <c r="B6" s="251" t="s">
        <v>21</v>
      </c>
      <c r="C6" s="243" t="s">
        <v>1</v>
      </c>
      <c r="D6" s="247" t="s">
        <v>22</v>
      </c>
      <c r="E6" s="248" t="s">
        <v>23</v>
      </c>
      <c r="F6" s="243" t="s">
        <v>1</v>
      </c>
      <c r="G6" s="243" t="s">
        <v>1</v>
      </c>
      <c r="H6" s="243" t="s">
        <v>1</v>
      </c>
      <c r="I6" s="243" t="s">
        <v>1</v>
      </c>
      <c r="J6" s="243" t="s">
        <v>1</v>
      </c>
      <c r="K6" s="243" t="s">
        <v>1</v>
      </c>
      <c r="L6" s="243" t="s">
        <v>1</v>
      </c>
      <c r="M6" s="243" t="s">
        <v>1</v>
      </c>
      <c r="N6" s="243" t="s">
        <v>1</v>
      </c>
      <c r="O6" s="243" t="s">
        <v>1</v>
      </c>
      <c r="P6" s="243" t="s">
        <v>1</v>
      </c>
      <c r="Q6" s="243" t="s">
        <v>1</v>
      </c>
      <c r="R6" s="243" t="s">
        <v>1</v>
      </c>
      <c r="S6" s="243" t="s">
        <v>1</v>
      </c>
    </row>
    <row r="7" customFormat="false" ht="15" hidden="false" customHeight="false" outlineLevel="0" collapsed="false">
      <c r="A7" s="146" t="s">
        <v>1</v>
      </c>
      <c r="B7" s="146" t="s">
        <v>1</v>
      </c>
      <c r="C7" s="146" t="s">
        <v>1</v>
      </c>
      <c r="D7" s="232" t="s">
        <v>24</v>
      </c>
      <c r="E7" s="513">
        <f>COUNTA(A18:A242)</f>
        <v>225</v>
      </c>
      <c r="F7" s="146" t="s">
        <v>1</v>
      </c>
      <c r="G7" s="146" t="s">
        <v>1</v>
      </c>
      <c r="H7" s="146" t="s">
        <v>1</v>
      </c>
      <c r="I7" s="146" t="s">
        <v>1</v>
      </c>
      <c r="J7" s="146" t="s">
        <v>1</v>
      </c>
      <c r="K7" s="146" t="s">
        <v>1</v>
      </c>
      <c r="L7" s="146" t="s">
        <v>1</v>
      </c>
      <c r="M7" s="146" t="s">
        <v>1</v>
      </c>
      <c r="N7" s="146" t="s">
        <v>1</v>
      </c>
      <c r="O7" s="146" t="s">
        <v>1</v>
      </c>
      <c r="P7" s="146" t="s">
        <v>1</v>
      </c>
      <c r="Q7" s="146" t="s">
        <v>1</v>
      </c>
      <c r="R7" s="146" t="s">
        <v>1</v>
      </c>
      <c r="S7" s="146" t="s">
        <v>1</v>
      </c>
    </row>
    <row r="8" customFormat="false" ht="20" hidden="false" customHeight="true" outlineLevel="0" collapsed="false">
      <c r="A8" s="145" t="s">
        <v>26</v>
      </c>
      <c r="B8" s="145" t="s">
        <v>1</v>
      </c>
      <c r="C8" s="145" t="s">
        <v>1</v>
      </c>
      <c r="D8" s="145" t="s">
        <v>1</v>
      </c>
      <c r="E8" s="145" t="s">
        <v>1</v>
      </c>
      <c r="F8" s="145" t="s">
        <v>1</v>
      </c>
      <c r="G8" s="145" t="s">
        <v>1</v>
      </c>
      <c r="H8" s="145" t="s">
        <v>1</v>
      </c>
      <c r="I8" s="145" t="s">
        <v>1</v>
      </c>
      <c r="J8" s="145" t="s">
        <v>1</v>
      </c>
      <c r="K8" s="145" t="s">
        <v>1</v>
      </c>
      <c r="L8" s="145" t="s">
        <v>1</v>
      </c>
      <c r="M8" s="145" t="s">
        <v>1</v>
      </c>
      <c r="N8" s="145" t="s">
        <v>1</v>
      </c>
      <c r="O8" s="145" t="s">
        <v>1</v>
      </c>
      <c r="P8" s="145" t="s">
        <v>1</v>
      </c>
      <c r="Q8" s="145" t="s">
        <v>1</v>
      </c>
      <c r="R8" s="145" t="s">
        <v>1</v>
      </c>
      <c r="S8" s="145" t="s">
        <v>1</v>
      </c>
    </row>
    <row r="9" customFormat="false" ht="15" hidden="false" customHeight="false" outlineLevel="0" collapsed="false">
      <c r="A9" s="211" t="s">
        <v>27</v>
      </c>
      <c r="B9" s="212" t="s">
        <v>1</v>
      </c>
      <c r="C9" s="212" t="s">
        <v>28</v>
      </c>
      <c r="D9" s="212" t="s">
        <v>29</v>
      </c>
      <c r="E9" s="213" t="s">
        <v>1</v>
      </c>
      <c r="F9" s="211" t="s">
        <v>27</v>
      </c>
      <c r="G9" s="212" t="s">
        <v>1</v>
      </c>
      <c r="H9" s="212" t="s">
        <v>28</v>
      </c>
      <c r="I9" s="212" t="s">
        <v>29</v>
      </c>
      <c r="J9" s="213" t="s">
        <v>1</v>
      </c>
      <c r="K9" s="211" t="s">
        <v>30</v>
      </c>
      <c r="L9" s="212" t="s">
        <v>1</v>
      </c>
      <c r="M9" s="212" t="s">
        <v>28</v>
      </c>
      <c r="N9" s="212" t="s">
        <v>29</v>
      </c>
      <c r="O9" s="213" t="s">
        <v>1</v>
      </c>
      <c r="P9" s="146" t="s">
        <v>1</v>
      </c>
      <c r="Q9" s="146" t="s">
        <v>1</v>
      </c>
      <c r="R9" s="146" t="s">
        <v>1</v>
      </c>
      <c r="S9" s="146" t="s">
        <v>1</v>
      </c>
    </row>
    <row r="10" customFormat="false" ht="15" hidden="false" customHeight="false" outlineLevel="0" collapsed="false">
      <c r="A10" s="277" t="s">
        <v>31</v>
      </c>
      <c r="B10" s="252" t="s">
        <v>1</v>
      </c>
      <c r="C10" s="252" t="s">
        <v>32</v>
      </c>
      <c r="D10" s="138" t="str">
        <f>COUNTIFS($C$18:$C$242,A10,$T$18:$T$242,"Done")&amp;" passed / "&amp;COUNTIF($C$18:$C$242,A10)&amp;" total ("&amp;IF(COUNTIF($C$18:$C$242,A10)=0,"0%",TEXT(COUNTIFS($C$18:$C$242,A10,$T$18:$T$242,"Done")/COUNTIF($C$18:$C$242,A10),"0%"))&amp;")"</f>
        <v>0 passed / 2 total (0%)</v>
      </c>
      <c r="E10" s="175" t="s">
        <v>1</v>
      </c>
      <c r="F10" s="333" t="s">
        <v>34</v>
      </c>
      <c r="G10" s="259" t="s">
        <v>1</v>
      </c>
      <c r="H10" s="259" t="s">
        <v>35</v>
      </c>
      <c r="I10" s="138" t="str">
        <f>COUNTIFS($C$18:$C$242,F10,$T$18:$T$242,"Done")&amp;" passed / "&amp;COUNTIF($C$18:$C$242,F10)&amp;" total ("&amp;IF(COUNTIF($C$18:$C$242,F10)=0,"0%",TEXT(COUNTIFS($C$18:$C$242,F10,$T$18:$T$242,"Done")/COUNTIF($C$18:$C$242,F10),"0%"))&amp;")"</f>
        <v>0 passed / 9 total (0%)</v>
      </c>
      <c r="J10" s="175" t="s">
        <v>1</v>
      </c>
      <c r="K10" s="526" t="s">
        <v>37</v>
      </c>
      <c r="L10" s="522" t="s">
        <v>1</v>
      </c>
      <c r="M10" s="522" t="s">
        <v>38</v>
      </c>
      <c r="N10" s="451" t="str">
        <f>COUNTIFS($C$18:$C$242,K10,$T$18:$T$242,"Done")&amp;" passed / "&amp;COUNTIF($C$18:$C$242,K10)&amp;" total ("&amp;IF(COUNTIF($C$18:$C$242,K10)=0,"0%",TEXT(COUNTIFS($C$18:$C$242,K10,$T$18:$T$242,"Done")/COUNTIF($C$18:$C$242,K10),"0%"))&amp;")"</f>
        <v>3 passed / 41 total (7%)</v>
      </c>
      <c r="O10" s="470" t="s">
        <v>1</v>
      </c>
      <c r="P10" s="146" t="s">
        <v>1</v>
      </c>
      <c r="Q10" s="146" t="s">
        <v>1</v>
      </c>
      <c r="R10" s="146" t="s">
        <v>1</v>
      </c>
      <c r="S10" s="146" t="s">
        <v>1</v>
      </c>
    </row>
    <row r="11" customFormat="false" ht="15" hidden="false" customHeight="false" outlineLevel="0" collapsed="false">
      <c r="A11" s="285" t="s">
        <v>40</v>
      </c>
      <c r="B11" s="253" t="s">
        <v>1</v>
      </c>
      <c r="C11" s="253" t="s">
        <v>41</v>
      </c>
      <c r="D11" s="451" t="str">
        <f>COUNTIFS($C$18:$C$242,A11,$T$18:$T$242,"Done")&amp;" passed / "&amp;COUNTIF($C$18:$C$242,A11)&amp;" total ("&amp;IF(COUNTIF($C$18:$C$242,A11)=0,"0%",TEXT(COUNTIFS($C$18:$C$242,A11,$T$18:$T$242,"Done")/COUNTIF($C$18:$C$242,A11),"0%"))&amp;")"</f>
        <v>5 passed / 14 total (36%)</v>
      </c>
      <c r="E11" s="470" t="s">
        <v>1</v>
      </c>
      <c r="F11" s="349" t="s">
        <v>43</v>
      </c>
      <c r="G11" s="261" t="s">
        <v>1</v>
      </c>
      <c r="H11" s="261" t="s">
        <v>44</v>
      </c>
      <c r="I11" s="135" t="str">
        <f>COUNTIFS($C$18:$C$242,F11,$T$18:$T$242,"Done")&amp;" passed / "&amp;COUNTIF($C$18:$C$242,F11)&amp;" total ("&amp;IF(COUNTIF($C$18:$C$242,F11)=0,"0%",TEXT(COUNTIFS($C$18:$C$242,F11,$T$18:$T$242,"Done")/COUNTIF($C$18:$C$242,F11),"0%"))&amp;")"</f>
        <v>2 passed / 2 total (100%)</v>
      </c>
      <c r="J11" s="151" t="s">
        <v>1</v>
      </c>
      <c r="K11" s="247" t="s">
        <v>46</v>
      </c>
      <c r="L11" s="243" t="s">
        <v>1</v>
      </c>
      <c r="M11" s="243" t="s">
        <v>47</v>
      </c>
      <c r="N11" s="138" t="str">
        <f>COUNTIFS($C$18:$C$242,K11,$T$18:$T$242,"Done")&amp;" passed / "&amp;COUNTIF($C$18:$C$242,K11)&amp;" total ("&amp;IF(COUNTIF($C$18:$C$242,K11)=0,"0%",TEXT(COUNTIFS($C$18:$C$242,K11,$T$18:$T$242,"Done")/COUNTIF($C$18:$C$242,K11),"0%"))&amp;")"</f>
        <v>0 passed / 32 total (0%)</v>
      </c>
      <c r="O11" s="175" t="s">
        <v>1</v>
      </c>
      <c r="P11" s="146" t="s">
        <v>1</v>
      </c>
      <c r="Q11" s="146" t="s">
        <v>1</v>
      </c>
      <c r="R11" s="146" t="s">
        <v>1</v>
      </c>
      <c r="S11" s="146" t="s">
        <v>1</v>
      </c>
    </row>
    <row r="12" customFormat="false" ht="15" hidden="false" customHeight="false" outlineLevel="0" collapsed="false">
      <c r="A12" s="309" t="s">
        <v>49</v>
      </c>
      <c r="B12" s="256" t="s">
        <v>1</v>
      </c>
      <c r="C12" s="256" t="s">
        <v>50</v>
      </c>
      <c r="D12" s="450" t="str">
        <f>COUNTIFS($C$18:$C$242,A12,$T$18:$T$242,"Done")&amp;" passed / "&amp;COUNTIF($C$18:$C$242,A12)&amp;" total ("&amp;IF(COUNTIF($C$18:$C$242,A12)=0,"0%",TEXT(COUNTIFS($C$18:$C$242,A12,$T$18:$T$242,"Done")/COUNTIF($C$18:$C$242,A12),"0%"))&amp;")"</f>
        <v>42 passed / 52 total (81%)</v>
      </c>
      <c r="E12" s="462" t="s">
        <v>1</v>
      </c>
      <c r="F12" s="301" t="s">
        <v>52</v>
      </c>
      <c r="G12" s="255" t="s">
        <v>1</v>
      </c>
      <c r="H12" s="255" t="s">
        <v>53</v>
      </c>
      <c r="I12" s="138" t="str">
        <f>COUNTIFS($C$18:$C$242,F12,$T$18:$T$242,"Done")&amp;" passed / "&amp;COUNTIF($C$18:$C$242,F12)&amp;" total ("&amp;IF(COUNTIF($C$18:$C$242,F12)=0,"0%",TEXT(COUNTIFS($C$18:$C$242,F12,$T$18:$T$242,"Done")/COUNTIF($C$18:$C$242,F12),"0%"))&amp;")"</f>
        <v>0 passed / 7 total (0%)</v>
      </c>
      <c r="J12" s="175" t="s">
        <v>1</v>
      </c>
      <c r="K12" s="437" t="s">
        <v>55</v>
      </c>
      <c r="L12" s="272" t="s">
        <v>1</v>
      </c>
      <c r="M12" s="272" t="s">
        <v>56</v>
      </c>
      <c r="N12" s="138" t="str">
        <f>COUNTIFS($C$18:$C$242,K12,$T$18:$T$242,"Done")&amp;" passed / "&amp;COUNTIF($C$18:$C$242,K12)&amp;" total ("&amp;IF(COUNTIF($C$18:$C$242,K12)=0,"0%",TEXT(COUNTIFS($C$18:$C$242,K12,$T$18:$T$242,"Done")/COUNTIF($C$18:$C$242,K12),"0%"))&amp;")"</f>
        <v>0 passed / 16 total (0%)</v>
      </c>
      <c r="O12" s="175" t="s">
        <v>1</v>
      </c>
      <c r="P12" s="146" t="s">
        <v>1</v>
      </c>
      <c r="Q12" s="146" t="s">
        <v>1</v>
      </c>
      <c r="R12" s="146" t="s">
        <v>1</v>
      </c>
      <c r="S12" s="146" t="s">
        <v>1</v>
      </c>
    </row>
    <row r="13" customFormat="false" ht="15" hidden="false" customHeight="false" outlineLevel="0" collapsed="false">
      <c r="A13" s="317" t="s">
        <v>58</v>
      </c>
      <c r="B13" s="257" t="s">
        <v>1</v>
      </c>
      <c r="C13" s="257" t="s">
        <v>59</v>
      </c>
      <c r="D13" s="450" t="str">
        <f>COUNTIFS($C$18:$C$242,A13,$T$18:$T$242,"Done")&amp;" passed / "&amp;COUNTIF($C$18:$C$242,A13)&amp;" total ("&amp;IF(COUNTIF($C$18:$C$242,A13)=0,"0%",TEXT(COUNTIFS($C$18:$C$242,A13,$T$18:$T$242,"Done")/COUNTIF($C$18:$C$242,A13),"0%"))&amp;")"</f>
        <v>12 passed / 15 total (80%)</v>
      </c>
      <c r="E13" s="462" t="s">
        <v>1</v>
      </c>
      <c r="F13" s="357" t="s">
        <v>61</v>
      </c>
      <c r="G13" s="262" t="s">
        <v>1</v>
      </c>
      <c r="H13" s="262" t="s">
        <v>62</v>
      </c>
      <c r="I13" s="138" t="str">
        <f>COUNTIFS($C$18:$C$242,F13,$T$18:$T$242,"Done")&amp;" passed / "&amp;COUNTIF($C$18:$C$242,F13)&amp;" total ("&amp;IF(COUNTIF($C$18:$C$242,F13)=0,"0%",TEXT(COUNTIFS($C$18:$C$242,F13,$T$18:$T$242,"Done")/COUNTIF($C$18:$C$242,F13),"0%"))&amp;")"</f>
        <v>0 passed / 5 total (0%)</v>
      </c>
      <c r="J13" s="175" t="s">
        <v>1</v>
      </c>
      <c r="K13" s="445" t="s">
        <v>64</v>
      </c>
      <c r="L13" s="273" t="s">
        <v>1</v>
      </c>
      <c r="M13" s="273" t="s">
        <v>65</v>
      </c>
      <c r="N13" s="138" t="str">
        <f>COUNTIFS($C$18:$C$242,K13,$T$18:$T$242,"Done")&amp;" passed / "&amp;COUNTIF($C$18:$C$242,K13)&amp;" total ("&amp;IF(COUNTIF($C$18:$C$242,K13)=0,"0%",TEXT(COUNTIFS($C$18:$C$242,K13,$T$18:$T$242,"Done")/COUNTIF($C$18:$C$242,K13),"0%"))&amp;")"</f>
        <v>0 passed / 8 total (0%)</v>
      </c>
      <c r="O13" s="175" t="s">
        <v>1</v>
      </c>
      <c r="P13" s="146" t="s">
        <v>1</v>
      </c>
      <c r="Q13" s="146" t="s">
        <v>1</v>
      </c>
      <c r="R13" s="146" t="s">
        <v>1</v>
      </c>
      <c r="S13" s="146" t="s">
        <v>1</v>
      </c>
    </row>
    <row r="14" customFormat="false" ht="15" hidden="false" customHeight="false" outlineLevel="0" collapsed="false">
      <c r="A14" s="327" t="s">
        <v>67</v>
      </c>
      <c r="B14" s="328" t="s">
        <v>1</v>
      </c>
      <c r="C14" s="328" t="s">
        <v>68</v>
      </c>
      <c r="D14" s="472" t="str">
        <f>COUNTIFS($C$18:$C$242,A14,$T$18:$T$242,"Done")&amp;" passed / "&amp;COUNTIF($C$18:$C$242,A14)&amp;" total ("&amp;IF(COUNTIF($C$18:$C$242,A14)=0,"0%",TEXT(COUNTIFS($C$18:$C$242,A14,$T$18:$T$242,"Done")/COUNTIF($C$18:$C$242,A14),"0%"))&amp;")"</f>
        <v>1 passed / 20 total (5%)</v>
      </c>
      <c r="E14" s="473" t="s">
        <v>1</v>
      </c>
      <c r="F14" s="367" t="s">
        <v>70</v>
      </c>
      <c r="G14" s="368" t="s">
        <v>1</v>
      </c>
      <c r="H14" s="368" t="s">
        <v>71</v>
      </c>
      <c r="I14" s="177" t="str">
        <f>COUNTIFS($C$18:$C$242,F14,$T$18:$T$242,"Done")&amp;" passed / "&amp;COUNTIF($C$18:$C$242,F14)&amp;" total ("&amp;IF(COUNTIF($C$18:$C$242,F14)=0,"0%",TEXT(COUNTIFS($C$18:$C$242,F14,$T$18:$T$242,"Done")/COUNTIF($C$18:$C$242,F14),"0%"))&amp;")"</f>
        <v>0 passed / 2 total (0%)</v>
      </c>
      <c r="J14" s="178" t="s">
        <v>1</v>
      </c>
      <c r="K14" s="240" t="s">
        <v>1</v>
      </c>
      <c r="L14" s="241" t="s">
        <v>1</v>
      </c>
      <c r="M14" s="241" t="s">
        <v>1</v>
      </c>
      <c r="N14" s="241" t="s">
        <v>1</v>
      </c>
      <c r="O14" s="242" t="s">
        <v>1</v>
      </c>
      <c r="P14" s="146" t="s">
        <v>1</v>
      </c>
      <c r="Q14" s="146" t="s">
        <v>1</v>
      </c>
      <c r="R14" s="146" t="s">
        <v>1</v>
      </c>
      <c r="S14" s="146" t="s">
        <v>1</v>
      </c>
    </row>
    <row r="15" customFormat="false" ht="20" hidden="false" customHeight="true" outlineLevel="0" collapsed="false">
      <c r="A15" s="145" t="s">
        <v>72</v>
      </c>
      <c r="B15" s="145" t="s">
        <v>1</v>
      </c>
      <c r="C15" s="145" t="s">
        <v>1</v>
      </c>
      <c r="D15" s="145" t="s">
        <v>1</v>
      </c>
      <c r="E15" s="145" t="s">
        <v>1</v>
      </c>
      <c r="F15" s="145" t="s">
        <v>1</v>
      </c>
      <c r="G15" s="145" t="s">
        <v>1</v>
      </c>
      <c r="H15" s="145" t="s">
        <v>1</v>
      </c>
      <c r="I15" s="145" t="s">
        <v>1</v>
      </c>
      <c r="J15" s="145" t="s">
        <v>1</v>
      </c>
      <c r="K15" s="145" t="s">
        <v>1</v>
      </c>
      <c r="L15" s="145" t="s">
        <v>1</v>
      </c>
      <c r="M15" s="145" t="s">
        <v>1</v>
      </c>
      <c r="N15" s="145" t="s">
        <v>1</v>
      </c>
      <c r="O15" s="145" t="s">
        <v>1</v>
      </c>
      <c r="P15" s="145" t="s">
        <v>1</v>
      </c>
      <c r="Q15" s="145" t="s">
        <v>1</v>
      </c>
      <c r="R15" s="145" t="s">
        <v>1</v>
      </c>
      <c r="S15" s="145" t="s">
        <v>1</v>
      </c>
    </row>
    <row r="16" customFormat="false" ht="20" hidden="false" customHeight="true" outlineLevel="0" collapsed="false">
      <c r="A16" s="146" t="s">
        <v>1</v>
      </c>
      <c r="B16" s="146" t="s">
        <v>1</v>
      </c>
      <c r="C16" s="146" t="s">
        <v>1</v>
      </c>
      <c r="D16" s="146" t="s">
        <v>1</v>
      </c>
      <c r="E16" s="146" t="s">
        <v>1</v>
      </c>
      <c r="F16" s="146" t="s">
        <v>1</v>
      </c>
      <c r="G16" s="146" t="s">
        <v>1</v>
      </c>
      <c r="H16" s="146" t="s">
        <v>1</v>
      </c>
      <c r="I16" s="146" t="s">
        <v>1</v>
      </c>
      <c r="J16" s="146" t="s">
        <v>1</v>
      </c>
      <c r="K16" s="146" t="s">
        <v>1</v>
      </c>
      <c r="L16" s="143" t="s">
        <v>73</v>
      </c>
      <c r="M16" s="143" t="s">
        <v>1</v>
      </c>
      <c r="N16" s="146" t="s">
        <v>1</v>
      </c>
      <c r="O16" s="146" t="s">
        <v>1</v>
      </c>
      <c r="P16" s="146" t="s">
        <v>1</v>
      </c>
      <c r="Q16" s="146" t="s">
        <v>1</v>
      </c>
      <c r="R16" s="146" t="s">
        <v>1</v>
      </c>
      <c r="S16" s="146" t="s">
        <v>1</v>
      </c>
    </row>
    <row r="17" customFormat="false" ht="15" hidden="false" customHeight="false" outlineLevel="0" collapsed="false">
      <c r="A17" s="143" t="s">
        <v>74</v>
      </c>
      <c r="B17" s="143" t="s">
        <v>75</v>
      </c>
      <c r="C17" s="143" t="s">
        <v>27</v>
      </c>
      <c r="D17" s="143" t="s">
        <v>76</v>
      </c>
      <c r="E17" s="143" t="s">
        <v>77</v>
      </c>
      <c r="F17" s="143" t="s">
        <v>78</v>
      </c>
      <c r="G17" s="143" t="s">
        <v>79</v>
      </c>
      <c r="H17" s="143" t="s">
        <v>80</v>
      </c>
      <c r="I17" s="143" t="s">
        <v>81</v>
      </c>
      <c r="J17" s="143" t="s">
        <v>82</v>
      </c>
      <c r="K17" s="143" t="s">
        <v>83</v>
      </c>
      <c r="L17" s="143" t="s">
        <v>84</v>
      </c>
      <c r="M17" s="143" t="s">
        <v>85</v>
      </c>
      <c r="N17" s="143" t="s">
        <v>86</v>
      </c>
      <c r="O17" s="143" t="s">
        <v>87</v>
      </c>
      <c r="P17" s="143" t="s">
        <v>88</v>
      </c>
      <c r="Q17" s="143" t="s">
        <v>89</v>
      </c>
      <c r="R17" s="143" t="s">
        <v>90</v>
      </c>
      <c r="S17" s="143" t="s">
        <v>91</v>
      </c>
    </row>
    <row r="18" customFormat="false" ht="15" hidden="false" customHeight="false" outlineLevel="0" collapsed="false">
      <c r="A18" s="136" t="s">
        <v>92</v>
      </c>
      <c r="B18" s="136" t="s">
        <v>93</v>
      </c>
      <c r="C18" s="252" t="s">
        <v>31</v>
      </c>
      <c r="D18" s="136" t="s">
        <v>94</v>
      </c>
      <c r="E18" s="136" t="s">
        <v>95</v>
      </c>
      <c r="F18" s="136" t="s">
        <v>96</v>
      </c>
      <c r="G18" s="136" t="s">
        <v>97</v>
      </c>
      <c r="H18" s="136" t="s">
        <v>98</v>
      </c>
      <c r="I18" s="136" t="s">
        <v>99</v>
      </c>
      <c r="J18" s="136" t="s">
        <v>100</v>
      </c>
      <c r="K18" s="136" t="s">
        <v>101</v>
      </c>
      <c r="L18" s="136" t="s">
        <v>1</v>
      </c>
      <c r="M18" s="136" t="s">
        <v>1</v>
      </c>
      <c r="N18" s="136" t="s">
        <v>102</v>
      </c>
      <c r="O18" s="136" t="s">
        <v>103</v>
      </c>
      <c r="P18" s="136" t="s">
        <v>104</v>
      </c>
      <c r="Q18" s="136" t="s">
        <v>105</v>
      </c>
      <c r="R18" s="136" t="s">
        <v>106</v>
      </c>
      <c r="S18" s="136" t="s">
        <v>107</v>
      </c>
      <c r="T18" s="146" t="str">
        <f>IF(OR(ISNUMBER(SEARCH("FAIL",K18&amp;" "&amp;Q18)),ISNUMBER(SEARCH("CLEAN RETEST REQUIRED",K18&amp;" "&amp;Q18))),"Failed",IF(OR(ISNUMBER(SEARCH("NOT RUN",K18&amp;" "&amp;Q18)),ISNUMBER(SEARCH("NOT IMPLEMENTED",K18&amp;" "&amp;Q18))),"Not started",IF(OR(ISNUMBER(SEARCH("PARTIAL",K18&amp;" "&amp;Q18)),ISNUMBER(SEARCH("PENDING",K18&amp;" "&amp;Q18)),ISNUMBER(SEARCH("IN PROGRESS",K18&amp;" "&amp;Q18)),ISNUMBER(SEARCH("OPEN",K18&amp;" "&amp;Q18)),ISNUMBER(SEARCH("RETEST REQUIRED",K18&amp;" "&amp;Q18)),ISNUMBER(SEARCH("IMPLEMENTATION UPDATED",K18&amp;" "&amp;Q18)),ISNUMBER(SEARCH("REQUIRED EVERY SESSION",K18&amp;" "&amp;Q18))),"Pending",IF(OR(Q18="PASS",ISNUMBER(SEARCH("PASS",K18&amp;" "&amp;Q18))),"Done","Pending"))))</f>
        <v>Pending</v>
      </c>
      <c r="U18" s="146" t="str">
        <f>IF(OR(C18="Admin optional",LEFT(A18,9)="OPERATOR-",LEFT(A18,8)="PAYMENT-",LEFT(A18,7)="DEPLOY-"),"External","Core")</f>
        <v>Core</v>
      </c>
    </row>
    <row r="19" customFormat="false" ht="15" hidden="false" customHeight="false" outlineLevel="0" collapsed="false">
      <c r="A19" s="136" t="s">
        <v>108</v>
      </c>
      <c r="B19" s="136" t="s">
        <v>109</v>
      </c>
      <c r="C19" s="252" t="s">
        <v>31</v>
      </c>
      <c r="D19" s="136" t="s">
        <v>110</v>
      </c>
      <c r="E19" s="136" t="s">
        <v>111</v>
      </c>
      <c r="F19" s="136" t="s">
        <v>4</v>
      </c>
      <c r="G19" s="136" t="s">
        <v>4</v>
      </c>
      <c r="H19" s="136" t="s">
        <v>4</v>
      </c>
      <c r="I19" s="136" t="s">
        <v>4</v>
      </c>
      <c r="J19" s="136" t="s">
        <v>112</v>
      </c>
      <c r="K19" s="136" t="s">
        <v>113</v>
      </c>
      <c r="L19" s="136" t="s">
        <v>1</v>
      </c>
      <c r="M19" s="136" t="s">
        <v>1</v>
      </c>
      <c r="N19" s="136" t="s">
        <v>102</v>
      </c>
      <c r="O19" s="136" t="s">
        <v>114</v>
      </c>
      <c r="P19" s="136" t="s">
        <v>115</v>
      </c>
      <c r="Q19" s="136" t="s">
        <v>116</v>
      </c>
      <c r="R19" s="136" t="s">
        <v>117</v>
      </c>
      <c r="S19" s="136" t="s">
        <v>118</v>
      </c>
      <c r="T19" s="146" t="str">
        <f>IF(OR(ISNUMBER(SEARCH("FAIL",K19&amp;" "&amp;Q19)),ISNUMBER(SEARCH("CLEAN RETEST REQUIRED",K19&amp;" "&amp;Q19))),"Failed",IF(OR(ISNUMBER(SEARCH("NOT RUN",K19&amp;" "&amp;Q19)),ISNUMBER(SEARCH("NOT IMPLEMENTED",K19&amp;" "&amp;Q19))),"Not started",IF(OR(ISNUMBER(SEARCH("PARTIAL",K19&amp;" "&amp;Q19)),ISNUMBER(SEARCH("PENDING",K19&amp;" "&amp;Q19)),ISNUMBER(SEARCH("IN PROGRESS",K19&amp;" "&amp;Q19)),ISNUMBER(SEARCH("OPEN",K19&amp;" "&amp;Q19)),ISNUMBER(SEARCH("RETEST REQUIRED",K19&amp;" "&amp;Q19)),ISNUMBER(SEARCH("IMPLEMENTATION UPDATED",K19&amp;" "&amp;Q19)),ISNUMBER(SEARCH("REQUIRED EVERY SESSION",K19&amp;" "&amp;Q19))),"Pending",IF(OR(Q19="PASS",ISNUMBER(SEARCH("PASS",K19&amp;" "&amp;Q19))),"Done","Pending"))))</f>
        <v>Pending</v>
      </c>
      <c r="U19" s="146" t="str">
        <f>IF(OR(C19="Admin optional",LEFT(A19,9)="OPERATOR-",LEFT(A19,8)="PAYMENT-",LEFT(A19,7)="DEPLOY-"),"External","Core")</f>
        <v>Core</v>
      </c>
    </row>
    <row r="20" customFormat="false" ht="45" hidden="false" customHeight="true" outlineLevel="0" collapsed="false">
      <c r="A20" s="135" t="s">
        <v>119</v>
      </c>
      <c r="B20" s="135" t="s">
        <v>120</v>
      </c>
      <c r="C20" s="253" t="s">
        <v>40</v>
      </c>
      <c r="D20" s="135" t="s">
        <v>121</v>
      </c>
      <c r="E20" s="135" t="s">
        <v>122</v>
      </c>
      <c r="F20" s="135" t="s">
        <v>123</v>
      </c>
      <c r="G20" s="135" t="s">
        <v>124</v>
      </c>
      <c r="H20" s="135" t="s">
        <v>125</v>
      </c>
      <c r="I20" s="135" t="s">
        <v>4</v>
      </c>
      <c r="J20" s="135" t="s">
        <v>126</v>
      </c>
      <c r="K20" s="135" t="s">
        <v>127</v>
      </c>
      <c r="L20" s="135" t="s">
        <v>1</v>
      </c>
      <c r="M20" s="135" t="s">
        <v>1</v>
      </c>
      <c r="N20" s="135" t="s">
        <v>128</v>
      </c>
      <c r="O20" s="135" t="s">
        <v>129</v>
      </c>
      <c r="P20" s="135" t="s">
        <v>130</v>
      </c>
      <c r="Q20" s="135" t="s">
        <v>131</v>
      </c>
      <c r="R20" s="135" t="s">
        <v>132</v>
      </c>
      <c r="S20" s="135" t="s">
        <v>133</v>
      </c>
      <c r="T20" s="146" t="str">
        <f>IF(OR(ISNUMBER(SEARCH("FAIL",K20&amp;" "&amp;Q20)),ISNUMBER(SEARCH("CLEAN RETEST REQUIRED",K20&amp;" "&amp;Q20))),"Failed",IF(OR(ISNUMBER(SEARCH("NOT RUN",K20&amp;" "&amp;Q20)),ISNUMBER(SEARCH("NOT IMPLEMENTED",K20&amp;" "&amp;Q20))),"Not started",IF(OR(ISNUMBER(SEARCH("PARTIAL",K20&amp;" "&amp;Q20)),ISNUMBER(SEARCH("PENDING",K20&amp;" "&amp;Q20)),ISNUMBER(SEARCH("IN PROGRESS",K20&amp;" "&amp;Q20)),ISNUMBER(SEARCH("OPEN",K20&amp;" "&amp;Q20)),ISNUMBER(SEARCH("RETEST REQUIRED",K20&amp;" "&amp;Q20)),ISNUMBER(SEARCH("IMPLEMENTATION UPDATED",K20&amp;" "&amp;Q20)),ISNUMBER(SEARCH("REQUIRED EVERY SESSION",K20&amp;" "&amp;Q20))),"Pending",IF(OR(Q20="PASS",ISNUMBER(SEARCH("PASS",K20&amp;" "&amp;Q20))),"Done","Pending"))))</f>
        <v>Done</v>
      </c>
      <c r="U20" s="146" t="str">
        <f>IF(OR(C20="Admin optional",LEFT(A20,9)="OPERATOR-",LEFT(A20,8)="PAYMENT-",LEFT(A20,7)="DEPLOY-"),"External","Core")</f>
        <v>Core</v>
      </c>
    </row>
    <row r="21" customFormat="false" ht="15" hidden="false" customHeight="false" outlineLevel="0" collapsed="false">
      <c r="A21" s="138" t="s">
        <v>134</v>
      </c>
      <c r="B21" s="138" t="s">
        <v>120</v>
      </c>
      <c r="C21" s="253" t="s">
        <v>40</v>
      </c>
      <c r="D21" s="138" t="s">
        <v>121</v>
      </c>
      <c r="E21" s="138" t="s">
        <v>135</v>
      </c>
      <c r="F21" s="138" t="s">
        <v>123</v>
      </c>
      <c r="G21" s="138" t="s">
        <v>136</v>
      </c>
      <c r="H21" s="138" t="s">
        <v>125</v>
      </c>
      <c r="I21" s="138" t="s">
        <v>4</v>
      </c>
      <c r="J21" s="138" t="s">
        <v>137</v>
      </c>
      <c r="K21" s="138" t="s">
        <v>138</v>
      </c>
      <c r="L21" s="138" t="s">
        <v>1</v>
      </c>
      <c r="M21" s="138" t="s">
        <v>1</v>
      </c>
      <c r="N21" s="138" t="s">
        <v>1</v>
      </c>
      <c r="O21" s="138" t="s">
        <v>139</v>
      </c>
      <c r="P21" s="138" t="s">
        <v>140</v>
      </c>
      <c r="Q21" s="138" t="s">
        <v>1</v>
      </c>
      <c r="R21" s="138" t="s">
        <v>141</v>
      </c>
      <c r="S21" s="138" t="s">
        <v>107</v>
      </c>
      <c r="T21" s="146" t="str">
        <f>IF(OR(ISNUMBER(SEARCH("FAIL",K21&amp;" "&amp;Q21)),ISNUMBER(SEARCH("CLEAN RETEST REQUIRED",K21&amp;" "&amp;Q21))),"Failed",IF(OR(ISNUMBER(SEARCH("NOT RUN",K21&amp;" "&amp;Q21)),ISNUMBER(SEARCH("NOT IMPLEMENTED",K21&amp;" "&amp;Q21))),"Not started",IF(OR(ISNUMBER(SEARCH("PARTIAL",K21&amp;" "&amp;Q21)),ISNUMBER(SEARCH("PENDING",K21&amp;" "&amp;Q21)),ISNUMBER(SEARCH("IN PROGRESS",K21&amp;" "&amp;Q21)),ISNUMBER(SEARCH("OPEN",K21&amp;" "&amp;Q21)),ISNUMBER(SEARCH("RETEST REQUIRED",K21&amp;" "&amp;Q21)),ISNUMBER(SEARCH("IMPLEMENTATION UPDATED",K21&amp;" "&amp;Q21)),ISNUMBER(SEARCH("REQUIRED EVERY SESSION",K21&amp;" "&amp;Q21))),"Pending",IF(OR(Q21="PASS",ISNUMBER(SEARCH("PASS",K21&amp;" "&amp;Q21))),"Done","Pending"))))</f>
        <v>Not started</v>
      </c>
      <c r="U21" s="146" t="str">
        <f>IF(OR(C21="Admin optional",LEFT(A21,9)="OPERATOR-",LEFT(A21,8)="PAYMENT-",LEFT(A21,7)="DEPLOY-"),"External","Core")</f>
        <v>Core</v>
      </c>
    </row>
    <row r="22" customFormat="false" ht="60" hidden="false" customHeight="true" outlineLevel="0" collapsed="false">
      <c r="A22" s="135" t="s">
        <v>142</v>
      </c>
      <c r="B22" s="135" t="s">
        <v>120</v>
      </c>
      <c r="C22" s="253" t="s">
        <v>40</v>
      </c>
      <c r="D22" s="135" t="s">
        <v>143</v>
      </c>
      <c r="E22" s="135" t="s">
        <v>144</v>
      </c>
      <c r="F22" s="135" t="s">
        <v>4</v>
      </c>
      <c r="G22" s="135" t="s">
        <v>145</v>
      </c>
      <c r="H22" s="135" t="s">
        <v>4</v>
      </c>
      <c r="I22" s="135" t="s">
        <v>4</v>
      </c>
      <c r="J22" s="135" t="s">
        <v>146</v>
      </c>
      <c r="K22" s="135" t="s">
        <v>127</v>
      </c>
      <c r="L22" s="135" t="s">
        <v>1</v>
      </c>
      <c r="M22" s="135" t="s">
        <v>1</v>
      </c>
      <c r="N22" s="135" t="s">
        <v>128</v>
      </c>
      <c r="O22" s="135" t="s">
        <v>147</v>
      </c>
      <c r="P22" s="135" t="s">
        <v>148</v>
      </c>
      <c r="Q22" s="135" t="s">
        <v>131</v>
      </c>
      <c r="R22" s="135" t="s">
        <v>149</v>
      </c>
      <c r="S22" s="135" t="s">
        <v>107</v>
      </c>
      <c r="T22" s="146" t="str">
        <f>IF(OR(ISNUMBER(SEARCH("FAIL",K22&amp;" "&amp;Q22)),ISNUMBER(SEARCH("CLEAN RETEST REQUIRED",K22&amp;" "&amp;Q22))),"Failed",IF(OR(ISNUMBER(SEARCH("NOT RUN",K22&amp;" "&amp;Q22)),ISNUMBER(SEARCH("NOT IMPLEMENTED",K22&amp;" "&amp;Q22))),"Not started",IF(OR(ISNUMBER(SEARCH("PARTIAL",K22&amp;" "&amp;Q22)),ISNUMBER(SEARCH("PENDING",K22&amp;" "&amp;Q22)),ISNUMBER(SEARCH("IN PROGRESS",K22&amp;" "&amp;Q22)),ISNUMBER(SEARCH("OPEN",K22&amp;" "&amp;Q22)),ISNUMBER(SEARCH("RETEST REQUIRED",K22&amp;" "&amp;Q22)),ISNUMBER(SEARCH("IMPLEMENTATION UPDATED",K22&amp;" "&amp;Q22)),ISNUMBER(SEARCH("REQUIRED EVERY SESSION",K22&amp;" "&amp;Q22))),"Pending",IF(OR(Q22="PASS",ISNUMBER(SEARCH("PASS",K22&amp;" "&amp;Q22))),"Done","Pending"))))</f>
        <v>Done</v>
      </c>
      <c r="U22" s="146" t="str">
        <f>IF(OR(C22="Admin optional",LEFT(A22,9)="OPERATOR-",LEFT(A22,8)="PAYMENT-",LEFT(A22,7)="DEPLOY-"),"External","Core")</f>
        <v>Core</v>
      </c>
    </row>
    <row r="23" customFormat="false" ht="150" hidden="false" customHeight="true" outlineLevel="0" collapsed="false">
      <c r="A23" s="135" t="s">
        <v>150</v>
      </c>
      <c r="B23" s="135" t="s">
        <v>120</v>
      </c>
      <c r="C23" s="253" t="s">
        <v>40</v>
      </c>
      <c r="D23" s="135" t="s">
        <v>143</v>
      </c>
      <c r="E23" s="135" t="s">
        <v>151</v>
      </c>
      <c r="F23" s="135" t="s">
        <v>4</v>
      </c>
      <c r="G23" s="135" t="s">
        <v>152</v>
      </c>
      <c r="H23" s="135" t="s">
        <v>4</v>
      </c>
      <c r="I23" s="135" t="s">
        <v>4</v>
      </c>
      <c r="J23" s="135" t="s">
        <v>153</v>
      </c>
      <c r="K23" s="135" t="s">
        <v>127</v>
      </c>
      <c r="L23" s="135" t="s">
        <v>1</v>
      </c>
      <c r="M23" s="135" t="s">
        <v>1</v>
      </c>
      <c r="N23" s="135" t="s">
        <v>128</v>
      </c>
      <c r="O23" s="135" t="s">
        <v>154</v>
      </c>
      <c r="P23" s="135" t="s">
        <v>155</v>
      </c>
      <c r="Q23" s="135" t="s">
        <v>131</v>
      </c>
      <c r="R23" s="135" t="s">
        <v>156</v>
      </c>
      <c r="S23" s="135" t="s">
        <v>107</v>
      </c>
      <c r="T23" s="146" t="str">
        <f>IF(OR(ISNUMBER(SEARCH("FAIL",K23&amp;" "&amp;Q23)),ISNUMBER(SEARCH("CLEAN RETEST REQUIRED",K23&amp;" "&amp;Q23))),"Failed",IF(OR(ISNUMBER(SEARCH("NOT RUN",K23&amp;" "&amp;Q23)),ISNUMBER(SEARCH("NOT IMPLEMENTED",K23&amp;" "&amp;Q23))),"Not started",IF(OR(ISNUMBER(SEARCH("PARTIAL",K23&amp;" "&amp;Q23)),ISNUMBER(SEARCH("PENDING",K23&amp;" "&amp;Q23)),ISNUMBER(SEARCH("IN PROGRESS",K23&amp;" "&amp;Q23)),ISNUMBER(SEARCH("OPEN",K23&amp;" "&amp;Q23)),ISNUMBER(SEARCH("RETEST REQUIRED",K23&amp;" "&amp;Q23)),ISNUMBER(SEARCH("IMPLEMENTATION UPDATED",K23&amp;" "&amp;Q23)),ISNUMBER(SEARCH("REQUIRED EVERY SESSION",K23&amp;" "&amp;Q23))),"Pending",IF(OR(Q23="PASS",ISNUMBER(SEARCH("PASS",K23&amp;" "&amp;Q23))),"Done","Pending"))))</f>
        <v>Done</v>
      </c>
      <c r="U23" s="146" t="str">
        <f>IF(OR(C23="Admin optional",LEFT(A23,9)="OPERATOR-",LEFT(A23,8)="PAYMENT-",LEFT(A23,7)="DEPLOY-"),"External","Core")</f>
        <v>Core</v>
      </c>
    </row>
    <row r="24" customFormat="false" ht="90" hidden="false" customHeight="true" outlineLevel="0" collapsed="false">
      <c r="A24" s="135" t="s">
        <v>157</v>
      </c>
      <c r="B24" s="135" t="s">
        <v>120</v>
      </c>
      <c r="C24" s="253" t="s">
        <v>40</v>
      </c>
      <c r="D24" s="135" t="s">
        <v>143</v>
      </c>
      <c r="E24" s="135" t="s">
        <v>158</v>
      </c>
      <c r="F24" s="135" t="s">
        <v>4</v>
      </c>
      <c r="G24" s="135" t="s">
        <v>159</v>
      </c>
      <c r="H24" s="135" t="s">
        <v>4</v>
      </c>
      <c r="I24" s="135" t="s">
        <v>4</v>
      </c>
      <c r="J24" s="135" t="s">
        <v>160</v>
      </c>
      <c r="K24" s="135" t="s">
        <v>161</v>
      </c>
      <c r="L24" s="135" t="s">
        <v>1</v>
      </c>
      <c r="M24" s="135" t="s">
        <v>1</v>
      </c>
      <c r="N24" s="135" t="s">
        <v>128</v>
      </c>
      <c r="O24" s="135" t="s">
        <v>162</v>
      </c>
      <c r="P24" s="135" t="s">
        <v>163</v>
      </c>
      <c r="Q24" s="135" t="s">
        <v>131</v>
      </c>
      <c r="R24" s="135" t="s">
        <v>164</v>
      </c>
      <c r="S24" s="135" t="s">
        <v>107</v>
      </c>
      <c r="T24" s="146" t="str">
        <f>IF(OR(ISNUMBER(SEARCH("FAIL",K24&amp;" "&amp;Q24)),ISNUMBER(SEARCH("CLEAN RETEST REQUIRED",K24&amp;" "&amp;Q24))),"Failed",IF(OR(ISNUMBER(SEARCH("NOT RUN",K24&amp;" "&amp;Q24)),ISNUMBER(SEARCH("NOT IMPLEMENTED",K24&amp;" "&amp;Q24))),"Not started",IF(OR(ISNUMBER(SEARCH("PARTIAL",K24&amp;" "&amp;Q24)),ISNUMBER(SEARCH("PENDING",K24&amp;" "&amp;Q24)),ISNUMBER(SEARCH("IN PROGRESS",K24&amp;" "&amp;Q24)),ISNUMBER(SEARCH("OPEN",K24&amp;" "&amp;Q24)),ISNUMBER(SEARCH("RETEST REQUIRED",K24&amp;" "&amp;Q24)),ISNUMBER(SEARCH("IMPLEMENTATION UPDATED",K24&amp;" "&amp;Q24)),ISNUMBER(SEARCH("REQUIRED EVERY SESSION",K24&amp;" "&amp;Q24))),"Pending",IF(OR(Q24="PASS",ISNUMBER(SEARCH("PASS",K24&amp;" "&amp;Q24))),"Done","Pending"))))</f>
        <v>Done</v>
      </c>
      <c r="U24" s="146" t="str">
        <f>IF(OR(C24="Admin optional",LEFT(A24,9)="OPERATOR-",LEFT(A24,8)="PAYMENT-",LEFT(A24,7)="DEPLOY-"),"External","Core")</f>
        <v>Core</v>
      </c>
    </row>
    <row r="25" customFormat="false" ht="105" hidden="false" customHeight="true" outlineLevel="0" collapsed="false">
      <c r="A25" s="135" t="s">
        <v>165</v>
      </c>
      <c r="B25" s="135" t="s">
        <v>166</v>
      </c>
      <c r="C25" s="253" t="s">
        <v>40</v>
      </c>
      <c r="D25" s="135" t="s">
        <v>167</v>
      </c>
      <c r="E25" s="135" t="s">
        <v>168</v>
      </c>
      <c r="F25" s="135" t="s">
        <v>169</v>
      </c>
      <c r="G25" s="135" t="s">
        <v>170</v>
      </c>
      <c r="H25" s="135" t="s">
        <v>4</v>
      </c>
      <c r="I25" s="135" t="s">
        <v>4</v>
      </c>
      <c r="J25" s="135" t="s">
        <v>171</v>
      </c>
      <c r="K25" s="135" t="s">
        <v>161</v>
      </c>
      <c r="L25" s="135" t="s">
        <v>1</v>
      </c>
      <c r="M25" s="135" t="s">
        <v>1</v>
      </c>
      <c r="N25" s="135" t="s">
        <v>172</v>
      </c>
      <c r="O25" s="135" t="s">
        <v>173</v>
      </c>
      <c r="P25" s="135" t="s">
        <v>174</v>
      </c>
      <c r="Q25" s="135" t="s">
        <v>131</v>
      </c>
      <c r="R25" s="135" t="s">
        <v>175</v>
      </c>
      <c r="S25" s="135" t="s">
        <v>107</v>
      </c>
      <c r="T25" s="146" t="str">
        <f>IF(OR(ISNUMBER(SEARCH("FAIL",K25&amp;" "&amp;Q25)),ISNUMBER(SEARCH("CLEAN RETEST REQUIRED",K25&amp;" "&amp;Q25))),"Failed",IF(OR(ISNUMBER(SEARCH("NOT RUN",K25&amp;" "&amp;Q25)),ISNUMBER(SEARCH("NOT IMPLEMENTED",K25&amp;" "&amp;Q25))),"Not started",IF(OR(ISNUMBER(SEARCH("PARTIAL",K25&amp;" "&amp;Q25)),ISNUMBER(SEARCH("PENDING",K25&amp;" "&amp;Q25)),ISNUMBER(SEARCH("IN PROGRESS",K25&amp;" "&amp;Q25)),ISNUMBER(SEARCH("OPEN",K25&amp;" "&amp;Q25)),ISNUMBER(SEARCH("RETEST REQUIRED",K25&amp;" "&amp;Q25)),ISNUMBER(SEARCH("IMPLEMENTATION UPDATED",K25&amp;" "&amp;Q25)),ISNUMBER(SEARCH("REQUIRED EVERY SESSION",K25&amp;" "&amp;Q25))),"Pending",IF(OR(Q25="PASS",ISNUMBER(SEARCH("PASS",K25&amp;" "&amp;Q25))),"Done","Pending"))))</f>
        <v>Done</v>
      </c>
      <c r="U25" s="146" t="str">
        <f>IF(OR(C25="Admin optional",LEFT(A25,9)="OPERATOR-",LEFT(A25,8)="PAYMENT-",LEFT(A25,7)="DEPLOY-"),"External","Core")</f>
        <v>Core</v>
      </c>
    </row>
    <row r="26" customFormat="false" ht="75" hidden="false" customHeight="true" outlineLevel="0" collapsed="false">
      <c r="A26" s="136" t="s">
        <v>176</v>
      </c>
      <c r="B26" s="136" t="s">
        <v>166</v>
      </c>
      <c r="C26" s="253" t="s">
        <v>40</v>
      </c>
      <c r="D26" s="136" t="s">
        <v>177</v>
      </c>
      <c r="E26" s="136" t="s">
        <v>178</v>
      </c>
      <c r="F26" s="136" t="s">
        <v>4</v>
      </c>
      <c r="G26" s="136" t="s">
        <v>179</v>
      </c>
      <c r="H26" s="136" t="s">
        <v>4</v>
      </c>
      <c r="I26" s="136" t="s">
        <v>4</v>
      </c>
      <c r="J26" s="136" t="s">
        <v>180</v>
      </c>
      <c r="K26" s="136" t="s">
        <v>181</v>
      </c>
      <c r="L26" s="136" t="s">
        <v>1</v>
      </c>
      <c r="M26" s="136" t="s">
        <v>1</v>
      </c>
      <c r="N26" s="136" t="s">
        <v>182</v>
      </c>
      <c r="O26" s="136" t="s">
        <v>183</v>
      </c>
      <c r="P26" s="136" t="s">
        <v>184</v>
      </c>
      <c r="Q26" s="136" t="s">
        <v>1</v>
      </c>
      <c r="R26" s="136" t="s">
        <v>185</v>
      </c>
      <c r="S26" s="136" t="s">
        <v>107</v>
      </c>
      <c r="T26" s="146" t="str">
        <f>IF(OR(ISNUMBER(SEARCH("FAIL",K26&amp;" "&amp;Q26)),ISNUMBER(SEARCH("CLEAN RETEST REQUIRED",K26&amp;" "&amp;Q26))),"Failed",IF(OR(ISNUMBER(SEARCH("NOT RUN",K26&amp;" "&amp;Q26)),ISNUMBER(SEARCH("NOT IMPLEMENTED",K26&amp;" "&amp;Q26))),"Not started",IF(OR(ISNUMBER(SEARCH("PARTIAL",K26&amp;" "&amp;Q26)),ISNUMBER(SEARCH("PENDING",K26&amp;" "&amp;Q26)),ISNUMBER(SEARCH("IN PROGRESS",K26&amp;" "&amp;Q26)),ISNUMBER(SEARCH("OPEN",K26&amp;" "&amp;Q26)),ISNUMBER(SEARCH("RETEST REQUIRED",K26&amp;" "&amp;Q26)),ISNUMBER(SEARCH("IMPLEMENTATION UPDATED",K26&amp;" "&amp;Q26)),ISNUMBER(SEARCH("REQUIRED EVERY SESSION",K26&amp;" "&amp;Q26))),"Pending",IF(OR(Q26="PASS",ISNUMBER(SEARCH("PASS",K26&amp;" "&amp;Q26))),"Done","Pending"))))</f>
        <v>Pending</v>
      </c>
      <c r="U26" s="146" t="str">
        <f>IF(OR(C26="Admin optional",LEFT(A26,9)="OPERATOR-",LEFT(A26,8)="PAYMENT-",LEFT(A26,7)="DEPLOY-"),"External","Core")</f>
        <v>Core</v>
      </c>
    </row>
    <row r="27" customFormat="false" ht="15" hidden="false" customHeight="false" outlineLevel="0" collapsed="false">
      <c r="A27" s="138" t="s">
        <v>186</v>
      </c>
      <c r="B27" s="138" t="s">
        <v>187</v>
      </c>
      <c r="C27" s="253" t="s">
        <v>40</v>
      </c>
      <c r="D27" s="138" t="s">
        <v>188</v>
      </c>
      <c r="E27" s="138" t="s">
        <v>189</v>
      </c>
      <c r="F27" s="138" t="s">
        <v>190</v>
      </c>
      <c r="G27" s="138" t="s">
        <v>191</v>
      </c>
      <c r="H27" s="138" t="s">
        <v>4</v>
      </c>
      <c r="I27" s="138" t="s">
        <v>4</v>
      </c>
      <c r="J27" s="138" t="s">
        <v>192</v>
      </c>
      <c r="K27" s="138" t="s">
        <v>138</v>
      </c>
      <c r="L27" s="138" t="s">
        <v>1</v>
      </c>
      <c r="M27" s="138" t="s">
        <v>1</v>
      </c>
      <c r="N27" s="138" t="s">
        <v>1</v>
      </c>
      <c r="O27" s="138" t="s">
        <v>193</v>
      </c>
      <c r="P27" s="138" t="s">
        <v>194</v>
      </c>
      <c r="Q27" s="138" t="s">
        <v>1</v>
      </c>
      <c r="R27" s="138" t="s">
        <v>195</v>
      </c>
      <c r="S27" s="138" t="s">
        <v>107</v>
      </c>
      <c r="T27" s="146" t="str">
        <f>IF(OR(ISNUMBER(SEARCH("FAIL",K27&amp;" "&amp;Q27)),ISNUMBER(SEARCH("CLEAN RETEST REQUIRED",K27&amp;" "&amp;Q27))),"Failed",IF(OR(ISNUMBER(SEARCH("NOT RUN",K27&amp;" "&amp;Q27)),ISNUMBER(SEARCH("NOT IMPLEMENTED",K27&amp;" "&amp;Q27))),"Not started",IF(OR(ISNUMBER(SEARCH("PARTIAL",K27&amp;" "&amp;Q27)),ISNUMBER(SEARCH("PENDING",K27&amp;" "&amp;Q27)),ISNUMBER(SEARCH("IN PROGRESS",K27&amp;" "&amp;Q27)),ISNUMBER(SEARCH("OPEN",K27&amp;" "&amp;Q27)),ISNUMBER(SEARCH("RETEST REQUIRED",K27&amp;" "&amp;Q27)),ISNUMBER(SEARCH("IMPLEMENTATION UPDATED",K27&amp;" "&amp;Q27)),ISNUMBER(SEARCH("REQUIRED EVERY SESSION",K27&amp;" "&amp;Q27))),"Pending",IF(OR(Q27="PASS",ISNUMBER(SEARCH("PASS",K27&amp;" "&amp;Q27))),"Done","Pending"))))</f>
        <v>Not started</v>
      </c>
      <c r="U27" s="146" t="str">
        <f>IF(OR(C27="Admin optional",LEFT(A27,9)="OPERATOR-",LEFT(A27,8)="PAYMENT-",LEFT(A27,7)="DEPLOY-"),"External","Core")</f>
        <v>Core</v>
      </c>
    </row>
    <row r="28" customFormat="false" ht="15" hidden="false" customHeight="false" outlineLevel="0" collapsed="false">
      <c r="A28" s="138" t="s">
        <v>196</v>
      </c>
      <c r="B28" s="138" t="s">
        <v>187</v>
      </c>
      <c r="C28" s="253" t="s">
        <v>40</v>
      </c>
      <c r="D28" s="138" t="s">
        <v>197</v>
      </c>
      <c r="E28" s="138" t="s">
        <v>198</v>
      </c>
      <c r="F28" s="138" t="s">
        <v>4</v>
      </c>
      <c r="G28" s="138" t="s">
        <v>199</v>
      </c>
      <c r="H28" s="138" t="s">
        <v>4</v>
      </c>
      <c r="I28" s="138" t="s">
        <v>4</v>
      </c>
      <c r="J28" s="138" t="s">
        <v>200</v>
      </c>
      <c r="K28" s="138" t="s">
        <v>138</v>
      </c>
      <c r="L28" s="138" t="s">
        <v>1</v>
      </c>
      <c r="M28" s="138" t="s">
        <v>1</v>
      </c>
      <c r="N28" s="138" t="s">
        <v>1</v>
      </c>
      <c r="O28" s="138" t="s">
        <v>201</v>
      </c>
      <c r="P28" s="138" t="s">
        <v>202</v>
      </c>
      <c r="Q28" s="138" t="s">
        <v>1</v>
      </c>
      <c r="R28" s="138" t="s">
        <v>203</v>
      </c>
      <c r="S28" s="138" t="s">
        <v>204</v>
      </c>
      <c r="T28" s="146" t="str">
        <f>IF(OR(ISNUMBER(SEARCH("FAIL",K28&amp;" "&amp;Q28)),ISNUMBER(SEARCH("CLEAN RETEST REQUIRED",K28&amp;" "&amp;Q28))),"Failed",IF(OR(ISNUMBER(SEARCH("NOT RUN",K28&amp;" "&amp;Q28)),ISNUMBER(SEARCH("NOT IMPLEMENTED",K28&amp;" "&amp;Q28))),"Not started",IF(OR(ISNUMBER(SEARCH("PARTIAL",K28&amp;" "&amp;Q28)),ISNUMBER(SEARCH("PENDING",K28&amp;" "&amp;Q28)),ISNUMBER(SEARCH("IN PROGRESS",K28&amp;" "&amp;Q28)),ISNUMBER(SEARCH("OPEN",K28&amp;" "&amp;Q28)),ISNUMBER(SEARCH("RETEST REQUIRED",K28&amp;" "&amp;Q28)),ISNUMBER(SEARCH("IMPLEMENTATION UPDATED",K28&amp;" "&amp;Q28)),ISNUMBER(SEARCH("REQUIRED EVERY SESSION",K28&amp;" "&amp;Q28))),"Pending",IF(OR(Q28="PASS",ISNUMBER(SEARCH("PASS",K28&amp;" "&amp;Q28))),"Done","Pending"))))</f>
        <v>Not started</v>
      </c>
      <c r="U28" s="146" t="str">
        <f>IF(OR(C28="Admin optional",LEFT(A28,9)="OPERATOR-",LEFT(A28,8)="PAYMENT-",LEFT(A28,7)="DEPLOY-"),"External","Core")</f>
        <v>Core</v>
      </c>
    </row>
    <row r="29" customFormat="false" ht="15" hidden="false" customHeight="false" outlineLevel="0" collapsed="false">
      <c r="A29" s="138" t="s">
        <v>205</v>
      </c>
      <c r="B29" s="138" t="s">
        <v>187</v>
      </c>
      <c r="C29" s="253" t="s">
        <v>40</v>
      </c>
      <c r="D29" s="138" t="s">
        <v>206</v>
      </c>
      <c r="E29" s="138" t="s">
        <v>207</v>
      </c>
      <c r="F29" s="138" t="s">
        <v>4</v>
      </c>
      <c r="G29" s="138" t="s">
        <v>208</v>
      </c>
      <c r="H29" s="138" t="s">
        <v>4</v>
      </c>
      <c r="I29" s="138" t="s">
        <v>209</v>
      </c>
      <c r="J29" s="138" t="s">
        <v>210</v>
      </c>
      <c r="K29" s="138" t="s">
        <v>138</v>
      </c>
      <c r="L29" s="138" t="s">
        <v>1</v>
      </c>
      <c r="M29" s="138" t="s">
        <v>1</v>
      </c>
      <c r="N29" s="138" t="s">
        <v>1</v>
      </c>
      <c r="O29" s="138" t="s">
        <v>211</v>
      </c>
      <c r="P29" s="138" t="s">
        <v>212</v>
      </c>
      <c r="Q29" s="138" t="s">
        <v>1</v>
      </c>
      <c r="R29" s="138" t="s">
        <v>213</v>
      </c>
      <c r="S29" s="138" t="s">
        <v>107</v>
      </c>
      <c r="T29" s="146" t="str">
        <f>IF(OR(ISNUMBER(SEARCH("FAIL",K29&amp;" "&amp;Q29)),ISNUMBER(SEARCH("CLEAN RETEST REQUIRED",K29&amp;" "&amp;Q29))),"Failed",IF(OR(ISNUMBER(SEARCH("NOT RUN",K29&amp;" "&amp;Q29)),ISNUMBER(SEARCH("NOT IMPLEMENTED",K29&amp;" "&amp;Q29))),"Not started",IF(OR(ISNUMBER(SEARCH("PARTIAL",K29&amp;" "&amp;Q29)),ISNUMBER(SEARCH("PENDING",K29&amp;" "&amp;Q29)),ISNUMBER(SEARCH("IN PROGRESS",K29&amp;" "&amp;Q29)),ISNUMBER(SEARCH("OPEN",K29&amp;" "&amp;Q29)),ISNUMBER(SEARCH("RETEST REQUIRED",K29&amp;" "&amp;Q29)),ISNUMBER(SEARCH("IMPLEMENTATION UPDATED",K29&amp;" "&amp;Q29)),ISNUMBER(SEARCH("REQUIRED EVERY SESSION",K29&amp;" "&amp;Q29))),"Pending",IF(OR(Q29="PASS",ISNUMBER(SEARCH("PASS",K29&amp;" "&amp;Q29))),"Done","Pending"))))</f>
        <v>Not started</v>
      </c>
      <c r="U29" s="146" t="str">
        <f>IF(OR(C29="Admin optional",LEFT(A29,9)="OPERATOR-",LEFT(A29,8)="PAYMENT-",LEFT(A29,7)="DEPLOY-"),"External","Core")</f>
        <v>Core</v>
      </c>
    </row>
    <row r="30" customFormat="false" ht="15" hidden="false" customHeight="false" outlineLevel="0" collapsed="false">
      <c r="A30" s="138" t="s">
        <v>214</v>
      </c>
      <c r="B30" s="138" t="s">
        <v>187</v>
      </c>
      <c r="C30" s="253" t="s">
        <v>40</v>
      </c>
      <c r="D30" s="138" t="s">
        <v>215</v>
      </c>
      <c r="E30" s="138" t="s">
        <v>216</v>
      </c>
      <c r="F30" s="138" t="s">
        <v>217</v>
      </c>
      <c r="G30" s="138" t="s">
        <v>218</v>
      </c>
      <c r="H30" s="138" t="s">
        <v>4</v>
      </c>
      <c r="I30" s="138" t="s">
        <v>4</v>
      </c>
      <c r="J30" s="138" t="s">
        <v>219</v>
      </c>
      <c r="K30" s="138" t="s">
        <v>138</v>
      </c>
      <c r="L30" s="138" t="s">
        <v>1</v>
      </c>
      <c r="M30" s="138" t="s">
        <v>1</v>
      </c>
      <c r="N30" s="138" t="s">
        <v>1</v>
      </c>
      <c r="O30" s="138" t="s">
        <v>220</v>
      </c>
      <c r="P30" s="138" t="s">
        <v>221</v>
      </c>
      <c r="Q30" s="138" t="s">
        <v>1</v>
      </c>
      <c r="R30" s="138" t="s">
        <v>222</v>
      </c>
      <c r="S30" s="138" t="s">
        <v>107</v>
      </c>
      <c r="T30" s="146" t="str">
        <f>IF(OR(ISNUMBER(SEARCH("FAIL",K30&amp;" "&amp;Q30)),ISNUMBER(SEARCH("CLEAN RETEST REQUIRED",K30&amp;" "&amp;Q30))),"Failed",IF(OR(ISNUMBER(SEARCH("NOT RUN",K30&amp;" "&amp;Q30)),ISNUMBER(SEARCH("NOT IMPLEMENTED",K30&amp;" "&amp;Q30))),"Not started",IF(OR(ISNUMBER(SEARCH("PARTIAL",K30&amp;" "&amp;Q30)),ISNUMBER(SEARCH("PENDING",K30&amp;" "&amp;Q30)),ISNUMBER(SEARCH("IN PROGRESS",K30&amp;" "&amp;Q30)),ISNUMBER(SEARCH("OPEN",K30&amp;" "&amp;Q30)),ISNUMBER(SEARCH("RETEST REQUIRED",K30&amp;" "&amp;Q30)),ISNUMBER(SEARCH("IMPLEMENTATION UPDATED",K30&amp;" "&amp;Q30)),ISNUMBER(SEARCH("REQUIRED EVERY SESSION",K30&amp;" "&amp;Q30))),"Pending",IF(OR(Q30="PASS",ISNUMBER(SEARCH("PASS",K30&amp;" "&amp;Q30))),"Done","Pending"))))</f>
        <v>Not started</v>
      </c>
      <c r="U30" s="146" t="str">
        <f>IF(OR(C30="Admin optional",LEFT(A30,9)="OPERATOR-",LEFT(A30,8)="PAYMENT-",LEFT(A30,7)="DEPLOY-"),"External","Core")</f>
        <v>Core</v>
      </c>
    </row>
    <row r="31" customFormat="false" ht="15" hidden="false" customHeight="false" outlineLevel="0" collapsed="false">
      <c r="A31" s="138" t="s">
        <v>223</v>
      </c>
      <c r="B31" s="138" t="s">
        <v>187</v>
      </c>
      <c r="C31" s="253" t="s">
        <v>40</v>
      </c>
      <c r="D31" s="138" t="s">
        <v>224</v>
      </c>
      <c r="E31" s="138" t="s">
        <v>225</v>
      </c>
      <c r="F31" s="138" t="s">
        <v>226</v>
      </c>
      <c r="G31" s="138" t="s">
        <v>227</v>
      </c>
      <c r="H31" s="138" t="s">
        <v>4</v>
      </c>
      <c r="I31" s="138" t="s">
        <v>228</v>
      </c>
      <c r="J31" s="138" t="s">
        <v>229</v>
      </c>
      <c r="K31" s="138" t="s">
        <v>138</v>
      </c>
      <c r="L31" s="138" t="s">
        <v>1</v>
      </c>
      <c r="M31" s="138" t="s">
        <v>1</v>
      </c>
      <c r="N31" s="138" t="s">
        <v>1</v>
      </c>
      <c r="O31" s="138" t="s">
        <v>230</v>
      </c>
      <c r="P31" s="138" t="s">
        <v>231</v>
      </c>
      <c r="Q31" s="138" t="s">
        <v>1</v>
      </c>
      <c r="R31" s="138" t="s">
        <v>232</v>
      </c>
      <c r="S31" s="138" t="s">
        <v>107</v>
      </c>
      <c r="T31" s="146" t="str">
        <f>IF(OR(ISNUMBER(SEARCH("FAIL",K31&amp;" "&amp;Q31)),ISNUMBER(SEARCH("CLEAN RETEST REQUIRED",K31&amp;" "&amp;Q31))),"Failed",IF(OR(ISNUMBER(SEARCH("NOT RUN",K31&amp;" "&amp;Q31)),ISNUMBER(SEARCH("NOT IMPLEMENTED",K31&amp;" "&amp;Q31))),"Not started",IF(OR(ISNUMBER(SEARCH("PARTIAL",K31&amp;" "&amp;Q31)),ISNUMBER(SEARCH("PENDING",K31&amp;" "&amp;Q31)),ISNUMBER(SEARCH("IN PROGRESS",K31&amp;" "&amp;Q31)),ISNUMBER(SEARCH("OPEN",K31&amp;" "&amp;Q31)),ISNUMBER(SEARCH("RETEST REQUIRED",K31&amp;" "&amp;Q31)),ISNUMBER(SEARCH("IMPLEMENTATION UPDATED",K31&amp;" "&amp;Q31)),ISNUMBER(SEARCH("REQUIRED EVERY SESSION",K31&amp;" "&amp;Q31))),"Pending",IF(OR(Q31="PASS",ISNUMBER(SEARCH("PASS",K31&amp;" "&amp;Q31))),"Done","Pending"))))</f>
        <v>Not started</v>
      </c>
      <c r="U31" s="146" t="str">
        <f>IF(OR(C31="Admin optional",LEFT(A31,9)="OPERATOR-",LEFT(A31,8)="PAYMENT-",LEFT(A31,7)="DEPLOY-"),"External","Core")</f>
        <v>Core</v>
      </c>
    </row>
    <row r="32" customFormat="false" ht="15" hidden="false" customHeight="false" outlineLevel="0" collapsed="false">
      <c r="A32" s="138" t="s">
        <v>233</v>
      </c>
      <c r="B32" s="138" t="s">
        <v>234</v>
      </c>
      <c r="C32" s="253" t="s">
        <v>40</v>
      </c>
      <c r="D32" s="138" t="s">
        <v>235</v>
      </c>
      <c r="E32" s="138" t="s">
        <v>236</v>
      </c>
      <c r="F32" s="138" t="s">
        <v>4</v>
      </c>
      <c r="G32" s="138" t="s">
        <v>237</v>
      </c>
      <c r="H32" s="138" t="s">
        <v>4</v>
      </c>
      <c r="I32" s="138" t="s">
        <v>4</v>
      </c>
      <c r="J32" s="138" t="s">
        <v>238</v>
      </c>
      <c r="K32" s="138" t="s">
        <v>138</v>
      </c>
      <c r="L32" s="138" t="s">
        <v>1</v>
      </c>
      <c r="M32" s="138" t="s">
        <v>1</v>
      </c>
      <c r="N32" s="138" t="s">
        <v>1</v>
      </c>
      <c r="O32" s="138" t="s">
        <v>239</v>
      </c>
      <c r="P32" s="138" t="s">
        <v>240</v>
      </c>
      <c r="Q32" s="138" t="s">
        <v>1</v>
      </c>
      <c r="R32" s="138" t="s">
        <v>241</v>
      </c>
      <c r="S32" s="138" t="s">
        <v>107</v>
      </c>
      <c r="T32" s="146" t="str">
        <f>IF(OR(ISNUMBER(SEARCH("FAIL",K32&amp;" "&amp;Q32)),ISNUMBER(SEARCH("CLEAN RETEST REQUIRED",K32&amp;" "&amp;Q32))),"Failed",IF(OR(ISNUMBER(SEARCH("NOT RUN",K32&amp;" "&amp;Q32)),ISNUMBER(SEARCH("NOT IMPLEMENTED",K32&amp;" "&amp;Q32))),"Not started",IF(OR(ISNUMBER(SEARCH("PARTIAL",K32&amp;" "&amp;Q32)),ISNUMBER(SEARCH("PENDING",K32&amp;" "&amp;Q32)),ISNUMBER(SEARCH("IN PROGRESS",K32&amp;" "&amp;Q32)),ISNUMBER(SEARCH("OPEN",K32&amp;" "&amp;Q32)),ISNUMBER(SEARCH("RETEST REQUIRED",K32&amp;" "&amp;Q32)),ISNUMBER(SEARCH("IMPLEMENTATION UPDATED",K32&amp;" "&amp;Q32)),ISNUMBER(SEARCH("REQUIRED EVERY SESSION",K32&amp;" "&amp;Q32))),"Pending",IF(OR(Q32="PASS",ISNUMBER(SEARCH("PASS",K32&amp;" "&amp;Q32))),"Done","Pending"))))</f>
        <v>Not started</v>
      </c>
      <c r="U32" s="146" t="str">
        <f>IF(OR(C32="Admin optional",LEFT(A32,9)="OPERATOR-",LEFT(A32,8)="PAYMENT-",LEFT(A32,7)="DEPLOY-"),"External","Core")</f>
        <v>Core</v>
      </c>
    </row>
    <row r="33" customFormat="false" ht="15" hidden="false" customHeight="false" outlineLevel="0" collapsed="false">
      <c r="A33" s="136" t="s">
        <v>242</v>
      </c>
      <c r="B33" s="136" t="s">
        <v>243</v>
      </c>
      <c r="C33" s="253" t="s">
        <v>40</v>
      </c>
      <c r="D33" s="136" t="s">
        <v>244</v>
      </c>
      <c r="E33" s="136" t="s">
        <v>245</v>
      </c>
      <c r="F33" s="136" t="s">
        <v>246</v>
      </c>
      <c r="G33" s="136" t="s">
        <v>247</v>
      </c>
      <c r="H33" s="136" t="s">
        <v>248</v>
      </c>
      <c r="I33" s="136" t="s">
        <v>8</v>
      </c>
      <c r="J33" s="136" t="s">
        <v>249</v>
      </c>
      <c r="K33" s="136" t="s">
        <v>250</v>
      </c>
      <c r="L33" s="136" t="s">
        <v>1</v>
      </c>
      <c r="M33" s="136" t="s">
        <v>1</v>
      </c>
      <c r="N33" s="136" t="s">
        <v>251</v>
      </c>
      <c r="O33" s="136" t="s">
        <v>252</v>
      </c>
      <c r="P33" s="136" t="s">
        <v>253</v>
      </c>
      <c r="Q33" s="136" t="s">
        <v>254</v>
      </c>
      <c r="R33" s="136" t="s">
        <v>255</v>
      </c>
      <c r="S33" s="136" t="s">
        <v>133</v>
      </c>
      <c r="T33" s="146" t="str">
        <f>IF(OR(ISNUMBER(SEARCH("FAIL",K33&amp;" "&amp;Q33)),ISNUMBER(SEARCH("CLEAN RETEST REQUIRED",K33&amp;" "&amp;Q33))),"Failed",IF(OR(ISNUMBER(SEARCH("NOT RUN",K33&amp;" "&amp;Q33)),ISNUMBER(SEARCH("NOT IMPLEMENTED",K33&amp;" "&amp;Q33))),"Not started",IF(OR(ISNUMBER(SEARCH("PARTIAL",K33&amp;" "&amp;Q33)),ISNUMBER(SEARCH("PENDING",K33&amp;" "&amp;Q33)),ISNUMBER(SEARCH("IN PROGRESS",K33&amp;" "&amp;Q33)),ISNUMBER(SEARCH("OPEN",K33&amp;" "&amp;Q33)),ISNUMBER(SEARCH("RETEST REQUIRED",K33&amp;" "&amp;Q33)),ISNUMBER(SEARCH("IMPLEMENTATION UPDATED",K33&amp;" "&amp;Q33)),ISNUMBER(SEARCH("REQUIRED EVERY SESSION",K33&amp;" "&amp;Q33))),"Pending",IF(OR(Q33="PASS",ISNUMBER(SEARCH("PASS",K33&amp;" "&amp;Q33))),"Done","Pending"))))</f>
        <v>Pending</v>
      </c>
      <c r="U33" s="146" t="str">
        <f>IF(OR(C33="Admin optional",LEFT(A33,9)="OPERATOR-",LEFT(A33,8)="PAYMENT-",LEFT(A33,7)="DEPLOY-"),"External","Core")</f>
        <v>Core</v>
      </c>
    </row>
    <row r="34" customFormat="false" ht="15" hidden="false" customHeight="false" outlineLevel="0" collapsed="false">
      <c r="A34" s="135" t="s">
        <v>256</v>
      </c>
      <c r="B34" s="135" t="s">
        <v>257</v>
      </c>
      <c r="C34" s="256" t="s">
        <v>49</v>
      </c>
      <c r="D34" s="135" t="s">
        <v>258</v>
      </c>
      <c r="E34" s="135" t="s">
        <v>259</v>
      </c>
      <c r="F34" s="135" t="s">
        <v>260</v>
      </c>
      <c r="G34" s="135" t="s">
        <v>261</v>
      </c>
      <c r="H34" s="135" t="s">
        <v>262</v>
      </c>
      <c r="I34" s="135" t="s">
        <v>263</v>
      </c>
      <c r="J34" s="135" t="s">
        <v>264</v>
      </c>
      <c r="K34" s="135" t="s">
        <v>265</v>
      </c>
      <c r="L34" s="135" t="s">
        <v>1</v>
      </c>
      <c r="M34" s="135" t="s">
        <v>1</v>
      </c>
      <c r="N34" s="135" t="s">
        <v>102</v>
      </c>
      <c r="O34" s="135" t="s">
        <v>266</v>
      </c>
      <c r="P34" s="135" t="s">
        <v>267</v>
      </c>
      <c r="Q34" s="135" t="s">
        <v>131</v>
      </c>
      <c r="R34" s="135" t="s">
        <v>268</v>
      </c>
      <c r="S34" s="135" t="s">
        <v>118</v>
      </c>
      <c r="T34" s="146" t="str">
        <f>IF(OR(ISNUMBER(SEARCH("FAIL",K34&amp;" "&amp;Q34)),ISNUMBER(SEARCH("CLEAN RETEST REQUIRED",K34&amp;" "&amp;Q34))),"Failed",IF(OR(ISNUMBER(SEARCH("NOT RUN",K34&amp;" "&amp;Q34)),ISNUMBER(SEARCH("NOT IMPLEMENTED",K34&amp;" "&amp;Q34))),"Not started",IF(OR(ISNUMBER(SEARCH("PARTIAL",K34&amp;" "&amp;Q34)),ISNUMBER(SEARCH("PENDING",K34&amp;" "&amp;Q34)),ISNUMBER(SEARCH("IN PROGRESS",K34&amp;" "&amp;Q34)),ISNUMBER(SEARCH("OPEN",K34&amp;" "&amp;Q34)),ISNUMBER(SEARCH("RETEST REQUIRED",K34&amp;" "&amp;Q34)),ISNUMBER(SEARCH("IMPLEMENTATION UPDATED",K34&amp;" "&amp;Q34)),ISNUMBER(SEARCH("REQUIRED EVERY SESSION",K34&amp;" "&amp;Q34))),"Pending",IF(OR(Q34="PASS",ISNUMBER(SEARCH("PASS",K34&amp;" "&amp;Q34))),"Done","Pending"))))</f>
        <v>Done</v>
      </c>
      <c r="U34" s="146" t="str">
        <f>IF(OR(C34="Admin optional",LEFT(A34,9)="OPERATOR-",LEFT(A34,8)="PAYMENT-",LEFT(A34,7)="DEPLOY-"),"External","Core")</f>
        <v>Core</v>
      </c>
    </row>
    <row r="35" customFormat="false" ht="15" hidden="false" customHeight="false" outlineLevel="0" collapsed="false">
      <c r="A35" s="135" t="s">
        <v>269</v>
      </c>
      <c r="B35" s="135" t="s">
        <v>270</v>
      </c>
      <c r="C35" s="256" t="s">
        <v>49</v>
      </c>
      <c r="D35" s="135" t="s">
        <v>271</v>
      </c>
      <c r="E35" s="135" t="s">
        <v>272</v>
      </c>
      <c r="F35" s="135" t="s">
        <v>273</v>
      </c>
      <c r="G35" s="135" t="s">
        <v>274</v>
      </c>
      <c r="H35" s="135" t="s">
        <v>275</v>
      </c>
      <c r="I35" s="135" t="s">
        <v>276</v>
      </c>
      <c r="J35" s="135" t="s">
        <v>277</v>
      </c>
      <c r="K35" s="135" t="s">
        <v>265</v>
      </c>
      <c r="L35" s="135" t="s">
        <v>1</v>
      </c>
      <c r="M35" s="135" t="s">
        <v>1</v>
      </c>
      <c r="N35" s="135" t="s">
        <v>102</v>
      </c>
      <c r="O35" s="135" t="s">
        <v>278</v>
      </c>
      <c r="P35" s="135" t="s">
        <v>279</v>
      </c>
      <c r="Q35" s="135" t="s">
        <v>131</v>
      </c>
      <c r="R35" s="135" t="s">
        <v>280</v>
      </c>
      <c r="S35" s="135" t="s">
        <v>133</v>
      </c>
      <c r="T35" s="146" t="str">
        <f>IF(OR(ISNUMBER(SEARCH("FAIL",K35&amp;" "&amp;Q35)),ISNUMBER(SEARCH("CLEAN RETEST REQUIRED",K35&amp;" "&amp;Q35))),"Failed",IF(OR(ISNUMBER(SEARCH("NOT RUN",K35&amp;" "&amp;Q35)),ISNUMBER(SEARCH("NOT IMPLEMENTED",K35&amp;" "&amp;Q35))),"Not started",IF(OR(ISNUMBER(SEARCH("PARTIAL",K35&amp;" "&amp;Q35)),ISNUMBER(SEARCH("PENDING",K35&amp;" "&amp;Q35)),ISNUMBER(SEARCH("IN PROGRESS",K35&amp;" "&amp;Q35)),ISNUMBER(SEARCH("OPEN",K35&amp;" "&amp;Q35)),ISNUMBER(SEARCH("RETEST REQUIRED",K35&amp;" "&amp;Q35)),ISNUMBER(SEARCH("IMPLEMENTATION UPDATED",K35&amp;" "&amp;Q35)),ISNUMBER(SEARCH("REQUIRED EVERY SESSION",K35&amp;" "&amp;Q35))),"Pending",IF(OR(Q35="PASS",ISNUMBER(SEARCH("PASS",K35&amp;" "&amp;Q35))),"Done","Pending"))))</f>
        <v>Done</v>
      </c>
      <c r="U35" s="146" t="str">
        <f>IF(OR(C35="Admin optional",LEFT(A35,9)="OPERATOR-",LEFT(A35,8)="PAYMENT-",LEFT(A35,7)="DEPLOY-"),"External","Core")</f>
        <v>Core</v>
      </c>
    </row>
    <row r="36" customFormat="false" ht="15" hidden="false" customHeight="false" outlineLevel="0" collapsed="false">
      <c r="A36" s="135" t="s">
        <v>281</v>
      </c>
      <c r="B36" s="135" t="s">
        <v>257</v>
      </c>
      <c r="C36" s="256" t="s">
        <v>49</v>
      </c>
      <c r="D36" s="135" t="s">
        <v>258</v>
      </c>
      <c r="E36" s="135" t="s">
        <v>282</v>
      </c>
      <c r="F36" s="135" t="s">
        <v>283</v>
      </c>
      <c r="G36" s="135" t="s">
        <v>284</v>
      </c>
      <c r="H36" s="135" t="s">
        <v>262</v>
      </c>
      <c r="I36" s="135" t="s">
        <v>285</v>
      </c>
      <c r="J36" s="135" t="s">
        <v>286</v>
      </c>
      <c r="K36" s="135" t="s">
        <v>265</v>
      </c>
      <c r="L36" s="135" t="s">
        <v>1</v>
      </c>
      <c r="M36" s="135" t="s">
        <v>1</v>
      </c>
      <c r="N36" s="135" t="s">
        <v>102</v>
      </c>
      <c r="O36" s="135" t="s">
        <v>287</v>
      </c>
      <c r="P36" s="135" t="s">
        <v>288</v>
      </c>
      <c r="Q36" s="135" t="s">
        <v>131</v>
      </c>
      <c r="R36" s="135" t="s">
        <v>289</v>
      </c>
      <c r="S36" s="135" t="s">
        <v>290</v>
      </c>
      <c r="T36" s="146" t="str">
        <f>IF(OR(ISNUMBER(SEARCH("FAIL",K36&amp;" "&amp;Q36)),ISNUMBER(SEARCH("CLEAN RETEST REQUIRED",K36&amp;" "&amp;Q36))),"Failed",IF(OR(ISNUMBER(SEARCH("NOT RUN",K36&amp;" "&amp;Q36)),ISNUMBER(SEARCH("NOT IMPLEMENTED",K36&amp;" "&amp;Q36))),"Not started",IF(OR(ISNUMBER(SEARCH("PARTIAL",K36&amp;" "&amp;Q36)),ISNUMBER(SEARCH("PENDING",K36&amp;" "&amp;Q36)),ISNUMBER(SEARCH("IN PROGRESS",K36&amp;" "&amp;Q36)),ISNUMBER(SEARCH("OPEN",K36&amp;" "&amp;Q36)),ISNUMBER(SEARCH("RETEST REQUIRED",K36&amp;" "&amp;Q36)),ISNUMBER(SEARCH("IMPLEMENTATION UPDATED",K36&amp;" "&amp;Q36)),ISNUMBER(SEARCH("REQUIRED EVERY SESSION",K36&amp;" "&amp;Q36))),"Pending",IF(OR(Q36="PASS",ISNUMBER(SEARCH("PASS",K36&amp;" "&amp;Q36))),"Done","Pending"))))</f>
        <v>Done</v>
      </c>
      <c r="U36" s="146" t="str">
        <f>IF(OR(C36="Admin optional",LEFT(A36,9)="OPERATOR-",LEFT(A36,8)="PAYMENT-",LEFT(A36,7)="DEPLOY-"),"External","Core")</f>
        <v>Core</v>
      </c>
    </row>
    <row r="37" customFormat="false" ht="180" hidden="false" customHeight="true" outlineLevel="0" collapsed="false">
      <c r="A37" s="135" t="s">
        <v>291</v>
      </c>
      <c r="B37" s="135" t="s">
        <v>292</v>
      </c>
      <c r="C37" s="256" t="s">
        <v>49</v>
      </c>
      <c r="D37" s="135" t="s">
        <v>293</v>
      </c>
      <c r="E37" s="135" t="s">
        <v>294</v>
      </c>
      <c r="F37" s="135" t="s">
        <v>4</v>
      </c>
      <c r="G37" s="135" t="s">
        <v>295</v>
      </c>
      <c r="H37" s="135" t="s">
        <v>4</v>
      </c>
      <c r="I37" s="135" t="s">
        <v>296</v>
      </c>
      <c r="J37" s="135" t="s">
        <v>297</v>
      </c>
      <c r="K37" s="135" t="s">
        <v>161</v>
      </c>
      <c r="L37" s="135" t="s">
        <v>1</v>
      </c>
      <c r="M37" s="135" t="s">
        <v>1</v>
      </c>
      <c r="N37" s="135" t="s">
        <v>128</v>
      </c>
      <c r="O37" s="135" t="s">
        <v>298</v>
      </c>
      <c r="P37" s="135" t="s">
        <v>299</v>
      </c>
      <c r="Q37" s="135" t="s">
        <v>131</v>
      </c>
      <c r="R37" s="135" t="s">
        <v>300</v>
      </c>
      <c r="S37" s="135" t="s">
        <v>301</v>
      </c>
      <c r="T37" s="146" t="str">
        <f>IF(OR(ISNUMBER(SEARCH("FAIL",K37&amp;" "&amp;Q37)),ISNUMBER(SEARCH("CLEAN RETEST REQUIRED",K37&amp;" "&amp;Q37))),"Failed",IF(OR(ISNUMBER(SEARCH("NOT RUN",K37&amp;" "&amp;Q37)),ISNUMBER(SEARCH("NOT IMPLEMENTED",K37&amp;" "&amp;Q37))),"Not started",IF(OR(ISNUMBER(SEARCH("PARTIAL",K37&amp;" "&amp;Q37)),ISNUMBER(SEARCH("PENDING",K37&amp;" "&amp;Q37)),ISNUMBER(SEARCH("IN PROGRESS",K37&amp;" "&amp;Q37)),ISNUMBER(SEARCH("OPEN",K37&amp;" "&amp;Q37)),ISNUMBER(SEARCH("RETEST REQUIRED",K37&amp;" "&amp;Q37)),ISNUMBER(SEARCH("IMPLEMENTATION UPDATED",K37&amp;" "&amp;Q37)),ISNUMBER(SEARCH("REQUIRED EVERY SESSION",K37&amp;" "&amp;Q37))),"Pending",IF(OR(Q37="PASS",ISNUMBER(SEARCH("PASS",K37&amp;" "&amp;Q37))),"Done","Pending"))))</f>
        <v>Done</v>
      </c>
      <c r="U37" s="146" t="str">
        <f>IF(OR(C37="Admin optional",LEFT(A37,9)="OPERATOR-",LEFT(A37,8)="PAYMENT-",LEFT(A37,7)="DEPLOY-"),"External","Core")</f>
        <v>Core</v>
      </c>
    </row>
    <row r="38" customFormat="false" ht="15" hidden="false" customHeight="false" outlineLevel="0" collapsed="false">
      <c r="A38" s="135" t="s">
        <v>302</v>
      </c>
      <c r="B38" s="135" t="s">
        <v>303</v>
      </c>
      <c r="C38" s="256" t="s">
        <v>49</v>
      </c>
      <c r="D38" s="135" t="s">
        <v>304</v>
      </c>
      <c r="E38" s="135" t="s">
        <v>305</v>
      </c>
      <c r="F38" s="135" t="s">
        <v>283</v>
      </c>
      <c r="G38" s="135" t="s">
        <v>306</v>
      </c>
      <c r="H38" s="135" t="s">
        <v>4</v>
      </c>
      <c r="I38" s="135" t="s">
        <v>307</v>
      </c>
      <c r="J38" s="135" t="s">
        <v>308</v>
      </c>
      <c r="K38" s="135" t="s">
        <v>309</v>
      </c>
      <c r="L38" s="135" t="s">
        <v>1</v>
      </c>
      <c r="M38" s="135" t="s">
        <v>1</v>
      </c>
      <c r="N38" s="135" t="s">
        <v>128</v>
      </c>
      <c r="O38" s="135" t="s">
        <v>310</v>
      </c>
      <c r="P38" s="135" t="s">
        <v>311</v>
      </c>
      <c r="Q38" s="135" t="s">
        <v>131</v>
      </c>
      <c r="R38" s="135" t="s">
        <v>312</v>
      </c>
      <c r="S38" s="135" t="s">
        <v>107</v>
      </c>
      <c r="T38" s="146" t="str">
        <f>IF(OR(ISNUMBER(SEARCH("FAIL",K38&amp;" "&amp;Q38)),ISNUMBER(SEARCH("CLEAN RETEST REQUIRED",K38&amp;" "&amp;Q38))),"Failed",IF(OR(ISNUMBER(SEARCH("NOT RUN",K38&amp;" "&amp;Q38)),ISNUMBER(SEARCH("NOT IMPLEMENTED",K38&amp;" "&amp;Q38))),"Not started",IF(OR(ISNUMBER(SEARCH("PARTIAL",K38&amp;" "&amp;Q38)),ISNUMBER(SEARCH("PENDING",K38&amp;" "&amp;Q38)),ISNUMBER(SEARCH("IN PROGRESS",K38&amp;" "&amp;Q38)),ISNUMBER(SEARCH("OPEN",K38&amp;" "&amp;Q38)),ISNUMBER(SEARCH("RETEST REQUIRED",K38&amp;" "&amp;Q38)),ISNUMBER(SEARCH("IMPLEMENTATION UPDATED",K38&amp;" "&amp;Q38)),ISNUMBER(SEARCH("REQUIRED EVERY SESSION",K38&amp;" "&amp;Q38))),"Pending",IF(OR(Q38="PASS",ISNUMBER(SEARCH("PASS",K38&amp;" "&amp;Q38))),"Done","Pending"))))</f>
        <v>Done</v>
      </c>
      <c r="U38" s="146" t="str">
        <f>IF(OR(C38="Admin optional",LEFT(A38,9)="OPERATOR-",LEFT(A38,8)="PAYMENT-",LEFT(A38,7)="DEPLOY-"),"External","Core")</f>
        <v>Core</v>
      </c>
    </row>
    <row r="39" customFormat="false" ht="15" hidden="false" customHeight="false" outlineLevel="0" collapsed="false">
      <c r="A39" s="135" t="s">
        <v>313</v>
      </c>
      <c r="B39" s="135" t="s">
        <v>257</v>
      </c>
      <c r="C39" s="256" t="s">
        <v>49</v>
      </c>
      <c r="D39" s="135" t="s">
        <v>314</v>
      </c>
      <c r="E39" s="135" t="s">
        <v>315</v>
      </c>
      <c r="F39" s="135" t="s">
        <v>316</v>
      </c>
      <c r="G39" s="135" t="s">
        <v>317</v>
      </c>
      <c r="H39" s="135" t="s">
        <v>318</v>
      </c>
      <c r="I39" s="135" t="s">
        <v>319</v>
      </c>
      <c r="J39" s="135" t="s">
        <v>320</v>
      </c>
      <c r="K39" s="135" t="s">
        <v>265</v>
      </c>
      <c r="L39" s="135" t="s">
        <v>1</v>
      </c>
      <c r="M39" s="135" t="s">
        <v>1</v>
      </c>
      <c r="N39" s="135" t="s">
        <v>102</v>
      </c>
      <c r="O39" s="135" t="s">
        <v>321</v>
      </c>
      <c r="P39" s="135" t="s">
        <v>322</v>
      </c>
      <c r="Q39" s="135" t="s">
        <v>131</v>
      </c>
      <c r="R39" s="135" t="s">
        <v>323</v>
      </c>
      <c r="S39" s="135" t="s">
        <v>324</v>
      </c>
      <c r="T39" s="146" t="str">
        <f>IF(OR(ISNUMBER(SEARCH("FAIL",K39&amp;" "&amp;Q39)),ISNUMBER(SEARCH("CLEAN RETEST REQUIRED",K39&amp;" "&amp;Q39))),"Failed",IF(OR(ISNUMBER(SEARCH("NOT RUN",K39&amp;" "&amp;Q39)),ISNUMBER(SEARCH("NOT IMPLEMENTED",K39&amp;" "&amp;Q39))),"Not started",IF(OR(ISNUMBER(SEARCH("PARTIAL",K39&amp;" "&amp;Q39)),ISNUMBER(SEARCH("PENDING",K39&amp;" "&amp;Q39)),ISNUMBER(SEARCH("IN PROGRESS",K39&amp;" "&amp;Q39)),ISNUMBER(SEARCH("OPEN",K39&amp;" "&amp;Q39)),ISNUMBER(SEARCH("RETEST REQUIRED",K39&amp;" "&amp;Q39)),ISNUMBER(SEARCH("IMPLEMENTATION UPDATED",K39&amp;" "&amp;Q39)),ISNUMBER(SEARCH("REQUIRED EVERY SESSION",K39&amp;" "&amp;Q39))),"Pending",IF(OR(Q39="PASS",ISNUMBER(SEARCH("PASS",K39&amp;" "&amp;Q39))),"Done","Pending"))))</f>
        <v>Done</v>
      </c>
      <c r="U39" s="146" t="str">
        <f>IF(OR(C39="Admin optional",LEFT(A39,9)="OPERATOR-",LEFT(A39,8)="PAYMENT-",LEFT(A39,7)="DEPLOY-"),"External","Core")</f>
        <v>Core</v>
      </c>
    </row>
    <row r="40" customFormat="false" ht="15" hidden="false" customHeight="false" outlineLevel="0" collapsed="false">
      <c r="A40" s="135" t="s">
        <v>325</v>
      </c>
      <c r="B40" s="135" t="s">
        <v>326</v>
      </c>
      <c r="C40" s="256" t="s">
        <v>49</v>
      </c>
      <c r="D40" s="135" t="s">
        <v>327</v>
      </c>
      <c r="E40" s="135" t="s">
        <v>328</v>
      </c>
      <c r="F40" s="135" t="s">
        <v>4</v>
      </c>
      <c r="G40" s="135" t="s">
        <v>329</v>
      </c>
      <c r="H40" s="135" t="s">
        <v>4</v>
      </c>
      <c r="I40" s="135" t="s">
        <v>330</v>
      </c>
      <c r="J40" s="135" t="s">
        <v>331</v>
      </c>
      <c r="K40" s="135" t="s">
        <v>332</v>
      </c>
      <c r="L40" s="135" t="s">
        <v>1</v>
      </c>
      <c r="M40" s="135" t="s">
        <v>1</v>
      </c>
      <c r="N40" s="135" t="s">
        <v>102</v>
      </c>
      <c r="O40" s="135" t="s">
        <v>333</v>
      </c>
      <c r="P40" s="135" t="s">
        <v>334</v>
      </c>
      <c r="Q40" s="135" t="s">
        <v>131</v>
      </c>
      <c r="R40" s="135" t="s">
        <v>335</v>
      </c>
      <c r="S40" s="135" t="s">
        <v>336</v>
      </c>
      <c r="T40" s="146" t="str">
        <f>IF(OR(ISNUMBER(SEARCH("FAIL",K40&amp;" "&amp;Q40)),ISNUMBER(SEARCH("CLEAN RETEST REQUIRED",K40&amp;" "&amp;Q40))),"Failed",IF(OR(ISNUMBER(SEARCH("NOT RUN",K40&amp;" "&amp;Q40)),ISNUMBER(SEARCH("NOT IMPLEMENTED",K40&amp;" "&amp;Q40))),"Not started",IF(OR(ISNUMBER(SEARCH("PARTIAL",K40&amp;" "&amp;Q40)),ISNUMBER(SEARCH("PENDING",K40&amp;" "&amp;Q40)),ISNUMBER(SEARCH("IN PROGRESS",K40&amp;" "&amp;Q40)),ISNUMBER(SEARCH("OPEN",K40&amp;" "&amp;Q40)),ISNUMBER(SEARCH("RETEST REQUIRED",K40&amp;" "&amp;Q40)),ISNUMBER(SEARCH("IMPLEMENTATION UPDATED",K40&amp;" "&amp;Q40)),ISNUMBER(SEARCH("REQUIRED EVERY SESSION",K40&amp;" "&amp;Q40))),"Pending",IF(OR(Q40="PASS",ISNUMBER(SEARCH("PASS",K40&amp;" "&amp;Q40))),"Done","Pending"))))</f>
        <v>Done</v>
      </c>
      <c r="U40" s="146" t="str">
        <f>IF(OR(C40="Admin optional",LEFT(A40,9)="OPERATOR-",LEFT(A40,8)="PAYMENT-",LEFT(A40,7)="DEPLOY-"),"External","Core")</f>
        <v>Core</v>
      </c>
    </row>
    <row r="41" customFormat="false" ht="15" hidden="false" customHeight="false" outlineLevel="0" collapsed="false">
      <c r="A41" s="135" t="s">
        <v>337</v>
      </c>
      <c r="B41" s="135" t="s">
        <v>338</v>
      </c>
      <c r="C41" s="256" t="s">
        <v>49</v>
      </c>
      <c r="D41" s="135" t="s">
        <v>339</v>
      </c>
      <c r="E41" s="135" t="s">
        <v>340</v>
      </c>
      <c r="F41" s="135" t="s">
        <v>341</v>
      </c>
      <c r="G41" s="135" t="s">
        <v>342</v>
      </c>
      <c r="H41" s="135" t="s">
        <v>343</v>
      </c>
      <c r="I41" s="135" t="s">
        <v>344</v>
      </c>
      <c r="J41" s="135" t="s">
        <v>345</v>
      </c>
      <c r="K41" s="135" t="s">
        <v>309</v>
      </c>
      <c r="L41" s="135" t="s">
        <v>1</v>
      </c>
      <c r="M41" s="135" t="s">
        <v>1</v>
      </c>
      <c r="N41" s="135" t="s">
        <v>102</v>
      </c>
      <c r="O41" s="135" t="s">
        <v>346</v>
      </c>
      <c r="P41" s="135" t="s">
        <v>347</v>
      </c>
      <c r="Q41" s="135" t="s">
        <v>131</v>
      </c>
      <c r="R41" s="135" t="s">
        <v>348</v>
      </c>
      <c r="S41" s="135" t="s">
        <v>349</v>
      </c>
      <c r="T41" s="146" t="str">
        <f>IF(OR(ISNUMBER(SEARCH("FAIL",K41&amp;" "&amp;Q41)),ISNUMBER(SEARCH("CLEAN RETEST REQUIRED",K41&amp;" "&amp;Q41))),"Failed",IF(OR(ISNUMBER(SEARCH("NOT RUN",K41&amp;" "&amp;Q41)),ISNUMBER(SEARCH("NOT IMPLEMENTED",K41&amp;" "&amp;Q41))),"Not started",IF(OR(ISNUMBER(SEARCH("PARTIAL",K41&amp;" "&amp;Q41)),ISNUMBER(SEARCH("PENDING",K41&amp;" "&amp;Q41)),ISNUMBER(SEARCH("IN PROGRESS",K41&amp;" "&amp;Q41)),ISNUMBER(SEARCH("OPEN",K41&amp;" "&amp;Q41)),ISNUMBER(SEARCH("RETEST REQUIRED",K41&amp;" "&amp;Q41)),ISNUMBER(SEARCH("IMPLEMENTATION UPDATED",K41&amp;" "&amp;Q41)),ISNUMBER(SEARCH("REQUIRED EVERY SESSION",K41&amp;" "&amp;Q41))),"Pending",IF(OR(Q41="PASS",ISNUMBER(SEARCH("PASS",K41&amp;" "&amp;Q41))),"Done","Pending"))))</f>
        <v>Done</v>
      </c>
      <c r="U41" s="146" t="str">
        <f>IF(OR(C41="Admin optional",LEFT(A41,9)="OPERATOR-",LEFT(A41,8)="PAYMENT-",LEFT(A41,7)="DEPLOY-"),"External","Core")</f>
        <v>Core</v>
      </c>
    </row>
    <row r="42" customFormat="false" ht="15" hidden="false" customHeight="false" outlineLevel="0" collapsed="false">
      <c r="A42" s="135" t="s">
        <v>350</v>
      </c>
      <c r="B42" s="135" t="s">
        <v>270</v>
      </c>
      <c r="C42" s="256" t="s">
        <v>49</v>
      </c>
      <c r="D42" s="135" t="s">
        <v>351</v>
      </c>
      <c r="E42" s="135" t="s">
        <v>352</v>
      </c>
      <c r="F42" s="135" t="s">
        <v>4</v>
      </c>
      <c r="G42" s="135" t="s">
        <v>353</v>
      </c>
      <c r="H42" s="135" t="s">
        <v>4</v>
      </c>
      <c r="I42" s="135" t="s">
        <v>4</v>
      </c>
      <c r="J42" s="135" t="s">
        <v>354</v>
      </c>
      <c r="K42" s="135" t="s">
        <v>309</v>
      </c>
      <c r="L42" s="135" t="s">
        <v>1</v>
      </c>
      <c r="M42" s="135" t="s">
        <v>1</v>
      </c>
      <c r="N42" s="135" t="s">
        <v>102</v>
      </c>
      <c r="O42" s="135" t="s">
        <v>355</v>
      </c>
      <c r="P42" s="135" t="s">
        <v>356</v>
      </c>
      <c r="Q42" s="135" t="s">
        <v>131</v>
      </c>
      <c r="R42" s="135" t="s">
        <v>357</v>
      </c>
      <c r="S42" s="135" t="s">
        <v>358</v>
      </c>
      <c r="T42" s="146" t="str">
        <f>IF(OR(ISNUMBER(SEARCH("FAIL",K42&amp;" "&amp;Q42)),ISNUMBER(SEARCH("CLEAN RETEST REQUIRED",K42&amp;" "&amp;Q42))),"Failed",IF(OR(ISNUMBER(SEARCH("NOT RUN",K42&amp;" "&amp;Q42)),ISNUMBER(SEARCH("NOT IMPLEMENTED",K42&amp;" "&amp;Q42))),"Not started",IF(OR(ISNUMBER(SEARCH("PARTIAL",K42&amp;" "&amp;Q42)),ISNUMBER(SEARCH("PENDING",K42&amp;" "&amp;Q42)),ISNUMBER(SEARCH("IN PROGRESS",K42&amp;" "&amp;Q42)),ISNUMBER(SEARCH("OPEN",K42&amp;" "&amp;Q42)),ISNUMBER(SEARCH("RETEST REQUIRED",K42&amp;" "&amp;Q42)),ISNUMBER(SEARCH("IMPLEMENTATION UPDATED",K42&amp;" "&amp;Q42)),ISNUMBER(SEARCH("REQUIRED EVERY SESSION",K42&amp;" "&amp;Q42))),"Pending",IF(OR(Q42="PASS",ISNUMBER(SEARCH("PASS",K42&amp;" "&amp;Q42))),"Done","Pending"))))</f>
        <v>Done</v>
      </c>
      <c r="U42" s="146" t="str">
        <f>IF(OR(C42="Admin optional",LEFT(A42,9)="OPERATOR-",LEFT(A42,8)="PAYMENT-",LEFT(A42,7)="DEPLOY-"),"External","Core")</f>
        <v>Core</v>
      </c>
    </row>
    <row r="43" customFormat="false" ht="15" hidden="false" customHeight="false" outlineLevel="0" collapsed="false">
      <c r="A43" s="138" t="s">
        <v>359</v>
      </c>
      <c r="B43" s="138" t="s">
        <v>257</v>
      </c>
      <c r="C43" s="256" t="s">
        <v>49</v>
      </c>
      <c r="D43" s="138" t="s">
        <v>360</v>
      </c>
      <c r="E43" s="138" t="s">
        <v>361</v>
      </c>
      <c r="F43" s="138" t="s">
        <v>362</v>
      </c>
      <c r="G43" s="138" t="s">
        <v>363</v>
      </c>
      <c r="H43" s="138" t="s">
        <v>262</v>
      </c>
      <c r="I43" s="138" t="s">
        <v>364</v>
      </c>
      <c r="J43" s="138" t="s">
        <v>365</v>
      </c>
      <c r="K43" s="138" t="s">
        <v>366</v>
      </c>
      <c r="L43" s="138" t="s">
        <v>1</v>
      </c>
      <c r="M43" s="138" t="s">
        <v>1</v>
      </c>
      <c r="N43" s="138" t="s">
        <v>1</v>
      </c>
      <c r="O43" s="138" t="s">
        <v>367</v>
      </c>
      <c r="P43" s="138" t="s">
        <v>368</v>
      </c>
      <c r="Q43" s="138" t="s">
        <v>1</v>
      </c>
      <c r="R43" s="138" t="s">
        <v>369</v>
      </c>
      <c r="S43" s="138" t="s">
        <v>290</v>
      </c>
      <c r="T43" s="146" t="str">
        <f>IF(OR(ISNUMBER(SEARCH("FAIL",K43&amp;" "&amp;Q43)),ISNUMBER(SEARCH("CLEAN RETEST REQUIRED",K43&amp;" "&amp;Q43))),"Failed",IF(OR(ISNUMBER(SEARCH("NOT RUN",K43&amp;" "&amp;Q43)),ISNUMBER(SEARCH("NOT IMPLEMENTED",K43&amp;" "&amp;Q43))),"Not started",IF(OR(ISNUMBER(SEARCH("PARTIAL",K43&amp;" "&amp;Q43)),ISNUMBER(SEARCH("PENDING",K43&amp;" "&amp;Q43)),ISNUMBER(SEARCH("IN PROGRESS",K43&amp;" "&amp;Q43)),ISNUMBER(SEARCH("OPEN",K43&amp;" "&amp;Q43)),ISNUMBER(SEARCH("RETEST REQUIRED",K43&amp;" "&amp;Q43)),ISNUMBER(SEARCH("IMPLEMENTATION UPDATED",K43&amp;" "&amp;Q43)),ISNUMBER(SEARCH("REQUIRED EVERY SESSION",K43&amp;" "&amp;Q43))),"Pending",IF(OR(Q43="PASS",ISNUMBER(SEARCH("PASS",K43&amp;" "&amp;Q43))),"Done","Pending"))))</f>
        <v>Not started</v>
      </c>
      <c r="U43" s="146" t="str">
        <f>IF(OR(C43="Admin optional",LEFT(A43,9)="OPERATOR-",LEFT(A43,8)="PAYMENT-",LEFT(A43,7)="DEPLOY-"),"External","Core")</f>
        <v>Core</v>
      </c>
    </row>
    <row r="44" customFormat="false" ht="15" hidden="false" customHeight="false" outlineLevel="0" collapsed="false">
      <c r="A44" s="138" t="s">
        <v>370</v>
      </c>
      <c r="B44" s="138" t="s">
        <v>257</v>
      </c>
      <c r="C44" s="256" t="s">
        <v>49</v>
      </c>
      <c r="D44" s="138" t="s">
        <v>258</v>
      </c>
      <c r="E44" s="138" t="s">
        <v>371</v>
      </c>
      <c r="F44" s="138" t="s">
        <v>372</v>
      </c>
      <c r="G44" s="138" t="s">
        <v>373</v>
      </c>
      <c r="H44" s="138" t="s">
        <v>374</v>
      </c>
      <c r="I44" s="138" t="s">
        <v>375</v>
      </c>
      <c r="J44" s="138" t="s">
        <v>376</v>
      </c>
      <c r="K44" s="138" t="s">
        <v>366</v>
      </c>
      <c r="L44" s="138" t="s">
        <v>1</v>
      </c>
      <c r="M44" s="138" t="s">
        <v>1</v>
      </c>
      <c r="N44" s="138" t="s">
        <v>1</v>
      </c>
      <c r="O44" s="138" t="s">
        <v>377</v>
      </c>
      <c r="P44" s="138" t="s">
        <v>378</v>
      </c>
      <c r="Q44" s="138" t="s">
        <v>1</v>
      </c>
      <c r="R44" s="138" t="s">
        <v>379</v>
      </c>
      <c r="S44" s="138" t="s">
        <v>380</v>
      </c>
      <c r="T44" s="146" t="str">
        <f>IF(OR(ISNUMBER(SEARCH("FAIL",K44&amp;" "&amp;Q44)),ISNUMBER(SEARCH("CLEAN RETEST REQUIRED",K44&amp;" "&amp;Q44))),"Failed",IF(OR(ISNUMBER(SEARCH("NOT RUN",K44&amp;" "&amp;Q44)),ISNUMBER(SEARCH("NOT IMPLEMENTED",K44&amp;" "&amp;Q44))),"Not started",IF(OR(ISNUMBER(SEARCH("PARTIAL",K44&amp;" "&amp;Q44)),ISNUMBER(SEARCH("PENDING",K44&amp;" "&amp;Q44)),ISNUMBER(SEARCH("IN PROGRESS",K44&amp;" "&amp;Q44)),ISNUMBER(SEARCH("OPEN",K44&amp;" "&amp;Q44)),ISNUMBER(SEARCH("RETEST REQUIRED",K44&amp;" "&amp;Q44)),ISNUMBER(SEARCH("IMPLEMENTATION UPDATED",K44&amp;" "&amp;Q44)),ISNUMBER(SEARCH("REQUIRED EVERY SESSION",K44&amp;" "&amp;Q44))),"Pending",IF(OR(Q44="PASS",ISNUMBER(SEARCH("PASS",K44&amp;" "&amp;Q44))),"Done","Pending"))))</f>
        <v>Not started</v>
      </c>
      <c r="U44" s="146" t="str">
        <f>IF(OR(C44="Admin optional",LEFT(A44,9)="OPERATOR-",LEFT(A44,8)="PAYMENT-",LEFT(A44,7)="DEPLOY-"),"External","Core")</f>
        <v>Core</v>
      </c>
    </row>
    <row r="45" customFormat="false" ht="15" hidden="false" customHeight="false" outlineLevel="0" collapsed="false">
      <c r="A45" s="135" t="s">
        <v>381</v>
      </c>
      <c r="B45" s="135" t="s">
        <v>257</v>
      </c>
      <c r="C45" s="256" t="s">
        <v>49</v>
      </c>
      <c r="D45" s="135" t="s">
        <v>382</v>
      </c>
      <c r="E45" s="135" t="s">
        <v>383</v>
      </c>
      <c r="F45" s="135" t="s">
        <v>384</v>
      </c>
      <c r="G45" s="135" t="s">
        <v>284</v>
      </c>
      <c r="H45" s="135" t="s">
        <v>262</v>
      </c>
      <c r="I45" s="135" t="s">
        <v>385</v>
      </c>
      <c r="J45" s="135" t="s">
        <v>386</v>
      </c>
      <c r="K45" s="135" t="s">
        <v>265</v>
      </c>
      <c r="L45" s="135" t="s">
        <v>1</v>
      </c>
      <c r="M45" s="135" t="s">
        <v>1</v>
      </c>
      <c r="N45" s="135" t="s">
        <v>102</v>
      </c>
      <c r="O45" s="135" t="s">
        <v>387</v>
      </c>
      <c r="P45" s="135" t="s">
        <v>388</v>
      </c>
      <c r="Q45" s="135" t="s">
        <v>131</v>
      </c>
      <c r="R45" s="135" t="s">
        <v>389</v>
      </c>
      <c r="S45" s="135" t="s">
        <v>390</v>
      </c>
      <c r="T45" s="146" t="str">
        <f>IF(OR(ISNUMBER(SEARCH("FAIL",K45&amp;" "&amp;Q45)),ISNUMBER(SEARCH("CLEAN RETEST REQUIRED",K45&amp;" "&amp;Q45))),"Failed",IF(OR(ISNUMBER(SEARCH("NOT RUN",K45&amp;" "&amp;Q45)),ISNUMBER(SEARCH("NOT IMPLEMENTED",K45&amp;" "&amp;Q45))),"Not started",IF(OR(ISNUMBER(SEARCH("PARTIAL",K45&amp;" "&amp;Q45)),ISNUMBER(SEARCH("PENDING",K45&amp;" "&amp;Q45)),ISNUMBER(SEARCH("IN PROGRESS",K45&amp;" "&amp;Q45)),ISNUMBER(SEARCH("OPEN",K45&amp;" "&amp;Q45)),ISNUMBER(SEARCH("RETEST REQUIRED",K45&amp;" "&amp;Q45)),ISNUMBER(SEARCH("IMPLEMENTATION UPDATED",K45&amp;" "&amp;Q45)),ISNUMBER(SEARCH("REQUIRED EVERY SESSION",K45&amp;" "&amp;Q45))),"Pending",IF(OR(Q45="PASS",ISNUMBER(SEARCH("PASS",K45&amp;" "&amp;Q45))),"Done","Pending"))))</f>
        <v>Done</v>
      </c>
      <c r="U45" s="146" t="str">
        <f>IF(OR(C45="Admin optional",LEFT(A45,9)="OPERATOR-",LEFT(A45,8)="PAYMENT-",LEFT(A45,7)="DEPLOY-"),"External","Core")</f>
        <v>Core</v>
      </c>
    </row>
    <row r="46" customFormat="false" ht="180" hidden="false" customHeight="true" outlineLevel="0" collapsed="false">
      <c r="A46" s="135" t="s">
        <v>391</v>
      </c>
      <c r="B46" s="135" t="s">
        <v>257</v>
      </c>
      <c r="C46" s="256" t="s">
        <v>49</v>
      </c>
      <c r="D46" s="135" t="s">
        <v>382</v>
      </c>
      <c r="E46" s="135" t="s">
        <v>392</v>
      </c>
      <c r="F46" s="135" t="s">
        <v>393</v>
      </c>
      <c r="G46" s="135" t="s">
        <v>394</v>
      </c>
      <c r="H46" s="135" t="s">
        <v>262</v>
      </c>
      <c r="I46" s="135" t="s">
        <v>395</v>
      </c>
      <c r="J46" s="135" t="s">
        <v>396</v>
      </c>
      <c r="K46" s="135" t="s">
        <v>397</v>
      </c>
      <c r="L46" s="135" t="s">
        <v>1</v>
      </c>
      <c r="M46" s="135" t="s">
        <v>1</v>
      </c>
      <c r="N46" s="135" t="s">
        <v>128</v>
      </c>
      <c r="O46" s="135" t="s">
        <v>398</v>
      </c>
      <c r="P46" s="135" t="s">
        <v>399</v>
      </c>
      <c r="Q46" s="135" t="s">
        <v>131</v>
      </c>
      <c r="R46" s="135" t="s">
        <v>400</v>
      </c>
      <c r="S46" s="135" t="s">
        <v>401</v>
      </c>
      <c r="T46" s="146" t="str">
        <f>IF(OR(ISNUMBER(SEARCH("FAIL",K46&amp;" "&amp;Q46)),ISNUMBER(SEARCH("CLEAN RETEST REQUIRED",K46&amp;" "&amp;Q46))),"Failed",IF(OR(ISNUMBER(SEARCH("NOT RUN",K46&amp;" "&amp;Q46)),ISNUMBER(SEARCH("NOT IMPLEMENTED",K46&amp;" "&amp;Q46))),"Not started",IF(OR(ISNUMBER(SEARCH("PARTIAL",K46&amp;" "&amp;Q46)),ISNUMBER(SEARCH("PENDING",K46&amp;" "&amp;Q46)),ISNUMBER(SEARCH("IN PROGRESS",K46&amp;" "&amp;Q46)),ISNUMBER(SEARCH("OPEN",K46&amp;" "&amp;Q46)),ISNUMBER(SEARCH("RETEST REQUIRED",K46&amp;" "&amp;Q46)),ISNUMBER(SEARCH("IMPLEMENTATION UPDATED",K46&amp;" "&amp;Q46)),ISNUMBER(SEARCH("REQUIRED EVERY SESSION",K46&amp;" "&amp;Q46))),"Pending",IF(OR(Q46="PASS",ISNUMBER(SEARCH("PASS",K46&amp;" "&amp;Q46))),"Done","Pending"))))</f>
        <v>Done</v>
      </c>
      <c r="U46" s="146" t="str">
        <f>IF(OR(C46="Admin optional",LEFT(A46,9)="OPERATOR-",LEFT(A46,8)="PAYMENT-",LEFT(A46,7)="DEPLOY-"),"External","Core")</f>
        <v>Core</v>
      </c>
    </row>
    <row r="47" customFormat="false" ht="120" hidden="false" customHeight="true" outlineLevel="0" collapsed="false">
      <c r="A47" s="135" t="s">
        <v>402</v>
      </c>
      <c r="B47" s="135" t="s">
        <v>257</v>
      </c>
      <c r="C47" s="256" t="s">
        <v>49</v>
      </c>
      <c r="D47" s="135" t="s">
        <v>382</v>
      </c>
      <c r="E47" s="135" t="s">
        <v>403</v>
      </c>
      <c r="F47" s="135" t="s">
        <v>404</v>
      </c>
      <c r="G47" s="135" t="s">
        <v>405</v>
      </c>
      <c r="H47" s="135" t="s">
        <v>262</v>
      </c>
      <c r="I47" s="135" t="s">
        <v>406</v>
      </c>
      <c r="J47" s="135" t="s">
        <v>407</v>
      </c>
      <c r="K47" s="135" t="s">
        <v>265</v>
      </c>
      <c r="L47" s="135" t="s">
        <v>1</v>
      </c>
      <c r="M47" s="135" t="s">
        <v>1</v>
      </c>
      <c r="N47" s="135" t="s">
        <v>172</v>
      </c>
      <c r="O47" s="135" t="s">
        <v>408</v>
      </c>
      <c r="P47" s="135" t="s">
        <v>409</v>
      </c>
      <c r="Q47" s="135" t="s">
        <v>131</v>
      </c>
      <c r="R47" s="135" t="s">
        <v>410</v>
      </c>
      <c r="S47" s="135" t="s">
        <v>324</v>
      </c>
      <c r="T47" s="146" t="str">
        <f>IF(OR(ISNUMBER(SEARCH("FAIL",K47&amp;" "&amp;Q47)),ISNUMBER(SEARCH("CLEAN RETEST REQUIRED",K47&amp;" "&amp;Q47))),"Failed",IF(OR(ISNUMBER(SEARCH("NOT RUN",K47&amp;" "&amp;Q47)),ISNUMBER(SEARCH("NOT IMPLEMENTED",K47&amp;" "&amp;Q47))),"Not started",IF(OR(ISNUMBER(SEARCH("PARTIAL",K47&amp;" "&amp;Q47)),ISNUMBER(SEARCH("PENDING",K47&amp;" "&amp;Q47)),ISNUMBER(SEARCH("IN PROGRESS",K47&amp;" "&amp;Q47)),ISNUMBER(SEARCH("OPEN",K47&amp;" "&amp;Q47)),ISNUMBER(SEARCH("RETEST REQUIRED",K47&amp;" "&amp;Q47)),ISNUMBER(SEARCH("IMPLEMENTATION UPDATED",K47&amp;" "&amp;Q47)),ISNUMBER(SEARCH("REQUIRED EVERY SESSION",K47&amp;" "&amp;Q47))),"Pending",IF(OR(Q47="PASS",ISNUMBER(SEARCH("PASS",K47&amp;" "&amp;Q47))),"Done","Pending"))))</f>
        <v>Done</v>
      </c>
      <c r="U47" s="146" t="str">
        <f>IF(OR(C47="Admin optional",LEFT(A47,9)="OPERATOR-",LEFT(A47,8)="PAYMENT-",LEFT(A47,7)="DEPLOY-"),"External","Core")</f>
        <v>Core</v>
      </c>
    </row>
    <row r="48" customFormat="false" ht="105" hidden="false" customHeight="true" outlineLevel="0" collapsed="false">
      <c r="A48" s="135" t="s">
        <v>411</v>
      </c>
      <c r="B48" s="135" t="s">
        <v>257</v>
      </c>
      <c r="C48" s="256" t="s">
        <v>49</v>
      </c>
      <c r="D48" s="135" t="s">
        <v>412</v>
      </c>
      <c r="E48" s="135" t="s">
        <v>413</v>
      </c>
      <c r="F48" s="135" t="s">
        <v>414</v>
      </c>
      <c r="G48" s="135" t="s">
        <v>415</v>
      </c>
      <c r="H48" s="135" t="s">
        <v>416</v>
      </c>
      <c r="I48" s="135" t="s">
        <v>417</v>
      </c>
      <c r="J48" s="135" t="s">
        <v>418</v>
      </c>
      <c r="K48" s="135" t="s">
        <v>265</v>
      </c>
      <c r="L48" s="135" t="s">
        <v>1</v>
      </c>
      <c r="M48" s="135" t="s">
        <v>1</v>
      </c>
      <c r="N48" s="135" t="s">
        <v>172</v>
      </c>
      <c r="O48" s="135" t="s">
        <v>419</v>
      </c>
      <c r="P48" s="135" t="s">
        <v>420</v>
      </c>
      <c r="Q48" s="135" t="s">
        <v>131</v>
      </c>
      <c r="R48" s="135" t="s">
        <v>421</v>
      </c>
      <c r="S48" s="135" t="s">
        <v>401</v>
      </c>
      <c r="T48" s="146" t="str">
        <f>IF(OR(ISNUMBER(SEARCH("FAIL",K48&amp;" "&amp;Q48)),ISNUMBER(SEARCH("CLEAN RETEST REQUIRED",K48&amp;" "&amp;Q48))),"Failed",IF(OR(ISNUMBER(SEARCH("NOT RUN",K48&amp;" "&amp;Q48)),ISNUMBER(SEARCH("NOT IMPLEMENTED",K48&amp;" "&amp;Q48))),"Not started",IF(OR(ISNUMBER(SEARCH("PARTIAL",K48&amp;" "&amp;Q48)),ISNUMBER(SEARCH("PENDING",K48&amp;" "&amp;Q48)),ISNUMBER(SEARCH("IN PROGRESS",K48&amp;" "&amp;Q48)),ISNUMBER(SEARCH("OPEN",K48&amp;" "&amp;Q48)),ISNUMBER(SEARCH("RETEST REQUIRED",K48&amp;" "&amp;Q48)),ISNUMBER(SEARCH("IMPLEMENTATION UPDATED",K48&amp;" "&amp;Q48)),ISNUMBER(SEARCH("REQUIRED EVERY SESSION",K48&amp;" "&amp;Q48))),"Pending",IF(OR(Q48="PASS",ISNUMBER(SEARCH("PASS",K48&amp;" "&amp;Q48))),"Done","Pending"))))</f>
        <v>Done</v>
      </c>
      <c r="U48" s="146" t="str">
        <f>IF(OR(C48="Admin optional",LEFT(A48,9)="OPERATOR-",LEFT(A48,8)="PAYMENT-",LEFT(A48,7)="DEPLOY-"),"External","Core")</f>
        <v>Core</v>
      </c>
    </row>
    <row r="49" customFormat="false" ht="60" hidden="false" customHeight="true" outlineLevel="0" collapsed="false">
      <c r="A49" s="135" t="s">
        <v>422</v>
      </c>
      <c r="B49" s="135" t="s">
        <v>257</v>
      </c>
      <c r="C49" s="256" t="s">
        <v>49</v>
      </c>
      <c r="D49" s="135" t="s">
        <v>423</v>
      </c>
      <c r="E49" s="135" t="s">
        <v>424</v>
      </c>
      <c r="F49" s="135" t="s">
        <v>4</v>
      </c>
      <c r="G49" s="135" t="s">
        <v>4</v>
      </c>
      <c r="H49" s="135" t="s">
        <v>4</v>
      </c>
      <c r="I49" s="135" t="s">
        <v>4</v>
      </c>
      <c r="J49" s="135" t="s">
        <v>425</v>
      </c>
      <c r="K49" s="135" t="s">
        <v>265</v>
      </c>
      <c r="L49" s="135" t="s">
        <v>1</v>
      </c>
      <c r="M49" s="135" t="s">
        <v>1</v>
      </c>
      <c r="N49" s="135" t="s">
        <v>172</v>
      </c>
      <c r="O49" s="135" t="s">
        <v>426</v>
      </c>
      <c r="P49" s="135" t="s">
        <v>427</v>
      </c>
      <c r="Q49" s="135" t="s">
        <v>131</v>
      </c>
      <c r="R49" s="135" t="s">
        <v>428</v>
      </c>
      <c r="S49" s="135" t="s">
        <v>429</v>
      </c>
      <c r="T49" s="146" t="str">
        <f>IF(OR(ISNUMBER(SEARCH("FAIL",K49&amp;" "&amp;Q49)),ISNUMBER(SEARCH("CLEAN RETEST REQUIRED",K49&amp;" "&amp;Q49))),"Failed",IF(OR(ISNUMBER(SEARCH("NOT RUN",K49&amp;" "&amp;Q49)),ISNUMBER(SEARCH("NOT IMPLEMENTED",K49&amp;" "&amp;Q49))),"Not started",IF(OR(ISNUMBER(SEARCH("PARTIAL",K49&amp;" "&amp;Q49)),ISNUMBER(SEARCH("PENDING",K49&amp;" "&amp;Q49)),ISNUMBER(SEARCH("IN PROGRESS",K49&amp;" "&amp;Q49)),ISNUMBER(SEARCH("OPEN",K49&amp;" "&amp;Q49)),ISNUMBER(SEARCH("RETEST REQUIRED",K49&amp;" "&amp;Q49)),ISNUMBER(SEARCH("IMPLEMENTATION UPDATED",K49&amp;" "&amp;Q49)),ISNUMBER(SEARCH("REQUIRED EVERY SESSION",K49&amp;" "&amp;Q49))),"Pending",IF(OR(Q49="PASS",ISNUMBER(SEARCH("PASS",K49&amp;" "&amp;Q49))),"Done","Pending"))))</f>
        <v>Done</v>
      </c>
      <c r="U49" s="146" t="str">
        <f>IF(OR(C49="Admin optional",LEFT(A49,9)="OPERATOR-",LEFT(A49,8)="PAYMENT-",LEFT(A49,7)="DEPLOY-"),"External","Core")</f>
        <v>Core</v>
      </c>
    </row>
    <row r="50" customFormat="false" ht="60" hidden="false" customHeight="true" outlineLevel="0" collapsed="false">
      <c r="A50" s="135" t="s">
        <v>430</v>
      </c>
      <c r="B50" s="135" t="s">
        <v>257</v>
      </c>
      <c r="C50" s="256" t="s">
        <v>49</v>
      </c>
      <c r="D50" s="135" t="s">
        <v>431</v>
      </c>
      <c r="E50" s="135" t="s">
        <v>432</v>
      </c>
      <c r="F50" s="135" t="s">
        <v>433</v>
      </c>
      <c r="G50" s="135" t="s">
        <v>434</v>
      </c>
      <c r="H50" s="135" t="s">
        <v>435</v>
      </c>
      <c r="I50" s="135" t="s">
        <v>436</v>
      </c>
      <c r="J50" s="135" t="s">
        <v>437</v>
      </c>
      <c r="K50" s="135" t="s">
        <v>265</v>
      </c>
      <c r="L50" s="135" t="s">
        <v>1</v>
      </c>
      <c r="M50" s="135" t="s">
        <v>1</v>
      </c>
      <c r="N50" s="135" t="s">
        <v>172</v>
      </c>
      <c r="O50" s="135" t="s">
        <v>438</v>
      </c>
      <c r="P50" s="135" t="s">
        <v>439</v>
      </c>
      <c r="Q50" s="135" t="s">
        <v>131</v>
      </c>
      <c r="R50" s="135" t="s">
        <v>440</v>
      </c>
      <c r="S50" s="135" t="s">
        <v>324</v>
      </c>
      <c r="T50" s="146" t="str">
        <f>IF(OR(ISNUMBER(SEARCH("FAIL",K50&amp;" "&amp;Q50)),ISNUMBER(SEARCH("CLEAN RETEST REQUIRED",K50&amp;" "&amp;Q50))),"Failed",IF(OR(ISNUMBER(SEARCH("NOT RUN",K50&amp;" "&amp;Q50)),ISNUMBER(SEARCH("NOT IMPLEMENTED",K50&amp;" "&amp;Q50))),"Not started",IF(OR(ISNUMBER(SEARCH("PARTIAL",K50&amp;" "&amp;Q50)),ISNUMBER(SEARCH("PENDING",K50&amp;" "&amp;Q50)),ISNUMBER(SEARCH("IN PROGRESS",K50&amp;" "&amp;Q50)),ISNUMBER(SEARCH("OPEN",K50&amp;" "&amp;Q50)),ISNUMBER(SEARCH("RETEST REQUIRED",K50&amp;" "&amp;Q50)),ISNUMBER(SEARCH("IMPLEMENTATION UPDATED",K50&amp;" "&amp;Q50)),ISNUMBER(SEARCH("REQUIRED EVERY SESSION",K50&amp;" "&amp;Q50))),"Pending",IF(OR(Q50="PASS",ISNUMBER(SEARCH("PASS",K50&amp;" "&amp;Q50))),"Done","Pending"))))</f>
        <v>Done</v>
      </c>
      <c r="U50" s="146" t="str">
        <f>IF(OR(C50="Admin optional",LEFT(A50,9)="OPERATOR-",LEFT(A50,8)="PAYMENT-",LEFT(A50,7)="DEPLOY-"),"External","Core")</f>
        <v>Core</v>
      </c>
    </row>
    <row r="51" customFormat="false" ht="15" hidden="false" customHeight="false" outlineLevel="0" collapsed="false">
      <c r="A51" s="136" t="s">
        <v>441</v>
      </c>
      <c r="B51" s="136" t="s">
        <v>257</v>
      </c>
      <c r="C51" s="256" t="s">
        <v>49</v>
      </c>
      <c r="D51" s="136" t="s">
        <v>442</v>
      </c>
      <c r="E51" s="136" t="s">
        <v>443</v>
      </c>
      <c r="F51" s="136" t="s">
        <v>4</v>
      </c>
      <c r="G51" s="136" t="s">
        <v>4</v>
      </c>
      <c r="H51" s="136" t="s">
        <v>4</v>
      </c>
      <c r="I51" s="136" t="s">
        <v>4</v>
      </c>
      <c r="J51" s="136" t="s">
        <v>444</v>
      </c>
      <c r="K51" s="136" t="s">
        <v>445</v>
      </c>
      <c r="L51" s="136" t="s">
        <v>1</v>
      </c>
      <c r="M51" s="136" t="s">
        <v>1</v>
      </c>
      <c r="N51" s="136" t="s">
        <v>102</v>
      </c>
      <c r="O51" s="136" t="s">
        <v>446</v>
      </c>
      <c r="P51" s="136" t="s">
        <v>447</v>
      </c>
      <c r="Q51" s="136" t="s">
        <v>448</v>
      </c>
      <c r="R51" s="136" t="s">
        <v>449</v>
      </c>
      <c r="S51" s="136" t="s">
        <v>107</v>
      </c>
      <c r="T51" s="146" t="str">
        <f>IF(OR(ISNUMBER(SEARCH("FAIL",K51&amp;" "&amp;Q51)),ISNUMBER(SEARCH("CLEAN RETEST REQUIRED",K51&amp;" "&amp;Q51))),"Failed",IF(OR(ISNUMBER(SEARCH("NOT RUN",K51&amp;" "&amp;Q51)),ISNUMBER(SEARCH("NOT IMPLEMENTED",K51&amp;" "&amp;Q51))),"Not started",IF(OR(ISNUMBER(SEARCH("PARTIAL",K51&amp;" "&amp;Q51)),ISNUMBER(SEARCH("PENDING",K51&amp;" "&amp;Q51)),ISNUMBER(SEARCH("IN PROGRESS",K51&amp;" "&amp;Q51)),ISNUMBER(SEARCH("OPEN",K51&amp;" "&amp;Q51)),ISNUMBER(SEARCH("RETEST REQUIRED",K51&amp;" "&amp;Q51)),ISNUMBER(SEARCH("IMPLEMENTATION UPDATED",K51&amp;" "&amp;Q51)),ISNUMBER(SEARCH("REQUIRED EVERY SESSION",K51&amp;" "&amp;Q51))),"Pending",IF(OR(Q51="PASS",ISNUMBER(SEARCH("PASS",K51&amp;" "&amp;Q51))),"Done","Pending"))))</f>
        <v>Pending</v>
      </c>
      <c r="U51" s="146" t="str">
        <f>IF(OR(C51="Admin optional",LEFT(A51,9)="OPERATOR-",LEFT(A51,8)="PAYMENT-",LEFT(A51,7)="DEPLOY-"),"External","Core")</f>
        <v>Core</v>
      </c>
    </row>
    <row r="52" customFormat="false" ht="15" hidden="false" customHeight="false" outlineLevel="0" collapsed="false">
      <c r="A52" s="135" t="s">
        <v>450</v>
      </c>
      <c r="B52" s="135" t="s">
        <v>257</v>
      </c>
      <c r="C52" s="256" t="s">
        <v>49</v>
      </c>
      <c r="D52" s="135" t="s">
        <v>431</v>
      </c>
      <c r="E52" s="135" t="s">
        <v>451</v>
      </c>
      <c r="F52" s="135" t="s">
        <v>452</v>
      </c>
      <c r="G52" s="135" t="s">
        <v>453</v>
      </c>
      <c r="H52" s="135" t="s">
        <v>454</v>
      </c>
      <c r="I52" s="135" t="s">
        <v>455</v>
      </c>
      <c r="J52" s="135" t="s">
        <v>456</v>
      </c>
      <c r="K52" s="135" t="s">
        <v>161</v>
      </c>
      <c r="L52" s="135" t="s">
        <v>1</v>
      </c>
      <c r="M52" s="135" t="s">
        <v>1</v>
      </c>
      <c r="N52" s="135" t="s">
        <v>102</v>
      </c>
      <c r="O52" s="135" t="s">
        <v>457</v>
      </c>
      <c r="P52" s="135" t="s">
        <v>458</v>
      </c>
      <c r="Q52" s="135" t="s">
        <v>131</v>
      </c>
      <c r="R52" s="135" t="s">
        <v>459</v>
      </c>
      <c r="S52" s="135" t="s">
        <v>107</v>
      </c>
      <c r="T52" s="146" t="str">
        <f>IF(OR(ISNUMBER(SEARCH("FAIL",K52&amp;" "&amp;Q52)),ISNUMBER(SEARCH("CLEAN RETEST REQUIRED",K52&amp;" "&amp;Q52))),"Failed",IF(OR(ISNUMBER(SEARCH("NOT RUN",K52&amp;" "&amp;Q52)),ISNUMBER(SEARCH("NOT IMPLEMENTED",K52&amp;" "&amp;Q52))),"Not started",IF(OR(ISNUMBER(SEARCH("PARTIAL",K52&amp;" "&amp;Q52)),ISNUMBER(SEARCH("PENDING",K52&amp;" "&amp;Q52)),ISNUMBER(SEARCH("IN PROGRESS",K52&amp;" "&amp;Q52)),ISNUMBER(SEARCH("OPEN",K52&amp;" "&amp;Q52)),ISNUMBER(SEARCH("RETEST REQUIRED",K52&amp;" "&amp;Q52)),ISNUMBER(SEARCH("IMPLEMENTATION UPDATED",K52&amp;" "&amp;Q52)),ISNUMBER(SEARCH("REQUIRED EVERY SESSION",K52&amp;" "&amp;Q52))),"Pending",IF(OR(Q52="PASS",ISNUMBER(SEARCH("PASS",K52&amp;" "&amp;Q52))),"Done","Pending"))))</f>
        <v>Done</v>
      </c>
      <c r="U52" s="146" t="str">
        <f>IF(OR(C52="Admin optional",LEFT(A52,9)="OPERATOR-",LEFT(A52,8)="PAYMENT-",LEFT(A52,7)="DEPLOY-"),"External","Core")</f>
        <v>Core</v>
      </c>
    </row>
    <row r="53" customFormat="false" ht="180" hidden="false" customHeight="true" outlineLevel="0" collapsed="false">
      <c r="A53" s="135" t="s">
        <v>460</v>
      </c>
      <c r="B53" s="135" t="s">
        <v>257</v>
      </c>
      <c r="C53" s="256" t="s">
        <v>49</v>
      </c>
      <c r="D53" s="135" t="s">
        <v>461</v>
      </c>
      <c r="E53" s="135" t="s">
        <v>462</v>
      </c>
      <c r="F53" s="135" t="s">
        <v>463</v>
      </c>
      <c r="G53" s="135" t="s">
        <v>464</v>
      </c>
      <c r="H53" s="135" t="s">
        <v>465</v>
      </c>
      <c r="I53" s="135" t="s">
        <v>466</v>
      </c>
      <c r="J53" s="135" t="s">
        <v>467</v>
      </c>
      <c r="K53" s="135" t="s">
        <v>309</v>
      </c>
      <c r="L53" s="135" t="s">
        <v>1</v>
      </c>
      <c r="M53" s="135" t="s">
        <v>1</v>
      </c>
      <c r="N53" s="135" t="s">
        <v>172</v>
      </c>
      <c r="O53" s="135" t="s">
        <v>468</v>
      </c>
      <c r="P53" s="135" t="s">
        <v>469</v>
      </c>
      <c r="Q53" s="135" t="s">
        <v>131</v>
      </c>
      <c r="R53" s="135" t="s">
        <v>470</v>
      </c>
      <c r="S53" s="135" t="s">
        <v>107</v>
      </c>
      <c r="T53" s="146" t="str">
        <f>IF(OR(ISNUMBER(SEARCH("FAIL",K53&amp;" "&amp;Q53)),ISNUMBER(SEARCH("CLEAN RETEST REQUIRED",K53&amp;" "&amp;Q53))),"Failed",IF(OR(ISNUMBER(SEARCH("NOT RUN",K53&amp;" "&amp;Q53)),ISNUMBER(SEARCH("NOT IMPLEMENTED",K53&amp;" "&amp;Q53))),"Not started",IF(OR(ISNUMBER(SEARCH("PARTIAL",K53&amp;" "&amp;Q53)),ISNUMBER(SEARCH("PENDING",K53&amp;" "&amp;Q53)),ISNUMBER(SEARCH("IN PROGRESS",K53&amp;" "&amp;Q53)),ISNUMBER(SEARCH("OPEN",K53&amp;" "&amp;Q53)),ISNUMBER(SEARCH("RETEST REQUIRED",K53&amp;" "&amp;Q53)),ISNUMBER(SEARCH("IMPLEMENTATION UPDATED",K53&amp;" "&amp;Q53)),ISNUMBER(SEARCH("REQUIRED EVERY SESSION",K53&amp;" "&amp;Q53))),"Pending",IF(OR(Q53="PASS",ISNUMBER(SEARCH("PASS",K53&amp;" "&amp;Q53))),"Done","Pending"))))</f>
        <v>Done</v>
      </c>
      <c r="U53" s="146" t="str">
        <f>IF(OR(C53="Admin optional",LEFT(A53,9)="OPERATOR-",LEFT(A53,8)="PAYMENT-",LEFT(A53,7)="DEPLOY-"),"External","Core")</f>
        <v>Core</v>
      </c>
    </row>
    <row r="54" customFormat="false" ht="180" hidden="false" customHeight="true" outlineLevel="0" collapsed="false">
      <c r="A54" s="135" t="s">
        <v>471</v>
      </c>
      <c r="B54" s="135" t="s">
        <v>257</v>
      </c>
      <c r="C54" s="256" t="s">
        <v>49</v>
      </c>
      <c r="D54" s="135" t="s">
        <v>472</v>
      </c>
      <c r="E54" s="135" t="s">
        <v>473</v>
      </c>
      <c r="F54" s="135" t="s">
        <v>474</v>
      </c>
      <c r="G54" s="135" t="s">
        <v>475</v>
      </c>
      <c r="H54" s="135" t="s">
        <v>474</v>
      </c>
      <c r="I54" s="135" t="s">
        <v>476</v>
      </c>
      <c r="J54" s="135" t="s">
        <v>477</v>
      </c>
      <c r="K54" s="135" t="s">
        <v>478</v>
      </c>
      <c r="L54" s="135" t="s">
        <v>1</v>
      </c>
      <c r="M54" s="135" t="s">
        <v>1</v>
      </c>
      <c r="N54" s="135" t="s">
        <v>172</v>
      </c>
      <c r="O54" s="135" t="s">
        <v>479</v>
      </c>
      <c r="P54" s="135" t="s">
        <v>480</v>
      </c>
      <c r="Q54" s="135" t="s">
        <v>131</v>
      </c>
      <c r="R54" s="135" t="s">
        <v>481</v>
      </c>
      <c r="S54" s="135" t="s">
        <v>133</v>
      </c>
      <c r="T54" s="146" t="str">
        <f>IF(OR(ISNUMBER(SEARCH("FAIL",K54&amp;" "&amp;Q54)),ISNUMBER(SEARCH("CLEAN RETEST REQUIRED",K54&amp;" "&amp;Q54))),"Failed",IF(OR(ISNUMBER(SEARCH("NOT RUN",K54&amp;" "&amp;Q54)),ISNUMBER(SEARCH("NOT IMPLEMENTED",K54&amp;" "&amp;Q54))),"Not started",IF(OR(ISNUMBER(SEARCH("PARTIAL",K54&amp;" "&amp;Q54)),ISNUMBER(SEARCH("PENDING",K54&amp;" "&amp;Q54)),ISNUMBER(SEARCH("IN PROGRESS",K54&amp;" "&amp;Q54)),ISNUMBER(SEARCH("OPEN",K54&amp;" "&amp;Q54)),ISNUMBER(SEARCH("RETEST REQUIRED",K54&amp;" "&amp;Q54)),ISNUMBER(SEARCH("IMPLEMENTATION UPDATED",K54&amp;" "&amp;Q54)),ISNUMBER(SEARCH("REQUIRED EVERY SESSION",K54&amp;" "&amp;Q54))),"Pending",IF(OR(Q54="PASS",ISNUMBER(SEARCH("PASS",K54&amp;" "&amp;Q54))),"Done","Pending"))))</f>
        <v>Done</v>
      </c>
      <c r="U54" s="146" t="str">
        <f>IF(OR(C54="Admin optional",LEFT(A54,9)="OPERATOR-",LEFT(A54,8)="PAYMENT-",LEFT(A54,7)="DEPLOY-"),"External","Core")</f>
        <v>Core</v>
      </c>
    </row>
    <row r="55" customFormat="false" ht="15" hidden="false" customHeight="false" outlineLevel="0" collapsed="false">
      <c r="A55" s="135" t="s">
        <v>482</v>
      </c>
      <c r="B55" s="135" t="s">
        <v>257</v>
      </c>
      <c r="C55" s="256" t="s">
        <v>49</v>
      </c>
      <c r="D55" s="135" t="s">
        <v>483</v>
      </c>
      <c r="E55" s="135" t="s">
        <v>484</v>
      </c>
      <c r="F55" s="135" t="s">
        <v>485</v>
      </c>
      <c r="G55" s="135" t="s">
        <v>486</v>
      </c>
      <c r="H55" s="135" t="s">
        <v>435</v>
      </c>
      <c r="I55" s="135" t="s">
        <v>455</v>
      </c>
      <c r="J55" s="135" t="s">
        <v>487</v>
      </c>
      <c r="K55" s="135" t="s">
        <v>161</v>
      </c>
      <c r="L55" s="135" t="s">
        <v>1</v>
      </c>
      <c r="M55" s="135" t="s">
        <v>1</v>
      </c>
      <c r="N55" s="135" t="s">
        <v>172</v>
      </c>
      <c r="O55" s="135" t="s">
        <v>488</v>
      </c>
      <c r="P55" s="135" t="s">
        <v>489</v>
      </c>
      <c r="Q55" s="135" t="s">
        <v>131</v>
      </c>
      <c r="R55" s="135" t="s">
        <v>490</v>
      </c>
      <c r="S55" s="135" t="s">
        <v>107</v>
      </c>
      <c r="T55" s="146" t="str">
        <f>IF(OR(ISNUMBER(SEARCH("FAIL",K55&amp;" "&amp;Q55)),ISNUMBER(SEARCH("CLEAN RETEST REQUIRED",K55&amp;" "&amp;Q55))),"Failed",IF(OR(ISNUMBER(SEARCH("NOT RUN",K55&amp;" "&amp;Q55)),ISNUMBER(SEARCH("NOT IMPLEMENTED",K55&amp;" "&amp;Q55))),"Not started",IF(OR(ISNUMBER(SEARCH("PARTIAL",K55&amp;" "&amp;Q55)),ISNUMBER(SEARCH("PENDING",K55&amp;" "&amp;Q55)),ISNUMBER(SEARCH("IN PROGRESS",K55&amp;" "&amp;Q55)),ISNUMBER(SEARCH("OPEN",K55&amp;" "&amp;Q55)),ISNUMBER(SEARCH("RETEST REQUIRED",K55&amp;" "&amp;Q55)),ISNUMBER(SEARCH("IMPLEMENTATION UPDATED",K55&amp;" "&amp;Q55)),ISNUMBER(SEARCH("REQUIRED EVERY SESSION",K55&amp;" "&amp;Q55))),"Pending",IF(OR(Q55="PASS",ISNUMBER(SEARCH("PASS",K55&amp;" "&amp;Q55))),"Done","Pending"))))</f>
        <v>Done</v>
      </c>
      <c r="U55" s="146" t="str">
        <f>IF(OR(C55="Admin optional",LEFT(A55,9)="OPERATOR-",LEFT(A55,8)="PAYMENT-",LEFT(A55,7)="DEPLOY-"),"External","Core")</f>
        <v>Core</v>
      </c>
    </row>
    <row r="56" customFormat="false" ht="15" hidden="false" customHeight="false" outlineLevel="0" collapsed="false">
      <c r="A56" s="135" t="s">
        <v>491</v>
      </c>
      <c r="B56" s="135" t="s">
        <v>257</v>
      </c>
      <c r="C56" s="256" t="s">
        <v>49</v>
      </c>
      <c r="D56" s="135" t="s">
        <v>492</v>
      </c>
      <c r="E56" s="135" t="s">
        <v>493</v>
      </c>
      <c r="F56" s="135" t="s">
        <v>4</v>
      </c>
      <c r="G56" s="135" t="s">
        <v>494</v>
      </c>
      <c r="H56" s="135" t="s">
        <v>4</v>
      </c>
      <c r="I56" s="135" t="s">
        <v>495</v>
      </c>
      <c r="J56" s="135" t="s">
        <v>496</v>
      </c>
      <c r="K56" s="135" t="s">
        <v>497</v>
      </c>
      <c r="L56" s="135" t="s">
        <v>1</v>
      </c>
      <c r="M56" s="135" t="s">
        <v>1</v>
      </c>
      <c r="N56" s="135" t="s">
        <v>498</v>
      </c>
      <c r="O56" s="135" t="s">
        <v>499</v>
      </c>
      <c r="P56" s="135" t="s">
        <v>500</v>
      </c>
      <c r="Q56" s="135" t="s">
        <v>131</v>
      </c>
      <c r="R56" s="135" t="s">
        <v>501</v>
      </c>
      <c r="S56" s="135" t="s">
        <v>290</v>
      </c>
      <c r="T56" s="146" t="str">
        <f>IF(OR(ISNUMBER(SEARCH("FAIL",K56&amp;" "&amp;Q56)),ISNUMBER(SEARCH("CLEAN RETEST REQUIRED",K56&amp;" "&amp;Q56))),"Failed",IF(OR(ISNUMBER(SEARCH("NOT RUN",K56&amp;" "&amp;Q56)),ISNUMBER(SEARCH("NOT IMPLEMENTED",K56&amp;" "&amp;Q56))),"Not started",IF(OR(ISNUMBER(SEARCH("PARTIAL",K56&amp;" "&amp;Q56)),ISNUMBER(SEARCH("PENDING",K56&amp;" "&amp;Q56)),ISNUMBER(SEARCH("IN PROGRESS",K56&amp;" "&amp;Q56)),ISNUMBER(SEARCH("OPEN",K56&amp;" "&amp;Q56)),ISNUMBER(SEARCH("RETEST REQUIRED",K56&amp;" "&amp;Q56)),ISNUMBER(SEARCH("IMPLEMENTATION UPDATED",K56&amp;" "&amp;Q56)),ISNUMBER(SEARCH("REQUIRED EVERY SESSION",K56&amp;" "&amp;Q56))),"Pending",IF(OR(Q56="PASS",ISNUMBER(SEARCH("PASS",K56&amp;" "&amp;Q56))),"Done","Pending"))))</f>
        <v>Done</v>
      </c>
      <c r="U56" s="146" t="str">
        <f>IF(OR(C56="Admin optional",LEFT(A56,9)="OPERATOR-",LEFT(A56,8)="PAYMENT-",LEFT(A56,7)="DEPLOY-"),"External","Core")</f>
        <v>Core</v>
      </c>
    </row>
    <row r="57" customFormat="false" ht="15" hidden="false" customHeight="false" outlineLevel="0" collapsed="false">
      <c r="A57" s="135" t="s">
        <v>502</v>
      </c>
      <c r="B57" s="135" t="s">
        <v>257</v>
      </c>
      <c r="C57" s="256" t="s">
        <v>49</v>
      </c>
      <c r="D57" s="135" t="s">
        <v>492</v>
      </c>
      <c r="E57" s="135" t="s">
        <v>503</v>
      </c>
      <c r="F57" s="135" t="s">
        <v>504</v>
      </c>
      <c r="G57" s="135" t="s">
        <v>505</v>
      </c>
      <c r="H57" s="135" t="s">
        <v>506</v>
      </c>
      <c r="I57" s="135" t="s">
        <v>507</v>
      </c>
      <c r="J57" s="135" t="s">
        <v>508</v>
      </c>
      <c r="K57" s="135" t="s">
        <v>161</v>
      </c>
      <c r="L57" s="135" t="s">
        <v>1</v>
      </c>
      <c r="M57" s="135" t="s">
        <v>1</v>
      </c>
      <c r="N57" s="135" t="s">
        <v>498</v>
      </c>
      <c r="O57" s="135" t="s">
        <v>509</v>
      </c>
      <c r="P57" s="135" t="s">
        <v>510</v>
      </c>
      <c r="Q57" s="135" t="s">
        <v>131</v>
      </c>
      <c r="R57" s="135" t="s">
        <v>511</v>
      </c>
      <c r="S57" s="135" t="s">
        <v>401</v>
      </c>
      <c r="T57" s="146" t="str">
        <f>IF(OR(ISNUMBER(SEARCH("FAIL",K57&amp;" "&amp;Q57)),ISNUMBER(SEARCH("CLEAN RETEST REQUIRED",K57&amp;" "&amp;Q57))),"Failed",IF(OR(ISNUMBER(SEARCH("NOT RUN",K57&amp;" "&amp;Q57)),ISNUMBER(SEARCH("NOT IMPLEMENTED",K57&amp;" "&amp;Q57))),"Not started",IF(OR(ISNUMBER(SEARCH("PARTIAL",K57&amp;" "&amp;Q57)),ISNUMBER(SEARCH("PENDING",K57&amp;" "&amp;Q57)),ISNUMBER(SEARCH("IN PROGRESS",K57&amp;" "&amp;Q57)),ISNUMBER(SEARCH("OPEN",K57&amp;" "&amp;Q57)),ISNUMBER(SEARCH("RETEST REQUIRED",K57&amp;" "&amp;Q57)),ISNUMBER(SEARCH("IMPLEMENTATION UPDATED",K57&amp;" "&amp;Q57)),ISNUMBER(SEARCH("REQUIRED EVERY SESSION",K57&amp;" "&amp;Q57))),"Pending",IF(OR(Q57="PASS",ISNUMBER(SEARCH("PASS",K57&amp;" "&amp;Q57))),"Done","Pending"))))</f>
        <v>Done</v>
      </c>
      <c r="U57" s="146" t="str">
        <f>IF(OR(C57="Admin optional",LEFT(A57,9)="OPERATOR-",LEFT(A57,8)="PAYMENT-",LEFT(A57,7)="DEPLOY-"),"External","Core")</f>
        <v>Core</v>
      </c>
    </row>
    <row r="58" customFormat="false" ht="15" hidden="false" customHeight="false" outlineLevel="0" collapsed="false">
      <c r="A58" s="135" t="s">
        <v>512</v>
      </c>
      <c r="B58" s="135" t="s">
        <v>257</v>
      </c>
      <c r="C58" s="256" t="s">
        <v>49</v>
      </c>
      <c r="D58" s="135" t="s">
        <v>513</v>
      </c>
      <c r="E58" s="135" t="s">
        <v>514</v>
      </c>
      <c r="F58" s="135" t="s">
        <v>4</v>
      </c>
      <c r="G58" s="135" t="s">
        <v>515</v>
      </c>
      <c r="H58" s="135" t="s">
        <v>4</v>
      </c>
      <c r="I58" s="135" t="s">
        <v>4</v>
      </c>
      <c r="J58" s="135" t="s">
        <v>516</v>
      </c>
      <c r="K58" s="135" t="s">
        <v>161</v>
      </c>
      <c r="L58" s="135" t="s">
        <v>1</v>
      </c>
      <c r="M58" s="135" t="s">
        <v>1</v>
      </c>
      <c r="N58" s="135" t="s">
        <v>498</v>
      </c>
      <c r="O58" s="135" t="s">
        <v>517</v>
      </c>
      <c r="P58" s="135" t="s">
        <v>518</v>
      </c>
      <c r="Q58" s="135" t="s">
        <v>131</v>
      </c>
      <c r="R58" s="135" t="s">
        <v>519</v>
      </c>
      <c r="S58" s="135" t="s">
        <v>358</v>
      </c>
      <c r="T58" s="146" t="str">
        <f>IF(OR(ISNUMBER(SEARCH("FAIL",K58&amp;" "&amp;Q58)),ISNUMBER(SEARCH("CLEAN RETEST REQUIRED",K58&amp;" "&amp;Q58))),"Failed",IF(OR(ISNUMBER(SEARCH("NOT RUN",K58&amp;" "&amp;Q58)),ISNUMBER(SEARCH("NOT IMPLEMENTED",K58&amp;" "&amp;Q58))),"Not started",IF(OR(ISNUMBER(SEARCH("PARTIAL",K58&amp;" "&amp;Q58)),ISNUMBER(SEARCH("PENDING",K58&amp;" "&amp;Q58)),ISNUMBER(SEARCH("IN PROGRESS",K58&amp;" "&amp;Q58)),ISNUMBER(SEARCH("OPEN",K58&amp;" "&amp;Q58)),ISNUMBER(SEARCH("RETEST REQUIRED",K58&amp;" "&amp;Q58)),ISNUMBER(SEARCH("IMPLEMENTATION UPDATED",K58&amp;" "&amp;Q58)),ISNUMBER(SEARCH("REQUIRED EVERY SESSION",K58&amp;" "&amp;Q58))),"Pending",IF(OR(Q58="PASS",ISNUMBER(SEARCH("PASS",K58&amp;" "&amp;Q58))),"Done","Pending"))))</f>
        <v>Done</v>
      </c>
      <c r="U58" s="146" t="str">
        <f>IF(OR(C58="Admin optional",LEFT(A58,9)="OPERATOR-",LEFT(A58,8)="PAYMENT-",LEFT(A58,7)="DEPLOY-"),"External","Core")</f>
        <v>Core</v>
      </c>
    </row>
    <row r="59" customFormat="false" ht="15" hidden="false" customHeight="false" outlineLevel="0" collapsed="false">
      <c r="A59" s="135" t="s">
        <v>520</v>
      </c>
      <c r="B59" s="135" t="s">
        <v>257</v>
      </c>
      <c r="C59" s="256" t="s">
        <v>49</v>
      </c>
      <c r="D59" s="135" t="s">
        <v>521</v>
      </c>
      <c r="E59" s="135" t="s">
        <v>522</v>
      </c>
      <c r="F59" s="135" t="s">
        <v>4</v>
      </c>
      <c r="G59" s="135" t="s">
        <v>523</v>
      </c>
      <c r="H59" s="135" t="s">
        <v>4</v>
      </c>
      <c r="I59" s="135" t="s">
        <v>4</v>
      </c>
      <c r="J59" s="135" t="s">
        <v>524</v>
      </c>
      <c r="K59" s="135" t="s">
        <v>265</v>
      </c>
      <c r="L59" s="135" t="s">
        <v>1</v>
      </c>
      <c r="M59" s="135" t="s">
        <v>1</v>
      </c>
      <c r="N59" s="135" t="s">
        <v>498</v>
      </c>
      <c r="O59" s="135" t="s">
        <v>525</v>
      </c>
      <c r="P59" s="135" t="s">
        <v>526</v>
      </c>
      <c r="Q59" s="135" t="s">
        <v>131</v>
      </c>
      <c r="R59" s="135" t="s">
        <v>527</v>
      </c>
      <c r="S59" s="135" t="s">
        <v>324</v>
      </c>
      <c r="T59" s="146" t="str">
        <f>IF(OR(ISNUMBER(SEARCH("FAIL",K59&amp;" "&amp;Q59)),ISNUMBER(SEARCH("CLEAN RETEST REQUIRED",K59&amp;" "&amp;Q59))),"Failed",IF(OR(ISNUMBER(SEARCH("NOT RUN",K59&amp;" "&amp;Q59)),ISNUMBER(SEARCH("NOT IMPLEMENTED",K59&amp;" "&amp;Q59))),"Not started",IF(OR(ISNUMBER(SEARCH("PARTIAL",K59&amp;" "&amp;Q59)),ISNUMBER(SEARCH("PENDING",K59&amp;" "&amp;Q59)),ISNUMBER(SEARCH("IN PROGRESS",K59&amp;" "&amp;Q59)),ISNUMBER(SEARCH("OPEN",K59&amp;" "&amp;Q59)),ISNUMBER(SEARCH("RETEST REQUIRED",K59&amp;" "&amp;Q59)),ISNUMBER(SEARCH("IMPLEMENTATION UPDATED",K59&amp;" "&amp;Q59)),ISNUMBER(SEARCH("REQUIRED EVERY SESSION",K59&amp;" "&amp;Q59))),"Pending",IF(OR(Q59="PASS",ISNUMBER(SEARCH("PASS",K59&amp;" "&amp;Q59))),"Done","Pending"))))</f>
        <v>Done</v>
      </c>
      <c r="U59" s="146" t="str">
        <f>IF(OR(C59="Admin optional",LEFT(A59,9)="OPERATOR-",LEFT(A59,8)="PAYMENT-",LEFT(A59,7)="DEPLOY-"),"External","Core")</f>
        <v>Core</v>
      </c>
    </row>
    <row r="60" customFormat="false" ht="15" hidden="false" customHeight="false" outlineLevel="0" collapsed="false">
      <c r="A60" s="135" t="s">
        <v>528</v>
      </c>
      <c r="B60" s="135" t="s">
        <v>257</v>
      </c>
      <c r="C60" s="256" t="s">
        <v>49</v>
      </c>
      <c r="D60" s="135" t="s">
        <v>529</v>
      </c>
      <c r="E60" s="135" t="s">
        <v>530</v>
      </c>
      <c r="F60" s="135" t="s">
        <v>4</v>
      </c>
      <c r="G60" s="135" t="s">
        <v>531</v>
      </c>
      <c r="H60" s="135" t="s">
        <v>532</v>
      </c>
      <c r="I60" s="135" t="s">
        <v>4</v>
      </c>
      <c r="J60" s="135" t="s">
        <v>533</v>
      </c>
      <c r="K60" s="135" t="s">
        <v>131</v>
      </c>
      <c r="L60" s="135" t="s">
        <v>1</v>
      </c>
      <c r="M60" s="135" t="s">
        <v>1</v>
      </c>
      <c r="N60" s="135" t="s">
        <v>498</v>
      </c>
      <c r="O60" s="135" t="s">
        <v>534</v>
      </c>
      <c r="P60" s="135" t="s">
        <v>535</v>
      </c>
      <c r="Q60" s="135" t="s">
        <v>131</v>
      </c>
      <c r="R60" s="135" t="s">
        <v>536</v>
      </c>
      <c r="S60" s="135" t="s">
        <v>324</v>
      </c>
      <c r="T60" s="146" t="str">
        <f>IF(OR(ISNUMBER(SEARCH("FAIL",K60&amp;" "&amp;Q60)),ISNUMBER(SEARCH("CLEAN RETEST REQUIRED",K60&amp;" "&amp;Q60))),"Failed",IF(OR(ISNUMBER(SEARCH("NOT RUN",K60&amp;" "&amp;Q60)),ISNUMBER(SEARCH("NOT IMPLEMENTED",K60&amp;" "&amp;Q60))),"Not started",IF(OR(ISNUMBER(SEARCH("PARTIAL",K60&amp;" "&amp;Q60)),ISNUMBER(SEARCH("PENDING",K60&amp;" "&amp;Q60)),ISNUMBER(SEARCH("IN PROGRESS",K60&amp;" "&amp;Q60)),ISNUMBER(SEARCH("OPEN",K60&amp;" "&amp;Q60)),ISNUMBER(SEARCH("RETEST REQUIRED",K60&amp;" "&amp;Q60)),ISNUMBER(SEARCH("IMPLEMENTATION UPDATED",K60&amp;" "&amp;Q60)),ISNUMBER(SEARCH("REQUIRED EVERY SESSION",K60&amp;" "&amp;Q60))),"Pending",IF(OR(Q60="PASS",ISNUMBER(SEARCH("PASS",K60&amp;" "&amp;Q60))),"Done","Pending"))))</f>
        <v>Done</v>
      </c>
      <c r="U60" s="146" t="str">
        <f>IF(OR(C60="Admin optional",LEFT(A60,9)="OPERATOR-",LEFT(A60,8)="PAYMENT-",LEFT(A60,7)="DEPLOY-"),"External","Core")</f>
        <v>Core</v>
      </c>
    </row>
    <row r="61" customFormat="false" ht="15" hidden="false" customHeight="false" outlineLevel="0" collapsed="false">
      <c r="A61" s="135" t="s">
        <v>537</v>
      </c>
      <c r="B61" s="135" t="s">
        <v>257</v>
      </c>
      <c r="C61" s="256" t="s">
        <v>49</v>
      </c>
      <c r="D61" s="135" t="s">
        <v>529</v>
      </c>
      <c r="E61" s="135" t="s">
        <v>538</v>
      </c>
      <c r="F61" s="135" t="s">
        <v>4</v>
      </c>
      <c r="G61" s="135" t="s">
        <v>531</v>
      </c>
      <c r="H61" s="135" t="s">
        <v>4</v>
      </c>
      <c r="I61" s="135" t="s">
        <v>4</v>
      </c>
      <c r="J61" s="135" t="s">
        <v>539</v>
      </c>
      <c r="K61" s="135" t="s">
        <v>161</v>
      </c>
      <c r="L61" s="135" t="s">
        <v>1</v>
      </c>
      <c r="M61" s="135" t="s">
        <v>1</v>
      </c>
      <c r="N61" s="135" t="s">
        <v>498</v>
      </c>
      <c r="O61" s="135" t="s">
        <v>540</v>
      </c>
      <c r="P61" s="135" t="s">
        <v>541</v>
      </c>
      <c r="Q61" s="135" t="s">
        <v>131</v>
      </c>
      <c r="R61" s="135" t="s">
        <v>542</v>
      </c>
      <c r="S61" s="135" t="s">
        <v>543</v>
      </c>
      <c r="T61" s="146" t="str">
        <f>IF(OR(ISNUMBER(SEARCH("FAIL",K61&amp;" "&amp;Q61)),ISNUMBER(SEARCH("CLEAN RETEST REQUIRED",K61&amp;" "&amp;Q61))),"Failed",IF(OR(ISNUMBER(SEARCH("NOT RUN",K61&amp;" "&amp;Q61)),ISNUMBER(SEARCH("NOT IMPLEMENTED",K61&amp;" "&amp;Q61))),"Not started",IF(OR(ISNUMBER(SEARCH("PARTIAL",K61&amp;" "&amp;Q61)),ISNUMBER(SEARCH("PENDING",K61&amp;" "&amp;Q61)),ISNUMBER(SEARCH("IN PROGRESS",K61&amp;" "&amp;Q61)),ISNUMBER(SEARCH("OPEN",K61&amp;" "&amp;Q61)),ISNUMBER(SEARCH("RETEST REQUIRED",K61&amp;" "&amp;Q61)),ISNUMBER(SEARCH("IMPLEMENTATION UPDATED",K61&amp;" "&amp;Q61)),ISNUMBER(SEARCH("REQUIRED EVERY SESSION",K61&amp;" "&amp;Q61))),"Pending",IF(OR(Q61="PASS",ISNUMBER(SEARCH("PASS",K61&amp;" "&amp;Q61))),"Done","Pending"))))</f>
        <v>Done</v>
      </c>
      <c r="U61" s="146" t="str">
        <f>IF(OR(C61="Admin optional",LEFT(A61,9)="OPERATOR-",LEFT(A61,8)="PAYMENT-",LEFT(A61,7)="DEPLOY-"),"External","Core")</f>
        <v>Core</v>
      </c>
    </row>
    <row r="62" customFormat="false" ht="15" hidden="false" customHeight="false" outlineLevel="0" collapsed="false">
      <c r="A62" s="135" t="s">
        <v>544</v>
      </c>
      <c r="B62" s="135" t="s">
        <v>257</v>
      </c>
      <c r="C62" s="256" t="s">
        <v>49</v>
      </c>
      <c r="D62" s="135" t="s">
        <v>545</v>
      </c>
      <c r="E62" s="135" t="s">
        <v>546</v>
      </c>
      <c r="F62" s="135" t="s">
        <v>547</v>
      </c>
      <c r="G62" s="135" t="s">
        <v>548</v>
      </c>
      <c r="H62" s="135" t="s">
        <v>262</v>
      </c>
      <c r="I62" s="135" t="s">
        <v>549</v>
      </c>
      <c r="J62" s="135" t="s">
        <v>550</v>
      </c>
      <c r="K62" s="135" t="s">
        <v>161</v>
      </c>
      <c r="L62" s="135" t="s">
        <v>1</v>
      </c>
      <c r="M62" s="135" t="s">
        <v>1</v>
      </c>
      <c r="N62" s="135" t="s">
        <v>551</v>
      </c>
      <c r="O62" s="135" t="s">
        <v>552</v>
      </c>
      <c r="P62" s="135" t="s">
        <v>553</v>
      </c>
      <c r="Q62" s="135" t="s">
        <v>131</v>
      </c>
      <c r="R62" s="135" t="s">
        <v>554</v>
      </c>
      <c r="S62" s="135" t="s">
        <v>390</v>
      </c>
      <c r="T62" s="146" t="str">
        <f>IF(OR(ISNUMBER(SEARCH("FAIL",K62&amp;" "&amp;Q62)),ISNUMBER(SEARCH("CLEAN RETEST REQUIRED",K62&amp;" "&amp;Q62))),"Failed",IF(OR(ISNUMBER(SEARCH("NOT RUN",K62&amp;" "&amp;Q62)),ISNUMBER(SEARCH("NOT IMPLEMENTED",K62&amp;" "&amp;Q62))),"Not started",IF(OR(ISNUMBER(SEARCH("PARTIAL",K62&amp;" "&amp;Q62)),ISNUMBER(SEARCH("PENDING",K62&amp;" "&amp;Q62)),ISNUMBER(SEARCH("IN PROGRESS",K62&amp;" "&amp;Q62)),ISNUMBER(SEARCH("OPEN",K62&amp;" "&amp;Q62)),ISNUMBER(SEARCH("RETEST REQUIRED",K62&amp;" "&amp;Q62)),ISNUMBER(SEARCH("IMPLEMENTATION UPDATED",K62&amp;" "&amp;Q62)),ISNUMBER(SEARCH("REQUIRED EVERY SESSION",K62&amp;" "&amp;Q62))),"Pending",IF(OR(Q62="PASS",ISNUMBER(SEARCH("PASS",K62&amp;" "&amp;Q62))),"Done","Pending"))))</f>
        <v>Done</v>
      </c>
      <c r="U62" s="146" t="str">
        <f>IF(OR(C62="Admin optional",LEFT(A62,9)="OPERATOR-",LEFT(A62,8)="PAYMENT-",LEFT(A62,7)="DEPLOY-"),"External","Core")</f>
        <v>Core</v>
      </c>
    </row>
    <row r="63" customFormat="false" ht="15" hidden="false" customHeight="false" outlineLevel="0" collapsed="false">
      <c r="A63" s="135" t="s">
        <v>555</v>
      </c>
      <c r="B63" s="135" t="s">
        <v>257</v>
      </c>
      <c r="C63" s="256" t="s">
        <v>49</v>
      </c>
      <c r="D63" s="135" t="s">
        <v>545</v>
      </c>
      <c r="E63" s="135" t="s">
        <v>556</v>
      </c>
      <c r="F63" s="135" t="s">
        <v>4</v>
      </c>
      <c r="G63" s="135" t="s">
        <v>557</v>
      </c>
      <c r="H63" s="135" t="s">
        <v>558</v>
      </c>
      <c r="I63" s="135" t="s">
        <v>559</v>
      </c>
      <c r="J63" s="135" t="s">
        <v>560</v>
      </c>
      <c r="K63" s="135" t="s">
        <v>161</v>
      </c>
      <c r="L63" s="135" t="s">
        <v>1</v>
      </c>
      <c r="M63" s="135" t="s">
        <v>1</v>
      </c>
      <c r="N63" s="135" t="s">
        <v>551</v>
      </c>
      <c r="O63" s="135" t="s">
        <v>561</v>
      </c>
      <c r="P63" s="135" t="s">
        <v>562</v>
      </c>
      <c r="Q63" s="135" t="s">
        <v>131</v>
      </c>
      <c r="R63" s="135" t="s">
        <v>563</v>
      </c>
      <c r="S63" s="135" t="s">
        <v>107</v>
      </c>
      <c r="T63" s="146" t="str">
        <f>IF(OR(ISNUMBER(SEARCH("FAIL",K63&amp;" "&amp;Q63)),ISNUMBER(SEARCH("CLEAN RETEST REQUIRED",K63&amp;" "&amp;Q63))),"Failed",IF(OR(ISNUMBER(SEARCH("NOT RUN",K63&amp;" "&amp;Q63)),ISNUMBER(SEARCH("NOT IMPLEMENTED",K63&amp;" "&amp;Q63))),"Not started",IF(OR(ISNUMBER(SEARCH("PARTIAL",K63&amp;" "&amp;Q63)),ISNUMBER(SEARCH("PENDING",K63&amp;" "&amp;Q63)),ISNUMBER(SEARCH("IN PROGRESS",K63&amp;" "&amp;Q63)),ISNUMBER(SEARCH("OPEN",K63&amp;" "&amp;Q63)),ISNUMBER(SEARCH("RETEST REQUIRED",K63&amp;" "&amp;Q63)),ISNUMBER(SEARCH("IMPLEMENTATION UPDATED",K63&amp;" "&amp;Q63)),ISNUMBER(SEARCH("REQUIRED EVERY SESSION",K63&amp;" "&amp;Q63))),"Pending",IF(OR(Q63="PASS",ISNUMBER(SEARCH("PASS",K63&amp;" "&amp;Q63))),"Done","Pending"))))</f>
        <v>Done</v>
      </c>
      <c r="U63" s="146" t="str">
        <f>IF(OR(C63="Admin optional",LEFT(A63,9)="OPERATOR-",LEFT(A63,8)="PAYMENT-",LEFT(A63,7)="DEPLOY-"),"External","Core")</f>
        <v>Core</v>
      </c>
    </row>
    <row r="64" customFormat="false" ht="15" hidden="false" customHeight="false" outlineLevel="0" collapsed="false">
      <c r="A64" s="135" t="s">
        <v>564</v>
      </c>
      <c r="B64" s="135" t="s">
        <v>257</v>
      </c>
      <c r="C64" s="256" t="s">
        <v>49</v>
      </c>
      <c r="D64" s="135" t="s">
        <v>565</v>
      </c>
      <c r="E64" s="135" t="s">
        <v>566</v>
      </c>
      <c r="F64" s="135" t="s">
        <v>4</v>
      </c>
      <c r="G64" s="135" t="s">
        <v>567</v>
      </c>
      <c r="H64" s="135" t="s">
        <v>4</v>
      </c>
      <c r="I64" s="135" t="s">
        <v>568</v>
      </c>
      <c r="J64" s="135" t="s">
        <v>569</v>
      </c>
      <c r="K64" s="135" t="s">
        <v>161</v>
      </c>
      <c r="L64" s="135" t="s">
        <v>1</v>
      </c>
      <c r="M64" s="135" t="s">
        <v>1</v>
      </c>
      <c r="N64" s="135" t="s">
        <v>551</v>
      </c>
      <c r="O64" s="135" t="s">
        <v>570</v>
      </c>
      <c r="P64" s="135" t="s">
        <v>571</v>
      </c>
      <c r="Q64" s="135" t="s">
        <v>131</v>
      </c>
      <c r="R64" s="135" t="s">
        <v>572</v>
      </c>
      <c r="S64" s="135" t="s">
        <v>107</v>
      </c>
      <c r="T64" s="146" t="str">
        <f>IF(OR(ISNUMBER(SEARCH("FAIL",K64&amp;" "&amp;Q64)),ISNUMBER(SEARCH("CLEAN RETEST REQUIRED",K64&amp;" "&amp;Q64))),"Failed",IF(OR(ISNUMBER(SEARCH("NOT RUN",K64&amp;" "&amp;Q64)),ISNUMBER(SEARCH("NOT IMPLEMENTED",K64&amp;" "&amp;Q64))),"Not started",IF(OR(ISNUMBER(SEARCH("PARTIAL",K64&amp;" "&amp;Q64)),ISNUMBER(SEARCH("PENDING",K64&amp;" "&amp;Q64)),ISNUMBER(SEARCH("IN PROGRESS",K64&amp;" "&amp;Q64)),ISNUMBER(SEARCH("OPEN",K64&amp;" "&amp;Q64)),ISNUMBER(SEARCH("RETEST REQUIRED",K64&amp;" "&amp;Q64)),ISNUMBER(SEARCH("IMPLEMENTATION UPDATED",K64&amp;" "&amp;Q64)),ISNUMBER(SEARCH("REQUIRED EVERY SESSION",K64&amp;" "&amp;Q64))),"Pending",IF(OR(Q64="PASS",ISNUMBER(SEARCH("PASS",K64&amp;" "&amp;Q64))),"Done","Pending"))))</f>
        <v>Done</v>
      </c>
      <c r="U64" s="146" t="str">
        <f>IF(OR(C64="Admin optional",LEFT(A64,9)="OPERATOR-",LEFT(A64,8)="PAYMENT-",LEFT(A64,7)="DEPLOY-"),"External","Core")</f>
        <v>Core</v>
      </c>
    </row>
    <row r="65" customFormat="false" ht="15" hidden="false" customHeight="false" outlineLevel="0" collapsed="false">
      <c r="A65" s="135" t="s">
        <v>573</v>
      </c>
      <c r="B65" s="135" t="s">
        <v>257</v>
      </c>
      <c r="C65" s="256" t="s">
        <v>49</v>
      </c>
      <c r="D65" s="135" t="s">
        <v>545</v>
      </c>
      <c r="E65" s="135" t="s">
        <v>574</v>
      </c>
      <c r="F65" s="135" t="s">
        <v>575</v>
      </c>
      <c r="G65" s="135" t="s">
        <v>4</v>
      </c>
      <c r="H65" s="135" t="s">
        <v>4</v>
      </c>
      <c r="I65" s="135" t="s">
        <v>4</v>
      </c>
      <c r="J65" s="135" t="s">
        <v>576</v>
      </c>
      <c r="K65" s="135" t="s">
        <v>161</v>
      </c>
      <c r="L65" s="135" t="s">
        <v>1</v>
      </c>
      <c r="M65" s="135" t="s">
        <v>1</v>
      </c>
      <c r="N65" s="135" t="s">
        <v>551</v>
      </c>
      <c r="O65" s="135" t="s">
        <v>577</v>
      </c>
      <c r="P65" s="135" t="s">
        <v>578</v>
      </c>
      <c r="Q65" s="135" t="s">
        <v>131</v>
      </c>
      <c r="R65" s="135" t="s">
        <v>579</v>
      </c>
      <c r="S65" s="135" t="s">
        <v>133</v>
      </c>
      <c r="T65" s="146" t="str">
        <f>IF(OR(ISNUMBER(SEARCH("FAIL",K65&amp;" "&amp;Q65)),ISNUMBER(SEARCH("CLEAN RETEST REQUIRED",K65&amp;" "&amp;Q65))),"Failed",IF(OR(ISNUMBER(SEARCH("NOT RUN",K65&amp;" "&amp;Q65)),ISNUMBER(SEARCH("NOT IMPLEMENTED",K65&amp;" "&amp;Q65))),"Not started",IF(OR(ISNUMBER(SEARCH("PARTIAL",K65&amp;" "&amp;Q65)),ISNUMBER(SEARCH("PENDING",K65&amp;" "&amp;Q65)),ISNUMBER(SEARCH("IN PROGRESS",K65&amp;" "&amp;Q65)),ISNUMBER(SEARCH("OPEN",K65&amp;" "&amp;Q65)),ISNUMBER(SEARCH("RETEST REQUIRED",K65&amp;" "&amp;Q65)),ISNUMBER(SEARCH("IMPLEMENTATION UPDATED",K65&amp;" "&amp;Q65)),ISNUMBER(SEARCH("REQUIRED EVERY SESSION",K65&amp;" "&amp;Q65))),"Pending",IF(OR(Q65="PASS",ISNUMBER(SEARCH("PASS",K65&amp;" "&amp;Q65))),"Done","Pending"))))</f>
        <v>Done</v>
      </c>
      <c r="U65" s="146" t="str">
        <f>IF(OR(C65="Admin optional",LEFT(A65,9)="OPERATOR-",LEFT(A65,8)="PAYMENT-",LEFT(A65,7)="DEPLOY-"),"External","Core")</f>
        <v>Core</v>
      </c>
    </row>
    <row r="66" customFormat="false" ht="15" hidden="false" customHeight="false" outlineLevel="0" collapsed="false">
      <c r="A66" s="135" t="s">
        <v>580</v>
      </c>
      <c r="B66" s="135" t="s">
        <v>257</v>
      </c>
      <c r="C66" s="256" t="s">
        <v>49</v>
      </c>
      <c r="D66" s="135" t="s">
        <v>581</v>
      </c>
      <c r="E66" s="135" t="s">
        <v>582</v>
      </c>
      <c r="F66" s="135" t="s">
        <v>583</v>
      </c>
      <c r="G66" s="135" t="s">
        <v>584</v>
      </c>
      <c r="H66" s="135" t="s">
        <v>585</v>
      </c>
      <c r="I66" s="135" t="s">
        <v>586</v>
      </c>
      <c r="J66" s="135" t="s">
        <v>587</v>
      </c>
      <c r="K66" s="135" t="s">
        <v>161</v>
      </c>
      <c r="L66" s="135" t="s">
        <v>1</v>
      </c>
      <c r="M66" s="135" t="s">
        <v>1</v>
      </c>
      <c r="N66" s="135" t="s">
        <v>551</v>
      </c>
      <c r="O66" s="135" t="s">
        <v>588</v>
      </c>
      <c r="P66" s="135" t="s">
        <v>589</v>
      </c>
      <c r="Q66" s="135" t="s">
        <v>131</v>
      </c>
      <c r="R66" s="135" t="s">
        <v>590</v>
      </c>
      <c r="S66" s="135" t="s">
        <v>107</v>
      </c>
      <c r="T66" s="146" t="str">
        <f>IF(OR(ISNUMBER(SEARCH("FAIL",K66&amp;" "&amp;Q66)),ISNUMBER(SEARCH("CLEAN RETEST REQUIRED",K66&amp;" "&amp;Q66))),"Failed",IF(OR(ISNUMBER(SEARCH("NOT RUN",K66&amp;" "&amp;Q66)),ISNUMBER(SEARCH("NOT IMPLEMENTED",K66&amp;" "&amp;Q66))),"Not started",IF(OR(ISNUMBER(SEARCH("PARTIAL",K66&amp;" "&amp;Q66)),ISNUMBER(SEARCH("PENDING",K66&amp;" "&amp;Q66)),ISNUMBER(SEARCH("IN PROGRESS",K66&amp;" "&amp;Q66)),ISNUMBER(SEARCH("OPEN",K66&amp;" "&amp;Q66)),ISNUMBER(SEARCH("RETEST REQUIRED",K66&amp;" "&amp;Q66)),ISNUMBER(SEARCH("IMPLEMENTATION UPDATED",K66&amp;" "&amp;Q66)),ISNUMBER(SEARCH("REQUIRED EVERY SESSION",K66&amp;" "&amp;Q66))),"Pending",IF(OR(Q66="PASS",ISNUMBER(SEARCH("PASS",K66&amp;" "&amp;Q66))),"Done","Pending"))))</f>
        <v>Done</v>
      </c>
      <c r="U66" s="146" t="str">
        <f>IF(OR(C66="Admin optional",LEFT(A66,9)="OPERATOR-",LEFT(A66,8)="PAYMENT-",LEFT(A66,7)="DEPLOY-"),"External","Core")</f>
        <v>Core</v>
      </c>
    </row>
    <row r="67" customFormat="false" ht="180" hidden="false" customHeight="true" outlineLevel="0" collapsed="false">
      <c r="A67" s="135" t="s">
        <v>591</v>
      </c>
      <c r="B67" s="135" t="s">
        <v>257</v>
      </c>
      <c r="C67" s="256" t="s">
        <v>49</v>
      </c>
      <c r="D67" s="135" t="s">
        <v>592</v>
      </c>
      <c r="E67" s="135" t="s">
        <v>593</v>
      </c>
      <c r="F67" s="135" t="s">
        <v>594</v>
      </c>
      <c r="G67" s="135" t="s">
        <v>595</v>
      </c>
      <c r="H67" s="135" t="s">
        <v>596</v>
      </c>
      <c r="I67" s="135" t="s">
        <v>597</v>
      </c>
      <c r="J67" s="135" t="s">
        <v>598</v>
      </c>
      <c r="K67" s="135" t="s">
        <v>599</v>
      </c>
      <c r="L67" s="135" t="s">
        <v>1</v>
      </c>
      <c r="M67" s="135" t="s">
        <v>1</v>
      </c>
      <c r="N67" s="135" t="s">
        <v>600</v>
      </c>
      <c r="O67" s="135" t="s">
        <v>601</v>
      </c>
      <c r="P67" s="135" t="s">
        <v>602</v>
      </c>
      <c r="Q67" s="135" t="s">
        <v>131</v>
      </c>
      <c r="R67" s="135" t="s">
        <v>603</v>
      </c>
      <c r="S67" s="135" t="s">
        <v>107</v>
      </c>
      <c r="T67" s="146" t="str">
        <f>IF(OR(ISNUMBER(SEARCH("FAIL",K67&amp;" "&amp;Q67)),ISNUMBER(SEARCH("CLEAN RETEST REQUIRED",K67&amp;" "&amp;Q67))),"Failed",IF(OR(ISNUMBER(SEARCH("NOT RUN",K67&amp;" "&amp;Q67)),ISNUMBER(SEARCH("NOT IMPLEMENTED",K67&amp;" "&amp;Q67))),"Not started",IF(OR(ISNUMBER(SEARCH("PARTIAL",K67&amp;" "&amp;Q67)),ISNUMBER(SEARCH("PENDING",K67&amp;" "&amp;Q67)),ISNUMBER(SEARCH("IN PROGRESS",K67&amp;" "&amp;Q67)),ISNUMBER(SEARCH("OPEN",K67&amp;" "&amp;Q67)),ISNUMBER(SEARCH("RETEST REQUIRED",K67&amp;" "&amp;Q67)),ISNUMBER(SEARCH("IMPLEMENTATION UPDATED",K67&amp;" "&amp;Q67)),ISNUMBER(SEARCH("REQUIRED EVERY SESSION",K67&amp;" "&amp;Q67))),"Pending",IF(OR(Q67="PASS",ISNUMBER(SEARCH("PASS",K67&amp;" "&amp;Q67))),"Done","Pending"))))</f>
        <v>Done</v>
      </c>
      <c r="U67" s="146" t="str">
        <f>IF(OR(C67="Admin optional",LEFT(A67,9)="OPERATOR-",LEFT(A67,8)="PAYMENT-",LEFT(A67,7)="DEPLOY-"),"External","Core")</f>
        <v>Core</v>
      </c>
    </row>
    <row r="68" customFormat="false" ht="90" hidden="false" customHeight="true" outlineLevel="0" collapsed="false">
      <c r="A68" s="135" t="s">
        <v>604</v>
      </c>
      <c r="B68" s="135" t="s">
        <v>257</v>
      </c>
      <c r="C68" s="256" t="s">
        <v>49</v>
      </c>
      <c r="D68" s="135" t="s">
        <v>605</v>
      </c>
      <c r="E68" s="135" t="s">
        <v>606</v>
      </c>
      <c r="F68" s="135" t="s">
        <v>4</v>
      </c>
      <c r="G68" s="135" t="s">
        <v>4</v>
      </c>
      <c r="H68" s="135" t="s">
        <v>607</v>
      </c>
      <c r="I68" s="135" t="s">
        <v>608</v>
      </c>
      <c r="J68" s="135" t="s">
        <v>609</v>
      </c>
      <c r="K68" s="135" t="s">
        <v>161</v>
      </c>
      <c r="L68" s="135" t="s">
        <v>1</v>
      </c>
      <c r="M68" s="135" t="s">
        <v>1</v>
      </c>
      <c r="N68" s="135" t="s">
        <v>600</v>
      </c>
      <c r="O68" s="135" t="s">
        <v>610</v>
      </c>
      <c r="P68" s="135" t="s">
        <v>611</v>
      </c>
      <c r="Q68" s="135" t="s">
        <v>131</v>
      </c>
      <c r="R68" s="135" t="s">
        <v>612</v>
      </c>
      <c r="S68" s="135" t="s">
        <v>107</v>
      </c>
      <c r="T68" s="146" t="str">
        <f>IF(OR(ISNUMBER(SEARCH("FAIL",K68&amp;" "&amp;Q68)),ISNUMBER(SEARCH("CLEAN RETEST REQUIRED",K68&amp;" "&amp;Q68))),"Failed",IF(OR(ISNUMBER(SEARCH("NOT RUN",K68&amp;" "&amp;Q68)),ISNUMBER(SEARCH("NOT IMPLEMENTED",K68&amp;" "&amp;Q68))),"Not started",IF(OR(ISNUMBER(SEARCH("PARTIAL",K68&amp;" "&amp;Q68)),ISNUMBER(SEARCH("PENDING",K68&amp;" "&amp;Q68)),ISNUMBER(SEARCH("IN PROGRESS",K68&amp;" "&amp;Q68)),ISNUMBER(SEARCH("OPEN",K68&amp;" "&amp;Q68)),ISNUMBER(SEARCH("RETEST REQUIRED",K68&amp;" "&amp;Q68)),ISNUMBER(SEARCH("IMPLEMENTATION UPDATED",K68&amp;" "&amp;Q68)),ISNUMBER(SEARCH("REQUIRED EVERY SESSION",K68&amp;" "&amp;Q68))),"Pending",IF(OR(Q68="PASS",ISNUMBER(SEARCH("PASS",K68&amp;" "&amp;Q68))),"Done","Pending"))))</f>
        <v>Done</v>
      </c>
      <c r="U68" s="146" t="str">
        <f>IF(OR(C68="Admin optional",LEFT(A68,9)="OPERATOR-",LEFT(A68,8)="PAYMENT-",LEFT(A68,7)="DEPLOY-"),"External","Core")</f>
        <v>Core</v>
      </c>
    </row>
    <row r="69" customFormat="false" ht="180" hidden="false" customHeight="true" outlineLevel="0" collapsed="false">
      <c r="A69" s="135" t="s">
        <v>613</v>
      </c>
      <c r="B69" s="135" t="s">
        <v>257</v>
      </c>
      <c r="C69" s="256" t="s">
        <v>49</v>
      </c>
      <c r="D69" s="135" t="s">
        <v>614</v>
      </c>
      <c r="E69" s="135" t="s">
        <v>615</v>
      </c>
      <c r="F69" s="135" t="s">
        <v>616</v>
      </c>
      <c r="G69" s="135" t="s">
        <v>617</v>
      </c>
      <c r="H69" s="135" t="s">
        <v>618</v>
      </c>
      <c r="I69" s="135" t="s">
        <v>619</v>
      </c>
      <c r="J69" s="135" t="s">
        <v>620</v>
      </c>
      <c r="K69" s="135" t="s">
        <v>161</v>
      </c>
      <c r="L69" s="135" t="s">
        <v>1</v>
      </c>
      <c r="M69" s="135" t="s">
        <v>1</v>
      </c>
      <c r="N69" s="135" t="s">
        <v>600</v>
      </c>
      <c r="O69" s="135" t="s">
        <v>621</v>
      </c>
      <c r="P69" s="135" t="s">
        <v>622</v>
      </c>
      <c r="Q69" s="135" t="s">
        <v>131</v>
      </c>
      <c r="R69" s="135" t="s">
        <v>623</v>
      </c>
      <c r="S69" s="135" t="s">
        <v>107</v>
      </c>
      <c r="T69" s="146" t="str">
        <f>IF(OR(ISNUMBER(SEARCH("FAIL",K69&amp;" "&amp;Q69)),ISNUMBER(SEARCH("CLEAN RETEST REQUIRED",K69&amp;" "&amp;Q69))),"Failed",IF(OR(ISNUMBER(SEARCH("NOT RUN",K69&amp;" "&amp;Q69)),ISNUMBER(SEARCH("NOT IMPLEMENTED",K69&amp;" "&amp;Q69))),"Not started",IF(OR(ISNUMBER(SEARCH("PARTIAL",K69&amp;" "&amp;Q69)),ISNUMBER(SEARCH("PENDING",K69&amp;" "&amp;Q69)),ISNUMBER(SEARCH("IN PROGRESS",K69&amp;" "&amp;Q69)),ISNUMBER(SEARCH("OPEN",K69&amp;" "&amp;Q69)),ISNUMBER(SEARCH("RETEST REQUIRED",K69&amp;" "&amp;Q69)),ISNUMBER(SEARCH("IMPLEMENTATION UPDATED",K69&amp;" "&amp;Q69)),ISNUMBER(SEARCH("REQUIRED EVERY SESSION",K69&amp;" "&amp;Q69))),"Pending",IF(OR(Q69="PASS",ISNUMBER(SEARCH("PASS",K69&amp;" "&amp;Q69))),"Done","Pending"))))</f>
        <v>Done</v>
      </c>
      <c r="U69" s="146" t="str">
        <f>IF(OR(C69="Admin optional",LEFT(A69,9)="OPERATOR-",LEFT(A69,8)="PAYMENT-",LEFT(A69,7)="DEPLOY-"),"External","Core")</f>
        <v>Core</v>
      </c>
    </row>
    <row r="70" customFormat="false" ht="180" hidden="false" customHeight="true" outlineLevel="0" collapsed="false">
      <c r="A70" s="135" t="s">
        <v>624</v>
      </c>
      <c r="B70" s="135" t="s">
        <v>257</v>
      </c>
      <c r="C70" s="256" t="s">
        <v>49</v>
      </c>
      <c r="D70" s="135" t="s">
        <v>625</v>
      </c>
      <c r="E70" s="135" t="s">
        <v>626</v>
      </c>
      <c r="F70" s="135" t="s">
        <v>627</v>
      </c>
      <c r="G70" s="135" t="s">
        <v>628</v>
      </c>
      <c r="H70" s="135" t="s">
        <v>629</v>
      </c>
      <c r="I70" s="135" t="s">
        <v>630</v>
      </c>
      <c r="J70" s="135" t="s">
        <v>631</v>
      </c>
      <c r="K70" s="135" t="s">
        <v>161</v>
      </c>
      <c r="L70" s="135" t="s">
        <v>1</v>
      </c>
      <c r="M70" s="135" t="s">
        <v>1</v>
      </c>
      <c r="N70" s="135" t="s">
        <v>128</v>
      </c>
      <c r="O70" s="135" t="s">
        <v>632</v>
      </c>
      <c r="P70" s="135" t="s">
        <v>633</v>
      </c>
      <c r="Q70" s="135" t="s">
        <v>131</v>
      </c>
      <c r="R70" s="135" t="s">
        <v>634</v>
      </c>
      <c r="S70" s="135" t="s">
        <v>107</v>
      </c>
      <c r="T70" s="146" t="str">
        <f>IF(OR(ISNUMBER(SEARCH("FAIL",K70&amp;" "&amp;Q70)),ISNUMBER(SEARCH("CLEAN RETEST REQUIRED",K70&amp;" "&amp;Q70))),"Failed",IF(OR(ISNUMBER(SEARCH("NOT RUN",K70&amp;" "&amp;Q70)),ISNUMBER(SEARCH("NOT IMPLEMENTED",K70&amp;" "&amp;Q70))),"Not started",IF(OR(ISNUMBER(SEARCH("PARTIAL",K70&amp;" "&amp;Q70)),ISNUMBER(SEARCH("PENDING",K70&amp;" "&amp;Q70)),ISNUMBER(SEARCH("IN PROGRESS",K70&amp;" "&amp;Q70)),ISNUMBER(SEARCH("OPEN",K70&amp;" "&amp;Q70)),ISNUMBER(SEARCH("RETEST REQUIRED",K70&amp;" "&amp;Q70)),ISNUMBER(SEARCH("IMPLEMENTATION UPDATED",K70&amp;" "&amp;Q70)),ISNUMBER(SEARCH("REQUIRED EVERY SESSION",K70&amp;" "&amp;Q70))),"Pending",IF(OR(Q70="PASS",ISNUMBER(SEARCH("PASS",K70&amp;" "&amp;Q70))),"Done","Pending"))))</f>
        <v>Done</v>
      </c>
      <c r="U70" s="146" t="str">
        <f>IF(OR(C70="Admin optional",LEFT(A70,9)="OPERATOR-",LEFT(A70,8)="PAYMENT-",LEFT(A70,7)="DEPLOY-"),"External","Core")</f>
        <v>Core</v>
      </c>
    </row>
    <row r="71" customFormat="false" ht="135" hidden="false" customHeight="true" outlineLevel="0" collapsed="false">
      <c r="A71" s="135" t="s">
        <v>635</v>
      </c>
      <c r="B71" s="135" t="s">
        <v>257</v>
      </c>
      <c r="C71" s="256" t="s">
        <v>49</v>
      </c>
      <c r="D71" s="135" t="s">
        <v>636</v>
      </c>
      <c r="E71" s="135" t="s">
        <v>637</v>
      </c>
      <c r="F71" s="135" t="s">
        <v>4</v>
      </c>
      <c r="G71" s="135" t="s">
        <v>638</v>
      </c>
      <c r="H71" s="135" t="s">
        <v>4</v>
      </c>
      <c r="I71" s="135" t="s">
        <v>639</v>
      </c>
      <c r="J71" s="135" t="s">
        <v>640</v>
      </c>
      <c r="K71" s="135" t="s">
        <v>161</v>
      </c>
      <c r="L71" s="135" t="s">
        <v>1</v>
      </c>
      <c r="M71" s="135" t="s">
        <v>1</v>
      </c>
      <c r="N71" s="135" t="s">
        <v>128</v>
      </c>
      <c r="O71" s="135" t="s">
        <v>641</v>
      </c>
      <c r="P71" s="135" t="s">
        <v>642</v>
      </c>
      <c r="Q71" s="135" t="s">
        <v>131</v>
      </c>
      <c r="R71" s="135" t="s">
        <v>643</v>
      </c>
      <c r="S71" s="135" t="s">
        <v>107</v>
      </c>
      <c r="T71" s="146" t="str">
        <f>IF(OR(ISNUMBER(SEARCH("FAIL",K71&amp;" "&amp;Q71)),ISNUMBER(SEARCH("CLEAN RETEST REQUIRED",K71&amp;" "&amp;Q71))),"Failed",IF(OR(ISNUMBER(SEARCH("NOT RUN",K71&amp;" "&amp;Q71)),ISNUMBER(SEARCH("NOT IMPLEMENTED",K71&amp;" "&amp;Q71))),"Not started",IF(OR(ISNUMBER(SEARCH("PARTIAL",K71&amp;" "&amp;Q71)),ISNUMBER(SEARCH("PENDING",K71&amp;" "&amp;Q71)),ISNUMBER(SEARCH("IN PROGRESS",K71&amp;" "&amp;Q71)),ISNUMBER(SEARCH("OPEN",K71&amp;" "&amp;Q71)),ISNUMBER(SEARCH("RETEST REQUIRED",K71&amp;" "&amp;Q71)),ISNUMBER(SEARCH("IMPLEMENTATION UPDATED",K71&amp;" "&amp;Q71)),ISNUMBER(SEARCH("REQUIRED EVERY SESSION",K71&amp;" "&amp;Q71))),"Pending",IF(OR(Q71="PASS",ISNUMBER(SEARCH("PASS",K71&amp;" "&amp;Q71))),"Done","Pending"))))</f>
        <v>Done</v>
      </c>
      <c r="U71" s="146" t="str">
        <f>IF(OR(C71="Admin optional",LEFT(A71,9)="OPERATOR-",LEFT(A71,8)="PAYMENT-",LEFT(A71,7)="DEPLOY-"),"External","Core")</f>
        <v>Core</v>
      </c>
    </row>
    <row r="72" customFormat="false" ht="15" hidden="false" customHeight="false" outlineLevel="0" collapsed="false">
      <c r="A72" s="135" t="s">
        <v>644</v>
      </c>
      <c r="B72" s="135" t="s">
        <v>257</v>
      </c>
      <c r="C72" s="256" t="s">
        <v>49</v>
      </c>
      <c r="D72" s="135" t="s">
        <v>645</v>
      </c>
      <c r="E72" s="135" t="s">
        <v>646</v>
      </c>
      <c r="F72" s="135" t="s">
        <v>4</v>
      </c>
      <c r="G72" s="135" t="s">
        <v>647</v>
      </c>
      <c r="H72" s="135" t="s">
        <v>4</v>
      </c>
      <c r="I72" s="135" t="s">
        <v>648</v>
      </c>
      <c r="J72" s="135" t="s">
        <v>649</v>
      </c>
      <c r="K72" s="135" t="s">
        <v>161</v>
      </c>
      <c r="L72" s="135" t="s">
        <v>1</v>
      </c>
      <c r="M72" s="135" t="s">
        <v>1</v>
      </c>
      <c r="N72" s="135" t="s">
        <v>551</v>
      </c>
      <c r="O72" s="135" t="s">
        <v>650</v>
      </c>
      <c r="P72" s="135" t="s">
        <v>651</v>
      </c>
      <c r="Q72" s="135" t="s">
        <v>131</v>
      </c>
      <c r="R72" s="135" t="s">
        <v>652</v>
      </c>
      <c r="S72" s="135" t="s">
        <v>107</v>
      </c>
      <c r="T72" s="146" t="str">
        <f>IF(OR(ISNUMBER(SEARCH("FAIL",K72&amp;" "&amp;Q72)),ISNUMBER(SEARCH("CLEAN RETEST REQUIRED",K72&amp;" "&amp;Q72))),"Failed",IF(OR(ISNUMBER(SEARCH("NOT RUN",K72&amp;" "&amp;Q72)),ISNUMBER(SEARCH("NOT IMPLEMENTED",K72&amp;" "&amp;Q72))),"Not started",IF(OR(ISNUMBER(SEARCH("PARTIAL",K72&amp;" "&amp;Q72)),ISNUMBER(SEARCH("PENDING",K72&amp;" "&amp;Q72)),ISNUMBER(SEARCH("IN PROGRESS",K72&amp;" "&amp;Q72)),ISNUMBER(SEARCH("OPEN",K72&amp;" "&amp;Q72)),ISNUMBER(SEARCH("RETEST REQUIRED",K72&amp;" "&amp;Q72)),ISNUMBER(SEARCH("IMPLEMENTATION UPDATED",K72&amp;" "&amp;Q72)),ISNUMBER(SEARCH("REQUIRED EVERY SESSION",K72&amp;" "&amp;Q72))),"Pending",IF(OR(Q72="PASS",ISNUMBER(SEARCH("PASS",K72&amp;" "&amp;Q72))),"Done","Pending"))))</f>
        <v>Done</v>
      </c>
      <c r="U72" s="146" t="str">
        <f>IF(OR(C72="Admin optional",LEFT(A72,9)="OPERATOR-",LEFT(A72,8)="PAYMENT-",LEFT(A72,7)="DEPLOY-"),"External","Core")</f>
        <v>Core</v>
      </c>
    </row>
    <row r="73" customFormat="false" ht="15" hidden="false" customHeight="false" outlineLevel="0" collapsed="false">
      <c r="A73" s="135" t="s">
        <v>653</v>
      </c>
      <c r="B73" s="135" t="s">
        <v>654</v>
      </c>
      <c r="C73" s="256" t="s">
        <v>49</v>
      </c>
      <c r="D73" s="135" t="s">
        <v>655</v>
      </c>
      <c r="E73" s="135" t="s">
        <v>656</v>
      </c>
      <c r="F73" s="135" t="s">
        <v>657</v>
      </c>
      <c r="G73" s="135" t="s">
        <v>658</v>
      </c>
      <c r="H73" s="135" t="s">
        <v>659</v>
      </c>
      <c r="I73" s="135" t="s">
        <v>660</v>
      </c>
      <c r="J73" s="135" t="s">
        <v>661</v>
      </c>
      <c r="K73" s="135" t="s">
        <v>161</v>
      </c>
      <c r="L73" s="135" t="s">
        <v>1</v>
      </c>
      <c r="M73" s="135" t="s">
        <v>1</v>
      </c>
      <c r="N73" s="135" t="s">
        <v>128</v>
      </c>
      <c r="O73" s="135" t="s">
        <v>662</v>
      </c>
      <c r="P73" s="135" t="s">
        <v>663</v>
      </c>
      <c r="Q73" s="135" t="s">
        <v>131</v>
      </c>
      <c r="R73" s="135" t="s">
        <v>664</v>
      </c>
      <c r="S73" s="135" t="s">
        <v>107</v>
      </c>
      <c r="T73" s="146" t="str">
        <f>IF(OR(ISNUMBER(SEARCH("FAIL",K73&amp;" "&amp;Q73)),ISNUMBER(SEARCH("CLEAN RETEST REQUIRED",K73&amp;" "&amp;Q73))),"Failed",IF(OR(ISNUMBER(SEARCH("NOT RUN",K73&amp;" "&amp;Q73)),ISNUMBER(SEARCH("NOT IMPLEMENTED",K73&amp;" "&amp;Q73))),"Not started",IF(OR(ISNUMBER(SEARCH("PARTIAL",K73&amp;" "&amp;Q73)),ISNUMBER(SEARCH("PENDING",K73&amp;" "&amp;Q73)),ISNUMBER(SEARCH("IN PROGRESS",K73&amp;" "&amp;Q73)),ISNUMBER(SEARCH("OPEN",K73&amp;" "&amp;Q73)),ISNUMBER(SEARCH("RETEST REQUIRED",K73&amp;" "&amp;Q73)),ISNUMBER(SEARCH("IMPLEMENTATION UPDATED",K73&amp;" "&amp;Q73)),ISNUMBER(SEARCH("REQUIRED EVERY SESSION",K73&amp;" "&amp;Q73))),"Pending",IF(OR(Q73="PASS",ISNUMBER(SEARCH("PASS",K73&amp;" "&amp;Q73))),"Done","Pending"))))</f>
        <v>Done</v>
      </c>
      <c r="U73" s="146" t="str">
        <f>IF(OR(C73="Admin optional",LEFT(A73,9)="OPERATOR-",LEFT(A73,8)="PAYMENT-",LEFT(A73,7)="DEPLOY-"),"External","Core")</f>
        <v>Core</v>
      </c>
    </row>
    <row r="74" customFormat="false" ht="15" hidden="false" customHeight="false" outlineLevel="0" collapsed="false">
      <c r="A74" s="135" t="s">
        <v>665</v>
      </c>
      <c r="B74" s="135" t="s">
        <v>257</v>
      </c>
      <c r="C74" s="256" t="s">
        <v>49</v>
      </c>
      <c r="D74" s="135" t="s">
        <v>666</v>
      </c>
      <c r="E74" s="135" t="s">
        <v>667</v>
      </c>
      <c r="F74" s="135" t="s">
        <v>4</v>
      </c>
      <c r="G74" s="135" t="s">
        <v>668</v>
      </c>
      <c r="H74" s="135" t="s">
        <v>4</v>
      </c>
      <c r="I74" s="135" t="s">
        <v>669</v>
      </c>
      <c r="J74" s="135" t="s">
        <v>670</v>
      </c>
      <c r="K74" s="135" t="s">
        <v>161</v>
      </c>
      <c r="L74" s="135" t="s">
        <v>1</v>
      </c>
      <c r="M74" s="135" t="s">
        <v>1</v>
      </c>
      <c r="N74" s="135" t="s">
        <v>551</v>
      </c>
      <c r="O74" s="135" t="s">
        <v>671</v>
      </c>
      <c r="P74" s="135" t="s">
        <v>672</v>
      </c>
      <c r="Q74" s="135" t="s">
        <v>131</v>
      </c>
      <c r="R74" s="135" t="s">
        <v>673</v>
      </c>
      <c r="S74" s="135" t="s">
        <v>107</v>
      </c>
      <c r="T74" s="146" t="str">
        <f>IF(OR(ISNUMBER(SEARCH("FAIL",K74&amp;" "&amp;Q74)),ISNUMBER(SEARCH("CLEAN RETEST REQUIRED",K74&amp;" "&amp;Q74))),"Failed",IF(OR(ISNUMBER(SEARCH("NOT RUN",K74&amp;" "&amp;Q74)),ISNUMBER(SEARCH("NOT IMPLEMENTED",K74&amp;" "&amp;Q74))),"Not started",IF(OR(ISNUMBER(SEARCH("PARTIAL",K74&amp;" "&amp;Q74)),ISNUMBER(SEARCH("PENDING",K74&amp;" "&amp;Q74)),ISNUMBER(SEARCH("IN PROGRESS",K74&amp;" "&amp;Q74)),ISNUMBER(SEARCH("OPEN",K74&amp;" "&amp;Q74)),ISNUMBER(SEARCH("RETEST REQUIRED",K74&amp;" "&amp;Q74)),ISNUMBER(SEARCH("IMPLEMENTATION UPDATED",K74&amp;" "&amp;Q74)),ISNUMBER(SEARCH("REQUIRED EVERY SESSION",K74&amp;" "&amp;Q74))),"Pending",IF(OR(Q74="PASS",ISNUMBER(SEARCH("PASS",K74&amp;" "&amp;Q74))),"Done","Pending"))))</f>
        <v>Done</v>
      </c>
      <c r="U74" s="146" t="str">
        <f>IF(OR(C74="Admin optional",LEFT(A74,9)="OPERATOR-",LEFT(A74,8)="PAYMENT-",LEFT(A74,7)="DEPLOY-"),"External","Core")</f>
        <v>Core</v>
      </c>
    </row>
    <row r="75" customFormat="false" ht="15" hidden="false" customHeight="false" outlineLevel="0" collapsed="false">
      <c r="A75" s="135" t="s">
        <v>674</v>
      </c>
      <c r="B75" s="135" t="s">
        <v>654</v>
      </c>
      <c r="C75" s="256" t="s">
        <v>49</v>
      </c>
      <c r="D75" s="135" t="s">
        <v>675</v>
      </c>
      <c r="E75" s="135" t="s">
        <v>676</v>
      </c>
      <c r="F75" s="135" t="s">
        <v>4</v>
      </c>
      <c r="G75" s="135" t="s">
        <v>677</v>
      </c>
      <c r="H75" s="135" t="s">
        <v>4</v>
      </c>
      <c r="I75" s="135" t="s">
        <v>678</v>
      </c>
      <c r="J75" s="135" t="s">
        <v>679</v>
      </c>
      <c r="K75" s="135" t="s">
        <v>161</v>
      </c>
      <c r="L75" s="135" t="s">
        <v>1</v>
      </c>
      <c r="M75" s="135" t="s">
        <v>1</v>
      </c>
      <c r="N75" s="135" t="s">
        <v>551</v>
      </c>
      <c r="O75" s="135" t="s">
        <v>680</v>
      </c>
      <c r="P75" s="135" t="s">
        <v>681</v>
      </c>
      <c r="Q75" s="135" t="s">
        <v>131</v>
      </c>
      <c r="R75" s="135" t="s">
        <v>682</v>
      </c>
      <c r="S75" s="135" t="s">
        <v>107</v>
      </c>
      <c r="T75" s="146" t="str">
        <f>IF(OR(ISNUMBER(SEARCH("FAIL",K75&amp;" "&amp;Q75)),ISNUMBER(SEARCH("CLEAN RETEST REQUIRED",K75&amp;" "&amp;Q75))),"Failed",IF(OR(ISNUMBER(SEARCH("NOT RUN",K75&amp;" "&amp;Q75)),ISNUMBER(SEARCH("NOT IMPLEMENTED",K75&amp;" "&amp;Q75))),"Not started",IF(OR(ISNUMBER(SEARCH("PARTIAL",K75&amp;" "&amp;Q75)),ISNUMBER(SEARCH("PENDING",K75&amp;" "&amp;Q75)),ISNUMBER(SEARCH("IN PROGRESS",K75&amp;" "&amp;Q75)),ISNUMBER(SEARCH("OPEN",K75&amp;" "&amp;Q75)),ISNUMBER(SEARCH("RETEST REQUIRED",K75&amp;" "&amp;Q75)),ISNUMBER(SEARCH("IMPLEMENTATION UPDATED",K75&amp;" "&amp;Q75)),ISNUMBER(SEARCH("REQUIRED EVERY SESSION",K75&amp;" "&amp;Q75))),"Pending",IF(OR(Q75="PASS",ISNUMBER(SEARCH("PASS",K75&amp;" "&amp;Q75))),"Done","Pending"))))</f>
        <v>Done</v>
      </c>
      <c r="U75" s="146" t="str">
        <f>IF(OR(C75="Admin optional",LEFT(A75,9)="OPERATOR-",LEFT(A75,8)="PAYMENT-",LEFT(A75,7)="DEPLOY-"),"External","Core")</f>
        <v>Core</v>
      </c>
    </row>
    <row r="76" customFormat="false" ht="15" hidden="false" customHeight="false" outlineLevel="0" collapsed="false">
      <c r="A76" s="146" t="s">
        <v>683</v>
      </c>
      <c r="B76" s="146" t="s">
        <v>654</v>
      </c>
      <c r="C76" s="256" t="s">
        <v>49</v>
      </c>
      <c r="D76" s="146" t="s">
        <v>684</v>
      </c>
      <c r="E76" s="146" t="s">
        <v>685</v>
      </c>
      <c r="F76" s="146" t="s">
        <v>4</v>
      </c>
      <c r="G76" s="146" t="s">
        <v>686</v>
      </c>
      <c r="H76" s="146" t="s">
        <v>4</v>
      </c>
      <c r="I76" s="146" t="s">
        <v>687</v>
      </c>
      <c r="J76" s="146" t="s">
        <v>688</v>
      </c>
      <c r="K76" s="146" t="s">
        <v>131</v>
      </c>
      <c r="L76" s="146" t="s">
        <v>1</v>
      </c>
      <c r="M76" s="146" t="s">
        <v>1</v>
      </c>
      <c r="N76" s="146" t="s">
        <v>551</v>
      </c>
      <c r="O76" s="146" t="s">
        <v>689</v>
      </c>
      <c r="P76" s="146" t="s">
        <v>690</v>
      </c>
      <c r="Q76" s="146" t="s">
        <v>161</v>
      </c>
      <c r="R76" s="146" t="s">
        <v>691</v>
      </c>
      <c r="S76" s="146" t="s">
        <v>107</v>
      </c>
      <c r="T76" s="146" t="str">
        <f>IF(OR(ISNUMBER(SEARCH("FAIL",K76&amp;" "&amp;Q76)),ISNUMBER(SEARCH("CLEAN RETEST REQUIRED",K76&amp;" "&amp;Q76))),"Failed",IF(OR(ISNUMBER(SEARCH("NOT RUN",K76&amp;" "&amp;Q76)),ISNUMBER(SEARCH("NOT IMPLEMENTED",K76&amp;" "&amp;Q76))),"Not started",IF(OR(ISNUMBER(SEARCH("PARTIAL",K76&amp;" "&amp;Q76)),ISNUMBER(SEARCH("PENDING",K76&amp;" "&amp;Q76)),ISNUMBER(SEARCH("IN PROGRESS",K76&amp;" "&amp;Q76)),ISNUMBER(SEARCH("OPEN",K76&amp;" "&amp;Q76)),ISNUMBER(SEARCH("RETEST REQUIRED",K76&amp;" "&amp;Q76)),ISNUMBER(SEARCH("IMPLEMENTATION UPDATED",K76&amp;" "&amp;Q76)),ISNUMBER(SEARCH("REQUIRED EVERY SESSION",K76&amp;" "&amp;Q76))),"Pending",IF(OR(Q76="PASS",ISNUMBER(SEARCH("PASS",K76&amp;" "&amp;Q76))),"Done","Pending"))))</f>
        <v>Done</v>
      </c>
      <c r="U76" s="146" t="str">
        <f>IF(OR(C76="Admin optional",LEFT(A76,9)="OPERATOR-",LEFT(A76,8)="PAYMENT-",LEFT(A76,7)="DEPLOY-"),"External","Core")</f>
        <v>Core</v>
      </c>
    </row>
    <row r="77" customFormat="false" ht="15" hidden="false" customHeight="false" outlineLevel="0" collapsed="false">
      <c r="A77" s="138" t="s">
        <v>692</v>
      </c>
      <c r="B77" s="138" t="s">
        <v>257</v>
      </c>
      <c r="C77" s="256" t="s">
        <v>49</v>
      </c>
      <c r="D77" s="138" t="s">
        <v>693</v>
      </c>
      <c r="E77" s="138" t="s">
        <v>694</v>
      </c>
      <c r="F77" s="138" t="s">
        <v>695</v>
      </c>
      <c r="G77" s="138" t="s">
        <v>696</v>
      </c>
      <c r="H77" s="138" t="s">
        <v>585</v>
      </c>
      <c r="I77" s="138" t="s">
        <v>697</v>
      </c>
      <c r="J77" s="138" t="s">
        <v>698</v>
      </c>
      <c r="K77" s="138" t="s">
        <v>366</v>
      </c>
      <c r="L77" s="138" t="s">
        <v>1</v>
      </c>
      <c r="M77" s="138" t="s">
        <v>1</v>
      </c>
      <c r="N77" s="138" t="s">
        <v>1</v>
      </c>
      <c r="O77" s="138" t="s">
        <v>699</v>
      </c>
      <c r="P77" s="138" t="s">
        <v>700</v>
      </c>
      <c r="Q77" s="138" t="s">
        <v>1</v>
      </c>
      <c r="R77" s="138" t="s">
        <v>701</v>
      </c>
      <c r="S77" s="138" t="s">
        <v>324</v>
      </c>
      <c r="T77" s="146" t="str">
        <f>IF(OR(ISNUMBER(SEARCH("FAIL",K77&amp;" "&amp;Q77)),ISNUMBER(SEARCH("CLEAN RETEST REQUIRED",K77&amp;" "&amp;Q77))),"Failed",IF(OR(ISNUMBER(SEARCH("NOT RUN",K77&amp;" "&amp;Q77)),ISNUMBER(SEARCH("NOT IMPLEMENTED",K77&amp;" "&amp;Q77))),"Not started",IF(OR(ISNUMBER(SEARCH("PARTIAL",K77&amp;" "&amp;Q77)),ISNUMBER(SEARCH("PENDING",K77&amp;" "&amp;Q77)),ISNUMBER(SEARCH("IN PROGRESS",K77&amp;" "&amp;Q77)),ISNUMBER(SEARCH("OPEN",K77&amp;" "&amp;Q77)),ISNUMBER(SEARCH("RETEST REQUIRED",K77&amp;" "&amp;Q77)),ISNUMBER(SEARCH("IMPLEMENTATION UPDATED",K77&amp;" "&amp;Q77)),ISNUMBER(SEARCH("REQUIRED EVERY SESSION",K77&amp;" "&amp;Q77))),"Pending",IF(OR(Q77="PASS",ISNUMBER(SEARCH("PASS",K77&amp;" "&amp;Q77))),"Done","Pending"))))</f>
        <v>Not started</v>
      </c>
      <c r="U77" s="146" t="str">
        <f>IF(OR(C77="Admin optional",LEFT(A77,9)="OPERATOR-",LEFT(A77,8)="PAYMENT-",LEFT(A77,7)="DEPLOY-"),"External","Core")</f>
        <v>Core</v>
      </c>
    </row>
    <row r="78" customFormat="false" ht="15" hidden="false" customHeight="false" outlineLevel="0" collapsed="false">
      <c r="A78" s="138" t="s">
        <v>702</v>
      </c>
      <c r="B78" s="138" t="s">
        <v>257</v>
      </c>
      <c r="C78" s="256" t="s">
        <v>49</v>
      </c>
      <c r="D78" s="138" t="s">
        <v>703</v>
      </c>
      <c r="E78" s="138" t="s">
        <v>704</v>
      </c>
      <c r="F78" s="138" t="s">
        <v>4</v>
      </c>
      <c r="G78" s="138" t="s">
        <v>4</v>
      </c>
      <c r="H78" s="138" t="s">
        <v>4</v>
      </c>
      <c r="I78" s="138" t="s">
        <v>4</v>
      </c>
      <c r="J78" s="138" t="s">
        <v>705</v>
      </c>
      <c r="K78" s="138" t="s">
        <v>366</v>
      </c>
      <c r="L78" s="138" t="s">
        <v>1</v>
      </c>
      <c r="M78" s="138" t="s">
        <v>1</v>
      </c>
      <c r="N78" s="138" t="s">
        <v>1</v>
      </c>
      <c r="O78" s="138" t="s">
        <v>706</v>
      </c>
      <c r="P78" s="138" t="s">
        <v>707</v>
      </c>
      <c r="Q78" s="138" t="s">
        <v>1</v>
      </c>
      <c r="R78" s="138" t="s">
        <v>708</v>
      </c>
      <c r="S78" s="138" t="s">
        <v>401</v>
      </c>
      <c r="T78" s="146" t="str">
        <f>IF(OR(ISNUMBER(SEARCH("FAIL",K78&amp;" "&amp;Q78)),ISNUMBER(SEARCH("CLEAN RETEST REQUIRED",K78&amp;" "&amp;Q78))),"Failed",IF(OR(ISNUMBER(SEARCH("NOT RUN",K78&amp;" "&amp;Q78)),ISNUMBER(SEARCH("NOT IMPLEMENTED",K78&amp;" "&amp;Q78))),"Not started",IF(OR(ISNUMBER(SEARCH("PARTIAL",K78&amp;" "&amp;Q78)),ISNUMBER(SEARCH("PENDING",K78&amp;" "&amp;Q78)),ISNUMBER(SEARCH("IN PROGRESS",K78&amp;" "&amp;Q78)),ISNUMBER(SEARCH("OPEN",K78&amp;" "&amp;Q78)),ISNUMBER(SEARCH("RETEST REQUIRED",K78&amp;" "&amp;Q78)),ISNUMBER(SEARCH("IMPLEMENTATION UPDATED",K78&amp;" "&amp;Q78)),ISNUMBER(SEARCH("REQUIRED EVERY SESSION",K78&amp;" "&amp;Q78))),"Pending",IF(OR(Q78="PASS",ISNUMBER(SEARCH("PASS",K78&amp;" "&amp;Q78))),"Done","Pending"))))</f>
        <v>Not started</v>
      </c>
      <c r="U78" s="146" t="str">
        <f>IF(OR(C78="Admin optional",LEFT(A78,9)="OPERATOR-",LEFT(A78,8)="PAYMENT-",LEFT(A78,7)="DEPLOY-"),"External","Core")</f>
        <v>Core</v>
      </c>
    </row>
    <row r="79" customFormat="false" ht="15" hidden="false" customHeight="false" outlineLevel="0" collapsed="false">
      <c r="A79" s="138" t="s">
        <v>709</v>
      </c>
      <c r="B79" s="138" t="s">
        <v>257</v>
      </c>
      <c r="C79" s="256" t="s">
        <v>49</v>
      </c>
      <c r="D79" s="138" t="s">
        <v>710</v>
      </c>
      <c r="E79" s="138" t="s">
        <v>711</v>
      </c>
      <c r="F79" s="138" t="s">
        <v>712</v>
      </c>
      <c r="G79" s="138" t="s">
        <v>713</v>
      </c>
      <c r="H79" s="138" t="s">
        <v>262</v>
      </c>
      <c r="I79" s="138" t="s">
        <v>714</v>
      </c>
      <c r="J79" s="138" t="s">
        <v>715</v>
      </c>
      <c r="K79" s="138" t="s">
        <v>366</v>
      </c>
      <c r="L79" s="138" t="s">
        <v>1</v>
      </c>
      <c r="M79" s="138" t="s">
        <v>1</v>
      </c>
      <c r="N79" s="138" t="s">
        <v>1</v>
      </c>
      <c r="O79" s="138" t="s">
        <v>716</v>
      </c>
      <c r="P79" s="138" t="s">
        <v>717</v>
      </c>
      <c r="Q79" s="138" t="s">
        <v>1</v>
      </c>
      <c r="R79" s="138" t="s">
        <v>718</v>
      </c>
      <c r="S79" s="138" t="s">
        <v>133</v>
      </c>
      <c r="T79" s="146" t="str">
        <f>IF(OR(ISNUMBER(SEARCH("FAIL",K79&amp;" "&amp;Q79)),ISNUMBER(SEARCH("CLEAN RETEST REQUIRED",K79&amp;" "&amp;Q79))),"Failed",IF(OR(ISNUMBER(SEARCH("NOT RUN",K79&amp;" "&amp;Q79)),ISNUMBER(SEARCH("NOT IMPLEMENTED",K79&amp;" "&amp;Q79))),"Not started",IF(OR(ISNUMBER(SEARCH("PARTIAL",K79&amp;" "&amp;Q79)),ISNUMBER(SEARCH("PENDING",K79&amp;" "&amp;Q79)),ISNUMBER(SEARCH("IN PROGRESS",K79&amp;" "&amp;Q79)),ISNUMBER(SEARCH("OPEN",K79&amp;" "&amp;Q79)),ISNUMBER(SEARCH("RETEST REQUIRED",K79&amp;" "&amp;Q79)),ISNUMBER(SEARCH("IMPLEMENTATION UPDATED",K79&amp;" "&amp;Q79)),ISNUMBER(SEARCH("REQUIRED EVERY SESSION",K79&amp;" "&amp;Q79))),"Pending",IF(OR(Q79="PASS",ISNUMBER(SEARCH("PASS",K79&amp;" "&amp;Q79))),"Done","Pending"))))</f>
        <v>Not started</v>
      </c>
      <c r="U79" s="146" t="str">
        <f>IF(OR(C79="Admin optional",LEFT(A79,9)="OPERATOR-",LEFT(A79,8)="PAYMENT-",LEFT(A79,7)="DEPLOY-"),"External","Core")</f>
        <v>Core</v>
      </c>
    </row>
    <row r="80" customFormat="false" ht="15" hidden="false" customHeight="false" outlineLevel="0" collapsed="false">
      <c r="A80" s="138" t="s">
        <v>719</v>
      </c>
      <c r="B80" s="138" t="s">
        <v>257</v>
      </c>
      <c r="C80" s="256" t="s">
        <v>49</v>
      </c>
      <c r="D80" s="138" t="s">
        <v>720</v>
      </c>
      <c r="E80" s="138" t="s">
        <v>721</v>
      </c>
      <c r="F80" s="138" t="s">
        <v>722</v>
      </c>
      <c r="G80" s="138" t="s">
        <v>723</v>
      </c>
      <c r="H80" s="138" t="s">
        <v>262</v>
      </c>
      <c r="I80" s="138" t="s">
        <v>724</v>
      </c>
      <c r="J80" s="138" t="s">
        <v>725</v>
      </c>
      <c r="K80" s="138" t="s">
        <v>366</v>
      </c>
      <c r="L80" s="138" t="s">
        <v>1</v>
      </c>
      <c r="M80" s="138" t="s">
        <v>1</v>
      </c>
      <c r="N80" s="138" t="s">
        <v>1</v>
      </c>
      <c r="O80" s="138" t="s">
        <v>726</v>
      </c>
      <c r="P80" s="138" t="s">
        <v>727</v>
      </c>
      <c r="Q80" s="138" t="s">
        <v>1</v>
      </c>
      <c r="R80" s="138" t="s">
        <v>728</v>
      </c>
      <c r="S80" s="138" t="s">
        <v>133</v>
      </c>
      <c r="T80" s="146" t="str">
        <f>IF(OR(ISNUMBER(SEARCH("FAIL",K80&amp;" "&amp;Q80)),ISNUMBER(SEARCH("CLEAN RETEST REQUIRED",K80&amp;" "&amp;Q80))),"Failed",IF(OR(ISNUMBER(SEARCH("NOT RUN",K80&amp;" "&amp;Q80)),ISNUMBER(SEARCH("NOT IMPLEMENTED",K80&amp;" "&amp;Q80))),"Not started",IF(OR(ISNUMBER(SEARCH("PARTIAL",K80&amp;" "&amp;Q80)),ISNUMBER(SEARCH("PENDING",K80&amp;" "&amp;Q80)),ISNUMBER(SEARCH("IN PROGRESS",K80&amp;" "&amp;Q80)),ISNUMBER(SEARCH("OPEN",K80&amp;" "&amp;Q80)),ISNUMBER(SEARCH("RETEST REQUIRED",K80&amp;" "&amp;Q80)),ISNUMBER(SEARCH("IMPLEMENTATION UPDATED",K80&amp;" "&amp;Q80)),ISNUMBER(SEARCH("REQUIRED EVERY SESSION",K80&amp;" "&amp;Q80))),"Pending",IF(OR(Q80="PASS",ISNUMBER(SEARCH("PASS",K80&amp;" "&amp;Q80))),"Done","Pending"))))</f>
        <v>Not started</v>
      </c>
      <c r="U80" s="146" t="str">
        <f>IF(OR(C80="Admin optional",LEFT(A80,9)="OPERATOR-",LEFT(A80,8)="PAYMENT-",LEFT(A80,7)="DEPLOY-"),"External","Core")</f>
        <v>Core</v>
      </c>
    </row>
    <row r="81" customFormat="false" ht="15" hidden="false" customHeight="false" outlineLevel="0" collapsed="false">
      <c r="A81" s="135" t="s">
        <v>729</v>
      </c>
      <c r="B81" s="135" t="s">
        <v>730</v>
      </c>
      <c r="C81" s="256" t="s">
        <v>49</v>
      </c>
      <c r="D81" s="135" t="s">
        <v>258</v>
      </c>
      <c r="E81" s="135" t="s">
        <v>731</v>
      </c>
      <c r="F81" s="135" t="s">
        <v>4</v>
      </c>
      <c r="G81" s="135" t="s">
        <v>4</v>
      </c>
      <c r="H81" s="135" t="s">
        <v>4</v>
      </c>
      <c r="I81" s="135" t="s">
        <v>4</v>
      </c>
      <c r="J81" s="135" t="s">
        <v>732</v>
      </c>
      <c r="K81" s="135" t="s">
        <v>733</v>
      </c>
      <c r="L81" s="135" t="s">
        <v>1</v>
      </c>
      <c r="M81" s="135" t="s">
        <v>1</v>
      </c>
      <c r="N81" s="135" t="s">
        <v>498</v>
      </c>
      <c r="O81" s="135" t="s">
        <v>734</v>
      </c>
      <c r="P81" s="135" t="s">
        <v>735</v>
      </c>
      <c r="Q81" s="135" t="s">
        <v>131</v>
      </c>
      <c r="R81" s="135" t="s">
        <v>736</v>
      </c>
      <c r="S81" s="135" t="s">
        <v>401</v>
      </c>
      <c r="T81" s="146" t="str">
        <f>IF(OR(ISNUMBER(SEARCH("FAIL",K81&amp;" "&amp;Q81)),ISNUMBER(SEARCH("CLEAN RETEST REQUIRED",K81&amp;" "&amp;Q81))),"Failed",IF(OR(ISNUMBER(SEARCH("NOT RUN",K81&amp;" "&amp;Q81)),ISNUMBER(SEARCH("NOT IMPLEMENTED",K81&amp;" "&amp;Q81))),"Not started",IF(OR(ISNUMBER(SEARCH("PARTIAL",K81&amp;" "&amp;Q81)),ISNUMBER(SEARCH("PENDING",K81&amp;" "&amp;Q81)),ISNUMBER(SEARCH("IN PROGRESS",K81&amp;" "&amp;Q81)),ISNUMBER(SEARCH("OPEN",K81&amp;" "&amp;Q81)),ISNUMBER(SEARCH("RETEST REQUIRED",K81&amp;" "&amp;Q81)),ISNUMBER(SEARCH("IMPLEMENTATION UPDATED",K81&amp;" "&amp;Q81)),ISNUMBER(SEARCH("REQUIRED EVERY SESSION",K81&amp;" "&amp;Q81))),"Pending",IF(OR(Q81="PASS",ISNUMBER(SEARCH("PASS",K81&amp;" "&amp;Q81))),"Done","Pending"))))</f>
        <v>Done</v>
      </c>
      <c r="U81" s="146" t="str">
        <f>IF(OR(C81="Admin optional",LEFT(A81,9)="OPERATOR-",LEFT(A81,8)="PAYMENT-",LEFT(A81,7)="DEPLOY-"),"External","Core")</f>
        <v>Core</v>
      </c>
    </row>
    <row r="82" customFormat="false" ht="15" hidden="false" customHeight="false" outlineLevel="0" collapsed="false">
      <c r="A82" s="136" t="s">
        <v>737</v>
      </c>
      <c r="B82" s="136" t="s">
        <v>243</v>
      </c>
      <c r="C82" s="256" t="s">
        <v>49</v>
      </c>
      <c r="D82" s="136" t="s">
        <v>738</v>
      </c>
      <c r="E82" s="136" t="s">
        <v>739</v>
      </c>
      <c r="F82" s="136" t="s">
        <v>4</v>
      </c>
      <c r="G82" s="136" t="s">
        <v>740</v>
      </c>
      <c r="H82" s="136" t="s">
        <v>4</v>
      </c>
      <c r="I82" s="136" t="s">
        <v>741</v>
      </c>
      <c r="J82" s="136" t="s">
        <v>742</v>
      </c>
      <c r="K82" s="136" t="s">
        <v>743</v>
      </c>
      <c r="L82" s="136" t="s">
        <v>1</v>
      </c>
      <c r="M82" s="136" t="s">
        <v>1</v>
      </c>
      <c r="N82" s="136" t="s">
        <v>744</v>
      </c>
      <c r="O82" s="136" t="s">
        <v>745</v>
      </c>
      <c r="P82" s="136" t="s">
        <v>746</v>
      </c>
      <c r="Q82" s="136" t="s">
        <v>254</v>
      </c>
      <c r="R82" s="136" t="s">
        <v>747</v>
      </c>
      <c r="S82" s="136" t="s">
        <v>748</v>
      </c>
      <c r="T82" s="146" t="str">
        <f>IF(OR(ISNUMBER(SEARCH("FAIL",K82&amp;" "&amp;Q82)),ISNUMBER(SEARCH("CLEAN RETEST REQUIRED",K82&amp;" "&amp;Q82))),"Failed",IF(OR(ISNUMBER(SEARCH("NOT RUN",K82&amp;" "&amp;Q82)),ISNUMBER(SEARCH("NOT IMPLEMENTED",K82&amp;" "&amp;Q82))),"Not started",IF(OR(ISNUMBER(SEARCH("PARTIAL",K82&amp;" "&amp;Q82)),ISNUMBER(SEARCH("PENDING",K82&amp;" "&amp;Q82)),ISNUMBER(SEARCH("IN PROGRESS",K82&amp;" "&amp;Q82)),ISNUMBER(SEARCH("OPEN",K82&amp;" "&amp;Q82)),ISNUMBER(SEARCH("RETEST REQUIRED",K82&amp;" "&amp;Q82)),ISNUMBER(SEARCH("IMPLEMENTATION UPDATED",K82&amp;" "&amp;Q82)),ISNUMBER(SEARCH("REQUIRED EVERY SESSION",K82&amp;" "&amp;Q82))),"Pending",IF(OR(Q82="PASS",ISNUMBER(SEARCH("PASS",K82&amp;" "&amp;Q82))),"Done","Pending"))))</f>
        <v>Pending</v>
      </c>
      <c r="U82" s="146" t="str">
        <f>IF(OR(C82="Admin optional",LEFT(A82,9)="OPERATOR-",LEFT(A82,8)="PAYMENT-",LEFT(A82,7)="DEPLOY-"),"External","Core")</f>
        <v>Core</v>
      </c>
    </row>
    <row r="83" customFormat="false" ht="15" hidden="false" customHeight="false" outlineLevel="0" collapsed="false">
      <c r="A83" s="135" t="s">
        <v>749</v>
      </c>
      <c r="B83" s="135" t="s">
        <v>243</v>
      </c>
      <c r="C83" s="256" t="s">
        <v>49</v>
      </c>
      <c r="D83" s="135" t="s">
        <v>750</v>
      </c>
      <c r="E83" s="135" t="s">
        <v>751</v>
      </c>
      <c r="F83" s="135" t="s">
        <v>752</v>
      </c>
      <c r="G83" s="135" t="s">
        <v>753</v>
      </c>
      <c r="H83" s="135" t="s">
        <v>754</v>
      </c>
      <c r="I83" s="135" t="s">
        <v>8</v>
      </c>
      <c r="J83" s="135" t="s">
        <v>755</v>
      </c>
      <c r="K83" s="135" t="s">
        <v>265</v>
      </c>
      <c r="L83" s="135" t="s">
        <v>1</v>
      </c>
      <c r="M83" s="135" t="s">
        <v>1</v>
      </c>
      <c r="N83" s="135" t="s">
        <v>102</v>
      </c>
      <c r="O83" s="135" t="s">
        <v>756</v>
      </c>
      <c r="P83" s="135" t="s">
        <v>757</v>
      </c>
      <c r="Q83" s="135" t="s">
        <v>131</v>
      </c>
      <c r="R83" s="135" t="s">
        <v>758</v>
      </c>
      <c r="S83" s="135" t="s">
        <v>759</v>
      </c>
      <c r="T83" s="146" t="str">
        <f>IF(OR(ISNUMBER(SEARCH("FAIL",K83&amp;" "&amp;Q83)),ISNUMBER(SEARCH("CLEAN RETEST REQUIRED",K83&amp;" "&amp;Q83))),"Failed",IF(OR(ISNUMBER(SEARCH("NOT RUN",K83&amp;" "&amp;Q83)),ISNUMBER(SEARCH("NOT IMPLEMENTED",K83&amp;" "&amp;Q83))),"Not started",IF(OR(ISNUMBER(SEARCH("PARTIAL",K83&amp;" "&amp;Q83)),ISNUMBER(SEARCH("PENDING",K83&amp;" "&amp;Q83)),ISNUMBER(SEARCH("IN PROGRESS",K83&amp;" "&amp;Q83)),ISNUMBER(SEARCH("OPEN",K83&amp;" "&amp;Q83)),ISNUMBER(SEARCH("RETEST REQUIRED",K83&amp;" "&amp;Q83)),ISNUMBER(SEARCH("IMPLEMENTATION UPDATED",K83&amp;" "&amp;Q83)),ISNUMBER(SEARCH("REQUIRED EVERY SESSION",K83&amp;" "&amp;Q83))),"Pending",IF(OR(Q83="PASS",ISNUMBER(SEARCH("PASS",K83&amp;" "&amp;Q83))),"Done","Pending"))))</f>
        <v>Done</v>
      </c>
      <c r="U83" s="146" t="str">
        <f>IF(OR(C83="Admin optional",LEFT(A83,9)="OPERATOR-",LEFT(A83,8)="PAYMENT-",LEFT(A83,7)="DEPLOY-"),"External","Core")</f>
        <v>Core</v>
      </c>
    </row>
    <row r="84" customFormat="false" ht="15" hidden="false" customHeight="false" outlineLevel="0" collapsed="false">
      <c r="A84" s="136" t="s">
        <v>760</v>
      </c>
      <c r="B84" s="136" t="s">
        <v>243</v>
      </c>
      <c r="C84" s="256" t="s">
        <v>49</v>
      </c>
      <c r="D84" s="136" t="s">
        <v>761</v>
      </c>
      <c r="E84" s="136" t="s">
        <v>762</v>
      </c>
      <c r="F84" s="136" t="s">
        <v>4</v>
      </c>
      <c r="G84" s="136" t="s">
        <v>763</v>
      </c>
      <c r="H84" s="136" t="s">
        <v>4</v>
      </c>
      <c r="I84" s="136" t="s">
        <v>8</v>
      </c>
      <c r="J84" s="136" t="s">
        <v>764</v>
      </c>
      <c r="K84" s="136" t="s">
        <v>250</v>
      </c>
      <c r="L84" s="136" t="s">
        <v>1</v>
      </c>
      <c r="M84" s="136" t="s">
        <v>1</v>
      </c>
      <c r="N84" s="136" t="s">
        <v>251</v>
      </c>
      <c r="O84" s="136" t="s">
        <v>252</v>
      </c>
      <c r="P84" s="136" t="s">
        <v>765</v>
      </c>
      <c r="Q84" s="136" t="s">
        <v>254</v>
      </c>
      <c r="R84" s="136" t="s">
        <v>255</v>
      </c>
      <c r="S84" s="136" t="s">
        <v>766</v>
      </c>
      <c r="T84" s="146" t="str">
        <f>IF(OR(ISNUMBER(SEARCH("FAIL",K84&amp;" "&amp;Q84)),ISNUMBER(SEARCH("CLEAN RETEST REQUIRED",K84&amp;" "&amp;Q84))),"Failed",IF(OR(ISNUMBER(SEARCH("NOT RUN",K84&amp;" "&amp;Q84)),ISNUMBER(SEARCH("NOT IMPLEMENTED",K84&amp;" "&amp;Q84))),"Not started",IF(OR(ISNUMBER(SEARCH("PARTIAL",K84&amp;" "&amp;Q84)),ISNUMBER(SEARCH("PENDING",K84&amp;" "&amp;Q84)),ISNUMBER(SEARCH("IN PROGRESS",K84&amp;" "&amp;Q84)),ISNUMBER(SEARCH("OPEN",K84&amp;" "&amp;Q84)),ISNUMBER(SEARCH("RETEST REQUIRED",K84&amp;" "&amp;Q84)),ISNUMBER(SEARCH("IMPLEMENTATION UPDATED",K84&amp;" "&amp;Q84)),ISNUMBER(SEARCH("REQUIRED EVERY SESSION",K84&amp;" "&amp;Q84))),"Pending",IF(OR(Q84="PASS",ISNUMBER(SEARCH("PASS",K84&amp;" "&amp;Q84))),"Done","Pending"))))</f>
        <v>Pending</v>
      </c>
      <c r="U84" s="146" t="str">
        <f>IF(OR(C84="Admin optional",LEFT(A84,9)="OPERATOR-",LEFT(A84,8)="PAYMENT-",LEFT(A84,7)="DEPLOY-"),"External","Core")</f>
        <v>Core</v>
      </c>
    </row>
    <row r="85" customFormat="false" ht="15" hidden="false" customHeight="false" outlineLevel="0" collapsed="false">
      <c r="A85" s="136" t="s">
        <v>767</v>
      </c>
      <c r="B85" s="136" t="s">
        <v>243</v>
      </c>
      <c r="C85" s="256" t="s">
        <v>49</v>
      </c>
      <c r="D85" s="136" t="s">
        <v>768</v>
      </c>
      <c r="E85" s="136" t="s">
        <v>769</v>
      </c>
      <c r="F85" s="136" t="s">
        <v>4</v>
      </c>
      <c r="G85" s="136" t="s">
        <v>770</v>
      </c>
      <c r="H85" s="136" t="s">
        <v>4</v>
      </c>
      <c r="I85" s="136" t="s">
        <v>8</v>
      </c>
      <c r="J85" s="136" t="s">
        <v>771</v>
      </c>
      <c r="K85" s="136" t="s">
        <v>250</v>
      </c>
      <c r="L85" s="136" t="s">
        <v>1</v>
      </c>
      <c r="M85" s="136" t="s">
        <v>1</v>
      </c>
      <c r="N85" s="136" t="s">
        <v>251</v>
      </c>
      <c r="O85" s="136" t="s">
        <v>252</v>
      </c>
      <c r="P85" s="136" t="s">
        <v>772</v>
      </c>
      <c r="Q85" s="136" t="s">
        <v>254</v>
      </c>
      <c r="R85" s="136" t="s">
        <v>255</v>
      </c>
      <c r="S85" s="136" t="s">
        <v>748</v>
      </c>
      <c r="T85" s="146" t="str">
        <f>IF(OR(ISNUMBER(SEARCH("FAIL",K85&amp;" "&amp;Q85)),ISNUMBER(SEARCH("CLEAN RETEST REQUIRED",K85&amp;" "&amp;Q85))),"Failed",IF(OR(ISNUMBER(SEARCH("NOT RUN",K85&amp;" "&amp;Q85)),ISNUMBER(SEARCH("NOT IMPLEMENTED",K85&amp;" "&amp;Q85))),"Not started",IF(OR(ISNUMBER(SEARCH("PARTIAL",K85&amp;" "&amp;Q85)),ISNUMBER(SEARCH("PENDING",K85&amp;" "&amp;Q85)),ISNUMBER(SEARCH("IN PROGRESS",K85&amp;" "&amp;Q85)),ISNUMBER(SEARCH("OPEN",K85&amp;" "&amp;Q85)),ISNUMBER(SEARCH("RETEST REQUIRED",K85&amp;" "&amp;Q85)),ISNUMBER(SEARCH("IMPLEMENTATION UPDATED",K85&amp;" "&amp;Q85)),ISNUMBER(SEARCH("REQUIRED EVERY SESSION",K85&amp;" "&amp;Q85))),"Pending",IF(OR(Q85="PASS",ISNUMBER(SEARCH("PASS",K85&amp;" "&amp;Q85))),"Done","Pending"))))</f>
        <v>Pending</v>
      </c>
      <c r="U85" s="146" t="str">
        <f>IF(OR(C85="Admin optional",LEFT(A85,9)="OPERATOR-",LEFT(A85,8)="PAYMENT-",LEFT(A85,7)="DEPLOY-"),"External","Core")</f>
        <v>Core</v>
      </c>
    </row>
    <row r="86" customFormat="false" ht="15" hidden="false" customHeight="false" outlineLevel="0" collapsed="false">
      <c r="A86" s="135" t="s">
        <v>773</v>
      </c>
      <c r="B86" s="135" t="s">
        <v>257</v>
      </c>
      <c r="C86" s="257" t="s">
        <v>58</v>
      </c>
      <c r="D86" s="135" t="s">
        <v>58</v>
      </c>
      <c r="E86" s="135" t="s">
        <v>774</v>
      </c>
      <c r="F86" s="135" t="s">
        <v>775</v>
      </c>
      <c r="G86" s="135" t="s">
        <v>776</v>
      </c>
      <c r="H86" s="135" t="s">
        <v>585</v>
      </c>
      <c r="I86" s="135" t="s">
        <v>777</v>
      </c>
      <c r="J86" s="135" t="s">
        <v>778</v>
      </c>
      <c r="K86" s="135" t="s">
        <v>779</v>
      </c>
      <c r="L86" s="135" t="s">
        <v>1</v>
      </c>
      <c r="M86" s="135" t="s">
        <v>1</v>
      </c>
      <c r="N86" s="135" t="s">
        <v>182</v>
      </c>
      <c r="O86" s="135" t="s">
        <v>780</v>
      </c>
      <c r="P86" s="135" t="s">
        <v>781</v>
      </c>
      <c r="Q86" s="135" t="s">
        <v>131</v>
      </c>
      <c r="R86" s="135" t="s">
        <v>782</v>
      </c>
      <c r="S86" s="135" t="s">
        <v>290</v>
      </c>
      <c r="T86" s="146" t="str">
        <f>IF(OR(ISNUMBER(SEARCH("FAIL",K86&amp;" "&amp;Q86)),ISNUMBER(SEARCH("CLEAN RETEST REQUIRED",K86&amp;" "&amp;Q86))),"Failed",IF(OR(ISNUMBER(SEARCH("NOT RUN",K86&amp;" "&amp;Q86)),ISNUMBER(SEARCH("NOT IMPLEMENTED",K86&amp;" "&amp;Q86))),"Not started",IF(OR(ISNUMBER(SEARCH("PARTIAL",K86&amp;" "&amp;Q86)),ISNUMBER(SEARCH("PENDING",K86&amp;" "&amp;Q86)),ISNUMBER(SEARCH("IN PROGRESS",K86&amp;" "&amp;Q86)),ISNUMBER(SEARCH("OPEN",K86&amp;" "&amp;Q86)),ISNUMBER(SEARCH("RETEST REQUIRED",K86&amp;" "&amp;Q86)),ISNUMBER(SEARCH("IMPLEMENTATION UPDATED",K86&amp;" "&amp;Q86)),ISNUMBER(SEARCH("REQUIRED EVERY SESSION",K86&amp;" "&amp;Q86))),"Pending",IF(OR(Q86="PASS",ISNUMBER(SEARCH("PASS",K86&amp;" "&amp;Q86))),"Done","Pending"))))</f>
        <v>Done</v>
      </c>
      <c r="U86" s="146" t="str">
        <f>IF(OR(C86="Admin optional",LEFT(A86,9)="OPERATOR-",LEFT(A86,8)="PAYMENT-",LEFT(A86,7)="DEPLOY-"),"External","Core")</f>
        <v>Core</v>
      </c>
    </row>
    <row r="87" customFormat="false" ht="15" hidden="false" customHeight="false" outlineLevel="0" collapsed="false">
      <c r="A87" s="135" t="s">
        <v>783</v>
      </c>
      <c r="B87" s="135" t="s">
        <v>257</v>
      </c>
      <c r="C87" s="257" t="s">
        <v>58</v>
      </c>
      <c r="D87" s="135" t="s">
        <v>58</v>
      </c>
      <c r="E87" s="135" t="s">
        <v>784</v>
      </c>
      <c r="F87" s="135" t="s">
        <v>316</v>
      </c>
      <c r="G87" s="135" t="s">
        <v>785</v>
      </c>
      <c r="H87" s="135" t="s">
        <v>786</v>
      </c>
      <c r="I87" s="135" t="s">
        <v>787</v>
      </c>
      <c r="J87" s="135" t="s">
        <v>788</v>
      </c>
      <c r="K87" s="135" t="s">
        <v>161</v>
      </c>
      <c r="L87" s="135" t="s">
        <v>1</v>
      </c>
      <c r="M87" s="135" t="s">
        <v>1</v>
      </c>
      <c r="N87" s="135" t="s">
        <v>182</v>
      </c>
      <c r="O87" s="135" t="s">
        <v>789</v>
      </c>
      <c r="P87" s="135" t="s">
        <v>790</v>
      </c>
      <c r="Q87" s="135" t="s">
        <v>131</v>
      </c>
      <c r="R87" s="135" t="s">
        <v>791</v>
      </c>
      <c r="S87" s="135" t="s">
        <v>401</v>
      </c>
      <c r="T87" s="146" t="str">
        <f>IF(OR(ISNUMBER(SEARCH("FAIL",K87&amp;" "&amp;Q87)),ISNUMBER(SEARCH("CLEAN RETEST REQUIRED",K87&amp;" "&amp;Q87))),"Failed",IF(OR(ISNUMBER(SEARCH("NOT RUN",K87&amp;" "&amp;Q87)),ISNUMBER(SEARCH("NOT IMPLEMENTED",K87&amp;" "&amp;Q87))),"Not started",IF(OR(ISNUMBER(SEARCH("PARTIAL",K87&amp;" "&amp;Q87)),ISNUMBER(SEARCH("PENDING",K87&amp;" "&amp;Q87)),ISNUMBER(SEARCH("IN PROGRESS",K87&amp;" "&amp;Q87)),ISNUMBER(SEARCH("OPEN",K87&amp;" "&amp;Q87)),ISNUMBER(SEARCH("RETEST REQUIRED",K87&amp;" "&amp;Q87)),ISNUMBER(SEARCH("IMPLEMENTATION UPDATED",K87&amp;" "&amp;Q87)),ISNUMBER(SEARCH("REQUIRED EVERY SESSION",K87&amp;" "&amp;Q87))),"Pending",IF(OR(Q87="PASS",ISNUMBER(SEARCH("PASS",K87&amp;" "&amp;Q87))),"Done","Pending"))))</f>
        <v>Done</v>
      </c>
      <c r="U87" s="146" t="str">
        <f>IF(OR(C87="Admin optional",LEFT(A87,9)="OPERATOR-",LEFT(A87,8)="PAYMENT-",LEFT(A87,7)="DEPLOY-"),"External","Core")</f>
        <v>Core</v>
      </c>
    </row>
    <row r="88" customFormat="false" ht="15" hidden="false" customHeight="false" outlineLevel="0" collapsed="false">
      <c r="A88" s="135" t="s">
        <v>792</v>
      </c>
      <c r="B88" s="135" t="s">
        <v>257</v>
      </c>
      <c r="C88" s="257" t="s">
        <v>58</v>
      </c>
      <c r="D88" s="135" t="s">
        <v>58</v>
      </c>
      <c r="E88" s="135" t="s">
        <v>793</v>
      </c>
      <c r="F88" s="135" t="s">
        <v>794</v>
      </c>
      <c r="G88" s="135" t="s">
        <v>795</v>
      </c>
      <c r="H88" s="135" t="s">
        <v>796</v>
      </c>
      <c r="I88" s="135" t="s">
        <v>797</v>
      </c>
      <c r="J88" s="135" t="s">
        <v>798</v>
      </c>
      <c r="K88" s="135" t="s">
        <v>161</v>
      </c>
      <c r="L88" s="135" t="s">
        <v>1</v>
      </c>
      <c r="M88" s="135" t="s">
        <v>1</v>
      </c>
      <c r="N88" s="135" t="s">
        <v>182</v>
      </c>
      <c r="O88" s="135" t="s">
        <v>799</v>
      </c>
      <c r="P88" s="135" t="s">
        <v>800</v>
      </c>
      <c r="Q88" s="135" t="s">
        <v>131</v>
      </c>
      <c r="R88" s="135" t="s">
        <v>801</v>
      </c>
      <c r="S88" s="135" t="s">
        <v>133</v>
      </c>
      <c r="T88" s="146" t="str">
        <f>IF(OR(ISNUMBER(SEARCH("FAIL",K88&amp;" "&amp;Q88)),ISNUMBER(SEARCH("CLEAN RETEST REQUIRED",K88&amp;" "&amp;Q88))),"Failed",IF(OR(ISNUMBER(SEARCH("NOT RUN",K88&amp;" "&amp;Q88)),ISNUMBER(SEARCH("NOT IMPLEMENTED",K88&amp;" "&amp;Q88))),"Not started",IF(OR(ISNUMBER(SEARCH("PARTIAL",K88&amp;" "&amp;Q88)),ISNUMBER(SEARCH("PENDING",K88&amp;" "&amp;Q88)),ISNUMBER(SEARCH("IN PROGRESS",K88&amp;" "&amp;Q88)),ISNUMBER(SEARCH("OPEN",K88&amp;" "&amp;Q88)),ISNUMBER(SEARCH("RETEST REQUIRED",K88&amp;" "&amp;Q88)),ISNUMBER(SEARCH("IMPLEMENTATION UPDATED",K88&amp;" "&amp;Q88)),ISNUMBER(SEARCH("REQUIRED EVERY SESSION",K88&amp;" "&amp;Q88))),"Pending",IF(OR(Q88="PASS",ISNUMBER(SEARCH("PASS",K88&amp;" "&amp;Q88))),"Done","Pending"))))</f>
        <v>Done</v>
      </c>
      <c r="U88" s="146" t="str">
        <f>IF(OR(C88="Admin optional",LEFT(A88,9)="OPERATOR-",LEFT(A88,8)="PAYMENT-",LEFT(A88,7)="DEPLOY-"),"External","Core")</f>
        <v>Core</v>
      </c>
    </row>
    <row r="89" customFormat="false" ht="75" hidden="false" customHeight="true" outlineLevel="0" collapsed="false">
      <c r="A89" s="135" t="s">
        <v>802</v>
      </c>
      <c r="B89" s="135" t="s">
        <v>803</v>
      </c>
      <c r="C89" s="257" t="s">
        <v>58</v>
      </c>
      <c r="D89" s="135" t="s">
        <v>804</v>
      </c>
      <c r="E89" s="135" t="s">
        <v>805</v>
      </c>
      <c r="F89" s="135" t="s">
        <v>806</v>
      </c>
      <c r="G89" s="135" t="s">
        <v>807</v>
      </c>
      <c r="H89" s="135" t="s">
        <v>4</v>
      </c>
      <c r="I89" s="135" t="s">
        <v>808</v>
      </c>
      <c r="J89" s="135" t="s">
        <v>809</v>
      </c>
      <c r="K89" s="135" t="s">
        <v>161</v>
      </c>
      <c r="L89" s="135" t="s">
        <v>1</v>
      </c>
      <c r="M89" s="135" t="s">
        <v>1</v>
      </c>
      <c r="N89" s="135" t="s">
        <v>810</v>
      </c>
      <c r="O89" s="135" t="s">
        <v>811</v>
      </c>
      <c r="P89" s="135" t="s">
        <v>812</v>
      </c>
      <c r="Q89" s="135" t="s">
        <v>131</v>
      </c>
      <c r="R89" s="135" t="s">
        <v>813</v>
      </c>
      <c r="S89" s="135" t="s">
        <v>349</v>
      </c>
      <c r="T89" s="146" t="str">
        <f>IF(OR(ISNUMBER(SEARCH("FAIL",K89&amp;" "&amp;Q89)),ISNUMBER(SEARCH("CLEAN RETEST REQUIRED",K89&amp;" "&amp;Q89))),"Failed",IF(OR(ISNUMBER(SEARCH("NOT RUN",K89&amp;" "&amp;Q89)),ISNUMBER(SEARCH("NOT IMPLEMENTED",K89&amp;" "&amp;Q89))),"Not started",IF(OR(ISNUMBER(SEARCH("PARTIAL",K89&amp;" "&amp;Q89)),ISNUMBER(SEARCH("PENDING",K89&amp;" "&amp;Q89)),ISNUMBER(SEARCH("IN PROGRESS",K89&amp;" "&amp;Q89)),ISNUMBER(SEARCH("OPEN",K89&amp;" "&amp;Q89)),ISNUMBER(SEARCH("RETEST REQUIRED",K89&amp;" "&amp;Q89)),ISNUMBER(SEARCH("IMPLEMENTATION UPDATED",K89&amp;" "&amp;Q89)),ISNUMBER(SEARCH("REQUIRED EVERY SESSION",K89&amp;" "&amp;Q89))),"Pending",IF(OR(Q89="PASS",ISNUMBER(SEARCH("PASS",K89&amp;" "&amp;Q89))),"Done","Pending"))))</f>
        <v>Done</v>
      </c>
      <c r="U89" s="146" t="str">
        <f>IF(OR(C89="Admin optional",LEFT(A89,9)="OPERATOR-",LEFT(A89,8)="PAYMENT-",LEFT(A89,7)="DEPLOY-"),"External","Core")</f>
        <v>Core</v>
      </c>
    </row>
    <row r="90" customFormat="false" ht="15" hidden="false" customHeight="false" outlineLevel="0" collapsed="false">
      <c r="A90" s="135" t="s">
        <v>814</v>
      </c>
      <c r="B90" s="135" t="s">
        <v>803</v>
      </c>
      <c r="C90" s="257" t="s">
        <v>58</v>
      </c>
      <c r="D90" s="135" t="s">
        <v>815</v>
      </c>
      <c r="E90" s="135" t="s">
        <v>816</v>
      </c>
      <c r="F90" s="135" t="s">
        <v>817</v>
      </c>
      <c r="G90" s="135" t="s">
        <v>818</v>
      </c>
      <c r="H90" s="135" t="s">
        <v>4</v>
      </c>
      <c r="I90" s="135" t="s">
        <v>4</v>
      </c>
      <c r="J90" s="135" t="s">
        <v>819</v>
      </c>
      <c r="K90" s="135" t="s">
        <v>161</v>
      </c>
      <c r="L90" s="135" t="s">
        <v>1</v>
      </c>
      <c r="M90" s="135" t="s">
        <v>1</v>
      </c>
      <c r="N90" s="135" t="s">
        <v>810</v>
      </c>
      <c r="O90" s="135" t="s">
        <v>820</v>
      </c>
      <c r="P90" s="135" t="s">
        <v>821</v>
      </c>
      <c r="Q90" s="135" t="s">
        <v>131</v>
      </c>
      <c r="R90" s="135" t="s">
        <v>822</v>
      </c>
      <c r="S90" s="135" t="s">
        <v>133</v>
      </c>
      <c r="T90" s="146" t="str">
        <f>IF(OR(ISNUMBER(SEARCH("FAIL",K90&amp;" "&amp;Q90)),ISNUMBER(SEARCH("CLEAN RETEST REQUIRED",K90&amp;" "&amp;Q90))),"Failed",IF(OR(ISNUMBER(SEARCH("NOT RUN",K90&amp;" "&amp;Q90)),ISNUMBER(SEARCH("NOT IMPLEMENTED",K90&amp;" "&amp;Q90))),"Not started",IF(OR(ISNUMBER(SEARCH("PARTIAL",K90&amp;" "&amp;Q90)),ISNUMBER(SEARCH("PENDING",K90&amp;" "&amp;Q90)),ISNUMBER(SEARCH("IN PROGRESS",K90&amp;" "&amp;Q90)),ISNUMBER(SEARCH("OPEN",K90&amp;" "&amp;Q90)),ISNUMBER(SEARCH("RETEST REQUIRED",K90&amp;" "&amp;Q90)),ISNUMBER(SEARCH("IMPLEMENTATION UPDATED",K90&amp;" "&amp;Q90)),ISNUMBER(SEARCH("REQUIRED EVERY SESSION",K90&amp;" "&amp;Q90))),"Pending",IF(OR(Q90="PASS",ISNUMBER(SEARCH("PASS",K90&amp;" "&amp;Q90))),"Done","Pending"))))</f>
        <v>Done</v>
      </c>
      <c r="U90" s="146" t="str">
        <f>IF(OR(C90="Admin optional",LEFT(A90,9)="OPERATOR-",LEFT(A90,8)="PAYMENT-",LEFT(A90,7)="DEPLOY-"),"External","Core")</f>
        <v>Core</v>
      </c>
    </row>
    <row r="91" customFormat="false" ht="15" hidden="false" customHeight="false" outlineLevel="0" collapsed="false">
      <c r="A91" s="135" t="s">
        <v>823</v>
      </c>
      <c r="B91" s="135" t="s">
        <v>803</v>
      </c>
      <c r="C91" s="257" t="s">
        <v>58</v>
      </c>
      <c r="D91" s="135" t="s">
        <v>824</v>
      </c>
      <c r="E91" s="135" t="s">
        <v>825</v>
      </c>
      <c r="F91" s="135" t="s">
        <v>826</v>
      </c>
      <c r="G91" s="135" t="s">
        <v>827</v>
      </c>
      <c r="H91" s="135" t="s">
        <v>4</v>
      </c>
      <c r="I91" s="135" t="s">
        <v>4</v>
      </c>
      <c r="J91" s="135" t="s">
        <v>828</v>
      </c>
      <c r="K91" s="135" t="s">
        <v>161</v>
      </c>
      <c r="L91" s="135" t="s">
        <v>1</v>
      </c>
      <c r="M91" s="135" t="s">
        <v>1</v>
      </c>
      <c r="N91" s="135" t="s">
        <v>810</v>
      </c>
      <c r="O91" s="135" t="s">
        <v>829</v>
      </c>
      <c r="P91" s="135" t="s">
        <v>830</v>
      </c>
      <c r="Q91" s="135" t="s">
        <v>131</v>
      </c>
      <c r="R91" s="135" t="s">
        <v>831</v>
      </c>
      <c r="S91" s="135" t="s">
        <v>832</v>
      </c>
      <c r="T91" s="146" t="str">
        <f>IF(OR(ISNUMBER(SEARCH("FAIL",K91&amp;" "&amp;Q91)),ISNUMBER(SEARCH("CLEAN RETEST REQUIRED",K91&amp;" "&amp;Q91))),"Failed",IF(OR(ISNUMBER(SEARCH("NOT RUN",K91&amp;" "&amp;Q91)),ISNUMBER(SEARCH("NOT IMPLEMENTED",K91&amp;" "&amp;Q91))),"Not started",IF(OR(ISNUMBER(SEARCH("PARTIAL",K91&amp;" "&amp;Q91)),ISNUMBER(SEARCH("PENDING",K91&amp;" "&amp;Q91)),ISNUMBER(SEARCH("IN PROGRESS",K91&amp;" "&amp;Q91)),ISNUMBER(SEARCH("OPEN",K91&amp;" "&amp;Q91)),ISNUMBER(SEARCH("RETEST REQUIRED",K91&amp;" "&amp;Q91)),ISNUMBER(SEARCH("IMPLEMENTATION UPDATED",K91&amp;" "&amp;Q91)),ISNUMBER(SEARCH("REQUIRED EVERY SESSION",K91&amp;" "&amp;Q91))),"Pending",IF(OR(Q91="PASS",ISNUMBER(SEARCH("PASS",K91&amp;" "&amp;Q91))),"Done","Pending"))))</f>
        <v>Done</v>
      </c>
      <c r="U91" s="146" t="str">
        <f>IF(OR(C91="Admin optional",LEFT(A91,9)="OPERATOR-",LEFT(A91,8)="PAYMENT-",LEFT(A91,7)="DEPLOY-"),"External","Core")</f>
        <v>Core</v>
      </c>
    </row>
    <row r="92" customFormat="false" ht="15" hidden="false" customHeight="false" outlineLevel="0" collapsed="false">
      <c r="A92" s="135" t="s">
        <v>833</v>
      </c>
      <c r="B92" s="135" t="s">
        <v>803</v>
      </c>
      <c r="C92" s="257" t="s">
        <v>58</v>
      </c>
      <c r="D92" s="135" t="s">
        <v>834</v>
      </c>
      <c r="E92" s="135" t="s">
        <v>835</v>
      </c>
      <c r="F92" s="135" t="s">
        <v>836</v>
      </c>
      <c r="G92" s="135" t="s">
        <v>837</v>
      </c>
      <c r="H92" s="135" t="s">
        <v>4</v>
      </c>
      <c r="I92" s="135" t="s">
        <v>4</v>
      </c>
      <c r="J92" s="135" t="s">
        <v>838</v>
      </c>
      <c r="K92" s="135" t="s">
        <v>161</v>
      </c>
      <c r="L92" s="135" t="s">
        <v>4</v>
      </c>
      <c r="M92" s="135" t="s">
        <v>839</v>
      </c>
      <c r="N92" s="135" t="s">
        <v>840</v>
      </c>
      <c r="O92" s="135" t="s">
        <v>841</v>
      </c>
      <c r="P92" s="135" t="s">
        <v>842</v>
      </c>
      <c r="Q92" s="135" t="s">
        <v>131</v>
      </c>
      <c r="R92" s="135" t="s">
        <v>843</v>
      </c>
      <c r="S92" s="135" t="s">
        <v>107</v>
      </c>
      <c r="T92" s="146" t="str">
        <f>IF(OR(ISNUMBER(SEARCH("FAIL",K92&amp;" "&amp;Q92)),ISNUMBER(SEARCH("CLEAN RETEST REQUIRED",K92&amp;" "&amp;Q92))),"Failed",IF(OR(ISNUMBER(SEARCH("NOT RUN",K92&amp;" "&amp;Q92)),ISNUMBER(SEARCH("NOT IMPLEMENTED",K92&amp;" "&amp;Q92))),"Not started",IF(OR(ISNUMBER(SEARCH("PARTIAL",K92&amp;" "&amp;Q92)),ISNUMBER(SEARCH("PENDING",K92&amp;" "&amp;Q92)),ISNUMBER(SEARCH("IN PROGRESS",K92&amp;" "&amp;Q92)),ISNUMBER(SEARCH("OPEN",K92&amp;" "&amp;Q92)),ISNUMBER(SEARCH("RETEST REQUIRED",K92&amp;" "&amp;Q92)),ISNUMBER(SEARCH("IMPLEMENTATION UPDATED",K92&amp;" "&amp;Q92)),ISNUMBER(SEARCH("REQUIRED EVERY SESSION",K92&amp;" "&amp;Q92))),"Pending",IF(OR(Q92="PASS",ISNUMBER(SEARCH("PASS",K92&amp;" "&amp;Q92))),"Done","Pending"))))</f>
        <v>Done</v>
      </c>
      <c r="U92" s="146" t="str">
        <f>IF(OR(C92="Admin optional",LEFT(A92,9)="OPERATOR-",LEFT(A92,8)="PAYMENT-",LEFT(A92,7)="DEPLOY-"),"External","Core")</f>
        <v>Core</v>
      </c>
    </row>
    <row r="93" customFormat="false" ht="15" hidden="false" customHeight="false" outlineLevel="0" collapsed="false">
      <c r="A93" s="135" t="s">
        <v>844</v>
      </c>
      <c r="B93" s="135" t="s">
        <v>803</v>
      </c>
      <c r="C93" s="257" t="s">
        <v>58</v>
      </c>
      <c r="D93" s="135" t="s">
        <v>845</v>
      </c>
      <c r="E93" s="135" t="s">
        <v>846</v>
      </c>
      <c r="F93" s="135" t="s">
        <v>847</v>
      </c>
      <c r="G93" s="135" t="s">
        <v>848</v>
      </c>
      <c r="H93" s="135" t="s">
        <v>4</v>
      </c>
      <c r="I93" s="135" t="s">
        <v>849</v>
      </c>
      <c r="J93" s="135" t="s">
        <v>850</v>
      </c>
      <c r="K93" s="135" t="s">
        <v>161</v>
      </c>
      <c r="L93" s="135" t="s">
        <v>4</v>
      </c>
      <c r="M93" s="135" t="s">
        <v>839</v>
      </c>
      <c r="N93" s="135" t="s">
        <v>840</v>
      </c>
      <c r="O93" s="135" t="s">
        <v>851</v>
      </c>
      <c r="P93" s="135" t="s">
        <v>852</v>
      </c>
      <c r="Q93" s="135" t="s">
        <v>131</v>
      </c>
      <c r="R93" s="135" t="s">
        <v>853</v>
      </c>
      <c r="S93" s="135" t="s">
        <v>107</v>
      </c>
      <c r="T93" s="146" t="str">
        <f>IF(OR(ISNUMBER(SEARCH("FAIL",K93&amp;" "&amp;Q93)),ISNUMBER(SEARCH("CLEAN RETEST REQUIRED",K93&amp;" "&amp;Q93))),"Failed",IF(OR(ISNUMBER(SEARCH("NOT RUN",K93&amp;" "&amp;Q93)),ISNUMBER(SEARCH("NOT IMPLEMENTED",K93&amp;" "&amp;Q93))),"Not started",IF(OR(ISNUMBER(SEARCH("PARTIAL",K93&amp;" "&amp;Q93)),ISNUMBER(SEARCH("PENDING",K93&amp;" "&amp;Q93)),ISNUMBER(SEARCH("IN PROGRESS",K93&amp;" "&amp;Q93)),ISNUMBER(SEARCH("OPEN",K93&amp;" "&amp;Q93)),ISNUMBER(SEARCH("RETEST REQUIRED",K93&amp;" "&amp;Q93)),ISNUMBER(SEARCH("IMPLEMENTATION UPDATED",K93&amp;" "&amp;Q93)),ISNUMBER(SEARCH("REQUIRED EVERY SESSION",K93&amp;" "&amp;Q93))),"Pending",IF(OR(Q93="PASS",ISNUMBER(SEARCH("PASS",K93&amp;" "&amp;Q93))),"Done","Pending"))))</f>
        <v>Done</v>
      </c>
      <c r="U93" s="146" t="str">
        <f>IF(OR(C93="Admin optional",LEFT(A93,9)="OPERATOR-",LEFT(A93,8)="PAYMENT-",LEFT(A93,7)="DEPLOY-"),"External","Core")</f>
        <v>Core</v>
      </c>
    </row>
    <row r="94" customFormat="false" ht="15" hidden="false" customHeight="false" outlineLevel="0" collapsed="false">
      <c r="A94" s="135" t="s">
        <v>854</v>
      </c>
      <c r="B94" s="135" t="s">
        <v>803</v>
      </c>
      <c r="C94" s="257" t="s">
        <v>58</v>
      </c>
      <c r="D94" s="135" t="s">
        <v>855</v>
      </c>
      <c r="E94" s="135" t="s">
        <v>856</v>
      </c>
      <c r="F94" s="135" t="s">
        <v>4</v>
      </c>
      <c r="G94" s="135" t="s">
        <v>857</v>
      </c>
      <c r="H94" s="135" t="s">
        <v>4</v>
      </c>
      <c r="I94" s="135" t="s">
        <v>4</v>
      </c>
      <c r="J94" s="135" t="s">
        <v>858</v>
      </c>
      <c r="K94" s="135" t="s">
        <v>161</v>
      </c>
      <c r="L94" s="135" t="s">
        <v>4</v>
      </c>
      <c r="M94" s="135" t="s">
        <v>839</v>
      </c>
      <c r="N94" s="135" t="s">
        <v>840</v>
      </c>
      <c r="O94" s="135" t="s">
        <v>859</v>
      </c>
      <c r="P94" s="135" t="s">
        <v>860</v>
      </c>
      <c r="Q94" s="135" t="s">
        <v>131</v>
      </c>
      <c r="R94" s="135" t="s">
        <v>861</v>
      </c>
      <c r="S94" s="135" t="s">
        <v>107</v>
      </c>
      <c r="T94" s="146" t="str">
        <f>IF(OR(ISNUMBER(SEARCH("FAIL",K94&amp;" "&amp;Q94)),ISNUMBER(SEARCH("CLEAN RETEST REQUIRED",K94&amp;" "&amp;Q94))),"Failed",IF(OR(ISNUMBER(SEARCH("NOT RUN",K94&amp;" "&amp;Q94)),ISNUMBER(SEARCH("NOT IMPLEMENTED",K94&amp;" "&amp;Q94))),"Not started",IF(OR(ISNUMBER(SEARCH("PARTIAL",K94&amp;" "&amp;Q94)),ISNUMBER(SEARCH("PENDING",K94&amp;" "&amp;Q94)),ISNUMBER(SEARCH("IN PROGRESS",K94&amp;" "&amp;Q94)),ISNUMBER(SEARCH("OPEN",K94&amp;" "&amp;Q94)),ISNUMBER(SEARCH("RETEST REQUIRED",K94&amp;" "&amp;Q94)),ISNUMBER(SEARCH("IMPLEMENTATION UPDATED",K94&amp;" "&amp;Q94)),ISNUMBER(SEARCH("REQUIRED EVERY SESSION",K94&amp;" "&amp;Q94))),"Pending",IF(OR(Q94="PASS",ISNUMBER(SEARCH("PASS",K94&amp;" "&amp;Q94))),"Done","Pending"))))</f>
        <v>Done</v>
      </c>
      <c r="U94" s="146" t="str">
        <f>IF(OR(C94="Admin optional",LEFT(A94,9)="OPERATOR-",LEFT(A94,8)="PAYMENT-",LEFT(A94,7)="DEPLOY-"),"External","Core")</f>
        <v>Core</v>
      </c>
    </row>
    <row r="95" customFormat="false" ht="15" hidden="false" customHeight="false" outlineLevel="0" collapsed="false">
      <c r="A95" s="135" t="s">
        <v>862</v>
      </c>
      <c r="B95" s="135" t="s">
        <v>863</v>
      </c>
      <c r="C95" s="257" t="s">
        <v>58</v>
      </c>
      <c r="D95" s="135" t="s">
        <v>864</v>
      </c>
      <c r="E95" s="135" t="s">
        <v>865</v>
      </c>
      <c r="F95" s="135" t="s">
        <v>866</v>
      </c>
      <c r="G95" s="135" t="s">
        <v>867</v>
      </c>
      <c r="H95" s="135" t="s">
        <v>868</v>
      </c>
      <c r="I95" s="135" t="s">
        <v>869</v>
      </c>
      <c r="J95" s="135" t="s">
        <v>870</v>
      </c>
      <c r="K95" s="135" t="s">
        <v>871</v>
      </c>
      <c r="L95" s="135" t="s">
        <v>1</v>
      </c>
      <c r="M95" s="135" t="s">
        <v>1</v>
      </c>
      <c r="N95" s="135" t="s">
        <v>872</v>
      </c>
      <c r="O95" s="135" t="s">
        <v>873</v>
      </c>
      <c r="P95" s="135" t="s">
        <v>874</v>
      </c>
      <c r="Q95" s="135" t="s">
        <v>131</v>
      </c>
      <c r="R95" s="135" t="s">
        <v>875</v>
      </c>
      <c r="S95" s="135" t="s">
        <v>107</v>
      </c>
      <c r="T95" s="146" t="str">
        <f>IF(OR(ISNUMBER(SEARCH("FAIL",K95&amp;" "&amp;Q95)),ISNUMBER(SEARCH("CLEAN RETEST REQUIRED",K95&amp;" "&amp;Q95))),"Failed",IF(OR(ISNUMBER(SEARCH("NOT RUN",K95&amp;" "&amp;Q95)),ISNUMBER(SEARCH("NOT IMPLEMENTED",K95&amp;" "&amp;Q95))),"Not started",IF(OR(ISNUMBER(SEARCH("PARTIAL",K95&amp;" "&amp;Q95)),ISNUMBER(SEARCH("PENDING",K95&amp;" "&amp;Q95)),ISNUMBER(SEARCH("IN PROGRESS",K95&amp;" "&amp;Q95)),ISNUMBER(SEARCH("OPEN",K95&amp;" "&amp;Q95)),ISNUMBER(SEARCH("RETEST REQUIRED",K95&amp;" "&amp;Q95)),ISNUMBER(SEARCH("IMPLEMENTATION UPDATED",K95&amp;" "&amp;Q95)),ISNUMBER(SEARCH("REQUIRED EVERY SESSION",K95&amp;" "&amp;Q95))),"Pending",IF(OR(Q95="PASS",ISNUMBER(SEARCH("PASS",K95&amp;" "&amp;Q95))),"Done","Pending"))))</f>
        <v>Done</v>
      </c>
      <c r="U95" s="146" t="str">
        <f>IF(OR(C95="Admin optional",LEFT(A95,9)="OPERATOR-",LEFT(A95,8)="PAYMENT-",LEFT(A95,7)="DEPLOY-"),"External","Core")</f>
        <v>Core</v>
      </c>
    </row>
    <row r="96" customFormat="false" ht="15" hidden="false" customHeight="false" outlineLevel="0" collapsed="false">
      <c r="A96" s="135" t="s">
        <v>876</v>
      </c>
      <c r="B96" s="135" t="s">
        <v>863</v>
      </c>
      <c r="C96" s="257" t="s">
        <v>58</v>
      </c>
      <c r="D96" s="135" t="s">
        <v>877</v>
      </c>
      <c r="E96" s="135" t="s">
        <v>878</v>
      </c>
      <c r="F96" s="135" t="s">
        <v>879</v>
      </c>
      <c r="G96" s="135" t="s">
        <v>880</v>
      </c>
      <c r="H96" s="135" t="s">
        <v>4</v>
      </c>
      <c r="I96" s="135" t="s">
        <v>4</v>
      </c>
      <c r="J96" s="135" t="s">
        <v>881</v>
      </c>
      <c r="K96" s="135" t="s">
        <v>161</v>
      </c>
      <c r="L96" s="135" t="s">
        <v>131</v>
      </c>
      <c r="M96" s="135" t="s">
        <v>882</v>
      </c>
      <c r="N96" s="135" t="s">
        <v>883</v>
      </c>
      <c r="O96" s="135" t="s">
        <v>884</v>
      </c>
      <c r="P96" s="135" t="s">
        <v>885</v>
      </c>
      <c r="Q96" s="135" t="s">
        <v>131</v>
      </c>
      <c r="R96" s="135" t="s">
        <v>886</v>
      </c>
      <c r="S96" s="135" t="s">
        <v>107</v>
      </c>
      <c r="T96" s="146" t="str">
        <f>IF(OR(ISNUMBER(SEARCH("FAIL",K96&amp;" "&amp;Q96)),ISNUMBER(SEARCH("CLEAN RETEST REQUIRED",K96&amp;" "&amp;Q96))),"Failed",IF(OR(ISNUMBER(SEARCH("NOT RUN",K96&amp;" "&amp;Q96)),ISNUMBER(SEARCH("NOT IMPLEMENTED",K96&amp;" "&amp;Q96))),"Not started",IF(OR(ISNUMBER(SEARCH("PARTIAL",K96&amp;" "&amp;Q96)),ISNUMBER(SEARCH("PENDING",K96&amp;" "&amp;Q96)),ISNUMBER(SEARCH("IN PROGRESS",K96&amp;" "&amp;Q96)),ISNUMBER(SEARCH("OPEN",K96&amp;" "&amp;Q96)),ISNUMBER(SEARCH("RETEST REQUIRED",K96&amp;" "&amp;Q96)),ISNUMBER(SEARCH("IMPLEMENTATION UPDATED",K96&amp;" "&amp;Q96)),ISNUMBER(SEARCH("REQUIRED EVERY SESSION",K96&amp;" "&amp;Q96))),"Pending",IF(OR(Q96="PASS",ISNUMBER(SEARCH("PASS",K96&amp;" "&amp;Q96))),"Done","Pending"))))</f>
        <v>Done</v>
      </c>
      <c r="U96" s="146" t="str">
        <f>IF(OR(C96="Admin optional",LEFT(A96,9)="OPERATOR-",LEFT(A96,8)="PAYMENT-",LEFT(A96,7)="DEPLOY-"),"External","Core")</f>
        <v>Core</v>
      </c>
    </row>
    <row r="97" customFormat="false" ht="15" hidden="false" customHeight="false" outlineLevel="0" collapsed="false">
      <c r="A97" s="135" t="s">
        <v>887</v>
      </c>
      <c r="B97" s="135" t="s">
        <v>863</v>
      </c>
      <c r="C97" s="257" t="s">
        <v>58</v>
      </c>
      <c r="D97" s="135" t="s">
        <v>888</v>
      </c>
      <c r="E97" s="135" t="s">
        <v>889</v>
      </c>
      <c r="F97" s="135" t="s">
        <v>879</v>
      </c>
      <c r="G97" s="135" t="s">
        <v>890</v>
      </c>
      <c r="H97" s="135" t="s">
        <v>4</v>
      </c>
      <c r="I97" s="135" t="s">
        <v>4</v>
      </c>
      <c r="J97" s="135" t="s">
        <v>891</v>
      </c>
      <c r="K97" s="135" t="s">
        <v>161</v>
      </c>
      <c r="L97" s="135" t="s">
        <v>131</v>
      </c>
      <c r="M97" s="135" t="s">
        <v>882</v>
      </c>
      <c r="N97" s="135" t="s">
        <v>883</v>
      </c>
      <c r="O97" s="135" t="s">
        <v>892</v>
      </c>
      <c r="P97" s="135" t="s">
        <v>893</v>
      </c>
      <c r="Q97" s="135" t="s">
        <v>131</v>
      </c>
      <c r="R97" s="135" t="s">
        <v>894</v>
      </c>
      <c r="S97" s="135" t="s">
        <v>107</v>
      </c>
      <c r="T97" s="146" t="str">
        <f>IF(OR(ISNUMBER(SEARCH("FAIL",K97&amp;" "&amp;Q97)),ISNUMBER(SEARCH("CLEAN RETEST REQUIRED",K97&amp;" "&amp;Q97))),"Failed",IF(OR(ISNUMBER(SEARCH("NOT RUN",K97&amp;" "&amp;Q97)),ISNUMBER(SEARCH("NOT IMPLEMENTED",K97&amp;" "&amp;Q97))),"Not started",IF(OR(ISNUMBER(SEARCH("PARTIAL",K97&amp;" "&amp;Q97)),ISNUMBER(SEARCH("PENDING",K97&amp;" "&amp;Q97)),ISNUMBER(SEARCH("IN PROGRESS",K97&amp;" "&amp;Q97)),ISNUMBER(SEARCH("OPEN",K97&amp;" "&amp;Q97)),ISNUMBER(SEARCH("RETEST REQUIRED",K97&amp;" "&amp;Q97)),ISNUMBER(SEARCH("IMPLEMENTATION UPDATED",K97&amp;" "&amp;Q97)),ISNUMBER(SEARCH("REQUIRED EVERY SESSION",K97&amp;" "&amp;Q97))),"Pending",IF(OR(Q97="PASS",ISNUMBER(SEARCH("PASS",K97&amp;" "&amp;Q97))),"Done","Pending"))))</f>
        <v>Done</v>
      </c>
      <c r="U97" s="146" t="str">
        <f>IF(OR(C97="Admin optional",LEFT(A97,9)="OPERATOR-",LEFT(A97,8)="PAYMENT-",LEFT(A97,7)="DEPLOY-"),"External","Core")</f>
        <v>Core</v>
      </c>
    </row>
    <row r="98" customFormat="false" ht="15" hidden="false" customHeight="false" outlineLevel="0" collapsed="false">
      <c r="A98" s="136" t="s">
        <v>895</v>
      </c>
      <c r="B98" s="136" t="s">
        <v>863</v>
      </c>
      <c r="C98" s="257" t="s">
        <v>58</v>
      </c>
      <c r="D98" s="136" t="s">
        <v>896</v>
      </c>
      <c r="E98" s="136" t="s">
        <v>897</v>
      </c>
      <c r="F98" s="136" t="s">
        <v>898</v>
      </c>
      <c r="G98" s="136" t="s">
        <v>899</v>
      </c>
      <c r="H98" s="136" t="s">
        <v>4</v>
      </c>
      <c r="I98" s="136" t="s">
        <v>900</v>
      </c>
      <c r="J98" s="136" t="s">
        <v>901</v>
      </c>
      <c r="K98" s="136" t="s">
        <v>902</v>
      </c>
      <c r="L98" s="136" t="s">
        <v>1</v>
      </c>
      <c r="M98" s="136" t="s">
        <v>1</v>
      </c>
      <c r="N98" s="136" t="s">
        <v>883</v>
      </c>
      <c r="O98" s="136" t="s">
        <v>903</v>
      </c>
      <c r="P98" s="136" t="s">
        <v>904</v>
      </c>
      <c r="Q98" s="136" t="s">
        <v>905</v>
      </c>
      <c r="R98" s="136" t="s">
        <v>906</v>
      </c>
      <c r="S98" s="136" t="s">
        <v>107</v>
      </c>
      <c r="T98" s="146" t="str">
        <f>IF(OR(ISNUMBER(SEARCH("FAIL",K98&amp;" "&amp;Q98)),ISNUMBER(SEARCH("CLEAN RETEST REQUIRED",K98&amp;" "&amp;Q98))),"Failed",IF(OR(ISNUMBER(SEARCH("NOT RUN",K98&amp;" "&amp;Q98)),ISNUMBER(SEARCH("NOT IMPLEMENTED",K98&amp;" "&amp;Q98))),"Not started",IF(OR(ISNUMBER(SEARCH("PARTIAL",K98&amp;" "&amp;Q98)),ISNUMBER(SEARCH("PENDING",K98&amp;" "&amp;Q98)),ISNUMBER(SEARCH("IN PROGRESS",K98&amp;" "&amp;Q98)),ISNUMBER(SEARCH("OPEN",K98&amp;" "&amp;Q98)),ISNUMBER(SEARCH("RETEST REQUIRED",K98&amp;" "&amp;Q98)),ISNUMBER(SEARCH("IMPLEMENTATION UPDATED",K98&amp;" "&amp;Q98)),ISNUMBER(SEARCH("REQUIRED EVERY SESSION",K98&amp;" "&amp;Q98))),"Pending",IF(OR(Q98="PASS",ISNUMBER(SEARCH("PASS",K98&amp;" "&amp;Q98))),"Done","Pending"))))</f>
        <v>Pending</v>
      </c>
      <c r="U98" s="146" t="str">
        <f>IF(OR(C98="Admin optional",LEFT(A98,9)="OPERATOR-",LEFT(A98,8)="PAYMENT-",LEFT(A98,7)="DEPLOY-"),"External","Core")</f>
        <v>Core</v>
      </c>
    </row>
    <row r="99" customFormat="false" ht="15" hidden="false" customHeight="false" outlineLevel="0" collapsed="false">
      <c r="A99" s="138" t="s">
        <v>907</v>
      </c>
      <c r="B99" s="138" t="s">
        <v>863</v>
      </c>
      <c r="C99" s="257" t="s">
        <v>58</v>
      </c>
      <c r="D99" s="138" t="s">
        <v>908</v>
      </c>
      <c r="E99" s="138" t="s">
        <v>909</v>
      </c>
      <c r="F99" s="138" t="s">
        <v>910</v>
      </c>
      <c r="G99" s="138" t="s">
        <v>911</v>
      </c>
      <c r="H99" s="138" t="s">
        <v>4</v>
      </c>
      <c r="I99" s="138" t="s">
        <v>912</v>
      </c>
      <c r="J99" s="138" t="s">
        <v>913</v>
      </c>
      <c r="K99" s="138" t="s">
        <v>138</v>
      </c>
      <c r="L99" s="138" t="s">
        <v>1</v>
      </c>
      <c r="M99" s="138" t="s">
        <v>1</v>
      </c>
      <c r="N99" s="138" t="s">
        <v>1</v>
      </c>
      <c r="O99" s="138" t="s">
        <v>914</v>
      </c>
      <c r="P99" s="138" t="s">
        <v>915</v>
      </c>
      <c r="Q99" s="138" t="s">
        <v>1</v>
      </c>
      <c r="R99" s="138" t="s">
        <v>916</v>
      </c>
      <c r="S99" s="138" t="s">
        <v>133</v>
      </c>
      <c r="T99" s="146" t="str">
        <f>IF(OR(ISNUMBER(SEARCH("FAIL",K99&amp;" "&amp;Q99)),ISNUMBER(SEARCH("CLEAN RETEST REQUIRED",K99&amp;" "&amp;Q99))),"Failed",IF(OR(ISNUMBER(SEARCH("NOT RUN",K99&amp;" "&amp;Q99)),ISNUMBER(SEARCH("NOT IMPLEMENTED",K99&amp;" "&amp;Q99))),"Not started",IF(OR(ISNUMBER(SEARCH("PARTIAL",K99&amp;" "&amp;Q99)),ISNUMBER(SEARCH("PENDING",K99&amp;" "&amp;Q99)),ISNUMBER(SEARCH("IN PROGRESS",K99&amp;" "&amp;Q99)),ISNUMBER(SEARCH("OPEN",K99&amp;" "&amp;Q99)),ISNUMBER(SEARCH("RETEST REQUIRED",K99&amp;" "&amp;Q99)),ISNUMBER(SEARCH("IMPLEMENTATION UPDATED",K99&amp;" "&amp;Q99)),ISNUMBER(SEARCH("REQUIRED EVERY SESSION",K99&amp;" "&amp;Q99))),"Pending",IF(OR(Q99="PASS",ISNUMBER(SEARCH("PASS",K99&amp;" "&amp;Q99))),"Done","Pending"))))</f>
        <v>Not started</v>
      </c>
      <c r="U99" s="146" t="str">
        <f>IF(OR(C99="Admin optional",LEFT(A99,9)="OPERATOR-",LEFT(A99,8)="PAYMENT-",LEFT(A99,7)="DEPLOY-"),"External","Core")</f>
        <v>Core</v>
      </c>
    </row>
    <row r="100" customFormat="false" ht="15" hidden="false" customHeight="false" outlineLevel="0" collapsed="false">
      <c r="A100" s="136" t="s">
        <v>917</v>
      </c>
      <c r="B100" s="136" t="s">
        <v>243</v>
      </c>
      <c r="C100" s="257" t="s">
        <v>58</v>
      </c>
      <c r="D100" s="136" t="s">
        <v>918</v>
      </c>
      <c r="E100" s="136" t="s">
        <v>919</v>
      </c>
      <c r="F100" s="136" t="s">
        <v>4</v>
      </c>
      <c r="G100" s="136" t="s">
        <v>920</v>
      </c>
      <c r="H100" s="136" t="s">
        <v>4</v>
      </c>
      <c r="I100" s="136" t="s">
        <v>8</v>
      </c>
      <c r="J100" s="136" t="s">
        <v>921</v>
      </c>
      <c r="K100" s="136" t="s">
        <v>250</v>
      </c>
      <c r="L100" s="136" t="s">
        <v>1</v>
      </c>
      <c r="M100" s="136" t="s">
        <v>1</v>
      </c>
      <c r="N100" s="136" t="s">
        <v>251</v>
      </c>
      <c r="O100" s="136" t="s">
        <v>252</v>
      </c>
      <c r="P100" s="136" t="s">
        <v>922</v>
      </c>
      <c r="Q100" s="136" t="s">
        <v>254</v>
      </c>
      <c r="R100" s="136" t="s">
        <v>255</v>
      </c>
      <c r="S100" s="136" t="s">
        <v>380</v>
      </c>
      <c r="T100" s="146" t="str">
        <f>IF(OR(ISNUMBER(SEARCH("FAIL",K100&amp;" "&amp;Q100)),ISNUMBER(SEARCH("CLEAN RETEST REQUIRED",K100&amp;" "&amp;Q100))),"Failed",IF(OR(ISNUMBER(SEARCH("NOT RUN",K100&amp;" "&amp;Q100)),ISNUMBER(SEARCH("NOT IMPLEMENTED",K100&amp;" "&amp;Q100))),"Not started",IF(OR(ISNUMBER(SEARCH("PARTIAL",K100&amp;" "&amp;Q100)),ISNUMBER(SEARCH("PENDING",K100&amp;" "&amp;Q100)),ISNUMBER(SEARCH("IN PROGRESS",K100&amp;" "&amp;Q100)),ISNUMBER(SEARCH("OPEN",K100&amp;" "&amp;Q100)),ISNUMBER(SEARCH("RETEST REQUIRED",K100&amp;" "&amp;Q100)),ISNUMBER(SEARCH("IMPLEMENTATION UPDATED",K100&amp;" "&amp;Q100)),ISNUMBER(SEARCH("REQUIRED EVERY SESSION",K100&amp;" "&amp;Q100))),"Pending",IF(OR(Q100="PASS",ISNUMBER(SEARCH("PASS",K100&amp;" "&amp;Q100))),"Done","Pending"))))</f>
        <v>Pending</v>
      </c>
      <c r="U100" s="146" t="str">
        <f>IF(OR(C100="Admin optional",LEFT(A100,9)="OPERATOR-",LEFT(A100,8)="PAYMENT-",LEFT(A100,7)="DEPLOY-"),"External","Core")</f>
        <v>Core</v>
      </c>
    </row>
    <row r="101" customFormat="false" ht="15" hidden="false" customHeight="false" outlineLevel="0" collapsed="false">
      <c r="A101" s="135" t="s">
        <v>923</v>
      </c>
      <c r="B101" s="135" t="s">
        <v>257</v>
      </c>
      <c r="C101" s="258" t="s">
        <v>67</v>
      </c>
      <c r="D101" s="135" t="s">
        <v>924</v>
      </c>
      <c r="E101" s="135" t="s">
        <v>925</v>
      </c>
      <c r="F101" s="135" t="s">
        <v>926</v>
      </c>
      <c r="G101" s="135" t="s">
        <v>927</v>
      </c>
      <c r="H101" s="135" t="s">
        <v>4</v>
      </c>
      <c r="I101" s="135" t="s">
        <v>928</v>
      </c>
      <c r="J101" s="135" t="s">
        <v>929</v>
      </c>
      <c r="K101" s="135" t="s">
        <v>930</v>
      </c>
      <c r="L101" s="135" t="s">
        <v>1</v>
      </c>
      <c r="M101" s="135" t="s">
        <v>1</v>
      </c>
      <c r="N101" s="135" t="s">
        <v>498</v>
      </c>
      <c r="O101" s="135" t="s">
        <v>931</v>
      </c>
      <c r="P101" s="135" t="s">
        <v>932</v>
      </c>
      <c r="Q101" s="135" t="s">
        <v>131</v>
      </c>
      <c r="R101" s="135" t="s">
        <v>933</v>
      </c>
      <c r="S101" s="135" t="s">
        <v>107</v>
      </c>
      <c r="T101" s="146" t="str">
        <f>IF(OR(ISNUMBER(SEARCH("FAIL",K101&amp;" "&amp;Q101)),ISNUMBER(SEARCH("CLEAN RETEST REQUIRED",K101&amp;" "&amp;Q101))),"Failed",IF(OR(ISNUMBER(SEARCH("NOT RUN",K101&amp;" "&amp;Q101)),ISNUMBER(SEARCH("NOT IMPLEMENTED",K101&amp;" "&amp;Q101))),"Not started",IF(OR(ISNUMBER(SEARCH("PARTIAL",K101&amp;" "&amp;Q101)),ISNUMBER(SEARCH("PENDING",K101&amp;" "&amp;Q101)),ISNUMBER(SEARCH("IN PROGRESS",K101&amp;" "&amp;Q101)),ISNUMBER(SEARCH("OPEN",K101&amp;" "&amp;Q101)),ISNUMBER(SEARCH("RETEST REQUIRED",K101&amp;" "&amp;Q101)),ISNUMBER(SEARCH("IMPLEMENTATION UPDATED",K101&amp;" "&amp;Q101)),ISNUMBER(SEARCH("REQUIRED EVERY SESSION",K101&amp;" "&amp;Q101))),"Pending",IF(OR(Q101="PASS",ISNUMBER(SEARCH("PASS",K101&amp;" "&amp;Q101))),"Done","Pending"))))</f>
        <v>Done</v>
      </c>
      <c r="U101" s="146" t="str">
        <f>IF(OR(C101="Admin optional",LEFT(A101,9)="OPERATOR-",LEFT(A101,8)="PAYMENT-",LEFT(A101,7)="DEPLOY-"),"External","Core")</f>
        <v>Core</v>
      </c>
    </row>
    <row r="102" customFormat="false" ht="15" hidden="false" customHeight="false" outlineLevel="0" collapsed="false">
      <c r="A102" s="138" t="s">
        <v>934</v>
      </c>
      <c r="B102" s="138" t="s">
        <v>935</v>
      </c>
      <c r="C102" s="258" t="s">
        <v>67</v>
      </c>
      <c r="D102" s="138" t="s">
        <v>936</v>
      </c>
      <c r="E102" s="138" t="s">
        <v>937</v>
      </c>
      <c r="F102" s="138" t="s">
        <v>4</v>
      </c>
      <c r="G102" s="138" t="s">
        <v>938</v>
      </c>
      <c r="H102" s="138" t="s">
        <v>4</v>
      </c>
      <c r="I102" s="138" t="s">
        <v>4</v>
      </c>
      <c r="J102" s="138" t="s">
        <v>939</v>
      </c>
      <c r="K102" s="138" t="s">
        <v>138</v>
      </c>
      <c r="L102" s="138" t="s">
        <v>1</v>
      </c>
      <c r="M102" s="138" t="s">
        <v>1</v>
      </c>
      <c r="N102" s="138" t="s">
        <v>1</v>
      </c>
      <c r="O102" s="138" t="s">
        <v>940</v>
      </c>
      <c r="P102" s="138" t="s">
        <v>941</v>
      </c>
      <c r="Q102" s="138" t="s">
        <v>1</v>
      </c>
      <c r="R102" s="138" t="s">
        <v>942</v>
      </c>
      <c r="S102" s="138" t="s">
        <v>324</v>
      </c>
      <c r="T102" s="146" t="str">
        <f>IF(OR(ISNUMBER(SEARCH("FAIL",K102&amp;" "&amp;Q102)),ISNUMBER(SEARCH("CLEAN RETEST REQUIRED",K102&amp;" "&amp;Q102))),"Failed",IF(OR(ISNUMBER(SEARCH("NOT RUN",K102&amp;" "&amp;Q102)),ISNUMBER(SEARCH("NOT IMPLEMENTED",K102&amp;" "&amp;Q102))),"Not started",IF(OR(ISNUMBER(SEARCH("PARTIAL",K102&amp;" "&amp;Q102)),ISNUMBER(SEARCH("PENDING",K102&amp;" "&amp;Q102)),ISNUMBER(SEARCH("IN PROGRESS",K102&amp;" "&amp;Q102)),ISNUMBER(SEARCH("OPEN",K102&amp;" "&amp;Q102)),ISNUMBER(SEARCH("RETEST REQUIRED",K102&amp;" "&amp;Q102)),ISNUMBER(SEARCH("IMPLEMENTATION UPDATED",K102&amp;" "&amp;Q102)),ISNUMBER(SEARCH("REQUIRED EVERY SESSION",K102&amp;" "&amp;Q102))),"Pending",IF(OR(Q102="PASS",ISNUMBER(SEARCH("PASS",K102&amp;" "&amp;Q102))),"Done","Pending"))))</f>
        <v>Not started</v>
      </c>
      <c r="U102" s="146" t="str">
        <f>IF(OR(C102="Admin optional",LEFT(A102,9)="OPERATOR-",LEFT(A102,8)="PAYMENT-",LEFT(A102,7)="DEPLOY-"),"External","Core")</f>
        <v>Core</v>
      </c>
    </row>
    <row r="103" customFormat="false" ht="15" hidden="false" customHeight="false" outlineLevel="0" collapsed="false">
      <c r="A103" s="138" t="s">
        <v>943</v>
      </c>
      <c r="B103" s="138" t="s">
        <v>935</v>
      </c>
      <c r="C103" s="258" t="s">
        <v>67</v>
      </c>
      <c r="D103" s="138" t="s">
        <v>944</v>
      </c>
      <c r="E103" s="138" t="s">
        <v>945</v>
      </c>
      <c r="F103" s="138" t="s">
        <v>4</v>
      </c>
      <c r="G103" s="138" t="s">
        <v>946</v>
      </c>
      <c r="H103" s="138" t="s">
        <v>4</v>
      </c>
      <c r="I103" s="138" t="s">
        <v>4</v>
      </c>
      <c r="J103" s="138" t="s">
        <v>947</v>
      </c>
      <c r="K103" s="138" t="s">
        <v>138</v>
      </c>
      <c r="L103" s="138" t="s">
        <v>1</v>
      </c>
      <c r="M103" s="138" t="s">
        <v>1</v>
      </c>
      <c r="N103" s="138" t="s">
        <v>1</v>
      </c>
      <c r="O103" s="138" t="s">
        <v>948</v>
      </c>
      <c r="P103" s="138" t="s">
        <v>949</v>
      </c>
      <c r="Q103" s="138" t="s">
        <v>1</v>
      </c>
      <c r="R103" s="138" t="s">
        <v>950</v>
      </c>
      <c r="S103" s="138" t="s">
        <v>401</v>
      </c>
      <c r="T103" s="146" t="str">
        <f>IF(OR(ISNUMBER(SEARCH("FAIL",K103&amp;" "&amp;Q103)),ISNUMBER(SEARCH("CLEAN RETEST REQUIRED",K103&amp;" "&amp;Q103))),"Failed",IF(OR(ISNUMBER(SEARCH("NOT RUN",K103&amp;" "&amp;Q103)),ISNUMBER(SEARCH("NOT IMPLEMENTED",K103&amp;" "&amp;Q103))),"Not started",IF(OR(ISNUMBER(SEARCH("PARTIAL",K103&amp;" "&amp;Q103)),ISNUMBER(SEARCH("PENDING",K103&amp;" "&amp;Q103)),ISNUMBER(SEARCH("IN PROGRESS",K103&amp;" "&amp;Q103)),ISNUMBER(SEARCH("OPEN",K103&amp;" "&amp;Q103)),ISNUMBER(SEARCH("RETEST REQUIRED",K103&amp;" "&amp;Q103)),ISNUMBER(SEARCH("IMPLEMENTATION UPDATED",K103&amp;" "&amp;Q103)),ISNUMBER(SEARCH("REQUIRED EVERY SESSION",K103&amp;" "&amp;Q103))),"Pending",IF(OR(Q103="PASS",ISNUMBER(SEARCH("PASS",K103&amp;" "&amp;Q103))),"Done","Pending"))))</f>
        <v>Not started</v>
      </c>
      <c r="U103" s="146" t="str">
        <f>IF(OR(C103="Admin optional",LEFT(A103,9)="OPERATOR-",LEFT(A103,8)="PAYMENT-",LEFT(A103,7)="DEPLOY-"),"External","Core")</f>
        <v>Core</v>
      </c>
    </row>
    <row r="104" customFormat="false" ht="15" hidden="false" customHeight="false" outlineLevel="0" collapsed="false">
      <c r="A104" s="138" t="s">
        <v>951</v>
      </c>
      <c r="B104" s="138" t="s">
        <v>935</v>
      </c>
      <c r="C104" s="258" t="s">
        <v>67</v>
      </c>
      <c r="D104" s="138" t="s">
        <v>952</v>
      </c>
      <c r="E104" s="138" t="s">
        <v>953</v>
      </c>
      <c r="F104" s="138" t="s">
        <v>954</v>
      </c>
      <c r="G104" s="138" t="s">
        <v>955</v>
      </c>
      <c r="H104" s="138" t="s">
        <v>4</v>
      </c>
      <c r="I104" s="138" t="s">
        <v>4</v>
      </c>
      <c r="J104" s="138" t="s">
        <v>956</v>
      </c>
      <c r="K104" s="138" t="s">
        <v>138</v>
      </c>
      <c r="L104" s="138" t="s">
        <v>1</v>
      </c>
      <c r="M104" s="138" t="s">
        <v>1</v>
      </c>
      <c r="N104" s="138" t="s">
        <v>1</v>
      </c>
      <c r="O104" s="138" t="s">
        <v>957</v>
      </c>
      <c r="P104" s="138" t="s">
        <v>958</v>
      </c>
      <c r="Q104" s="138" t="s">
        <v>1</v>
      </c>
      <c r="R104" s="138" t="s">
        <v>959</v>
      </c>
      <c r="S104" s="138" t="s">
        <v>107</v>
      </c>
      <c r="T104" s="146" t="str">
        <f>IF(OR(ISNUMBER(SEARCH("FAIL",K104&amp;" "&amp;Q104)),ISNUMBER(SEARCH("CLEAN RETEST REQUIRED",K104&amp;" "&amp;Q104))),"Failed",IF(OR(ISNUMBER(SEARCH("NOT RUN",K104&amp;" "&amp;Q104)),ISNUMBER(SEARCH("NOT IMPLEMENTED",K104&amp;" "&amp;Q104))),"Not started",IF(OR(ISNUMBER(SEARCH("PARTIAL",K104&amp;" "&amp;Q104)),ISNUMBER(SEARCH("PENDING",K104&amp;" "&amp;Q104)),ISNUMBER(SEARCH("IN PROGRESS",K104&amp;" "&amp;Q104)),ISNUMBER(SEARCH("OPEN",K104&amp;" "&amp;Q104)),ISNUMBER(SEARCH("RETEST REQUIRED",K104&amp;" "&amp;Q104)),ISNUMBER(SEARCH("IMPLEMENTATION UPDATED",K104&amp;" "&amp;Q104)),ISNUMBER(SEARCH("REQUIRED EVERY SESSION",K104&amp;" "&amp;Q104))),"Pending",IF(OR(Q104="PASS",ISNUMBER(SEARCH("PASS",K104&amp;" "&amp;Q104))),"Done","Pending"))))</f>
        <v>Not started</v>
      </c>
      <c r="U104" s="146" t="str">
        <f>IF(OR(C104="Admin optional",LEFT(A104,9)="OPERATOR-",LEFT(A104,8)="PAYMENT-",LEFT(A104,7)="DEPLOY-"),"External","Core")</f>
        <v>Core</v>
      </c>
    </row>
    <row r="105" customFormat="false" ht="15" hidden="false" customHeight="false" outlineLevel="0" collapsed="false">
      <c r="A105" s="138" t="s">
        <v>960</v>
      </c>
      <c r="B105" s="138" t="s">
        <v>935</v>
      </c>
      <c r="C105" s="258" t="s">
        <v>67</v>
      </c>
      <c r="D105" s="138" t="s">
        <v>961</v>
      </c>
      <c r="E105" s="138" t="s">
        <v>962</v>
      </c>
      <c r="F105" s="138" t="s">
        <v>963</v>
      </c>
      <c r="G105" s="138" t="s">
        <v>964</v>
      </c>
      <c r="H105" s="138" t="s">
        <v>4</v>
      </c>
      <c r="I105" s="138" t="s">
        <v>4</v>
      </c>
      <c r="J105" s="138" t="s">
        <v>965</v>
      </c>
      <c r="K105" s="138" t="s">
        <v>138</v>
      </c>
      <c r="L105" s="138" t="s">
        <v>1</v>
      </c>
      <c r="M105" s="138" t="s">
        <v>1</v>
      </c>
      <c r="N105" s="138" t="s">
        <v>1</v>
      </c>
      <c r="O105" s="138" t="s">
        <v>966</v>
      </c>
      <c r="P105" s="138" t="s">
        <v>967</v>
      </c>
      <c r="Q105" s="138" t="s">
        <v>1</v>
      </c>
      <c r="R105" s="138" t="s">
        <v>968</v>
      </c>
      <c r="S105" s="138" t="s">
        <v>107</v>
      </c>
      <c r="T105" s="146" t="str">
        <f>IF(OR(ISNUMBER(SEARCH("FAIL",K105&amp;" "&amp;Q105)),ISNUMBER(SEARCH("CLEAN RETEST REQUIRED",K105&amp;" "&amp;Q105))),"Failed",IF(OR(ISNUMBER(SEARCH("NOT RUN",K105&amp;" "&amp;Q105)),ISNUMBER(SEARCH("NOT IMPLEMENTED",K105&amp;" "&amp;Q105))),"Not started",IF(OR(ISNUMBER(SEARCH("PARTIAL",K105&amp;" "&amp;Q105)),ISNUMBER(SEARCH("PENDING",K105&amp;" "&amp;Q105)),ISNUMBER(SEARCH("IN PROGRESS",K105&amp;" "&amp;Q105)),ISNUMBER(SEARCH("OPEN",K105&amp;" "&amp;Q105)),ISNUMBER(SEARCH("RETEST REQUIRED",K105&amp;" "&amp;Q105)),ISNUMBER(SEARCH("IMPLEMENTATION UPDATED",K105&amp;" "&amp;Q105)),ISNUMBER(SEARCH("REQUIRED EVERY SESSION",K105&amp;" "&amp;Q105))),"Pending",IF(OR(Q105="PASS",ISNUMBER(SEARCH("PASS",K105&amp;" "&amp;Q105))),"Done","Pending"))))</f>
        <v>Not started</v>
      </c>
      <c r="U105" s="146" t="str">
        <f>IF(OR(C105="Admin optional",LEFT(A105,9)="OPERATOR-",LEFT(A105,8)="PAYMENT-",LEFT(A105,7)="DEPLOY-"),"External","Core")</f>
        <v>Core</v>
      </c>
    </row>
    <row r="106" customFormat="false" ht="15" hidden="false" customHeight="false" outlineLevel="0" collapsed="false">
      <c r="A106" s="138" t="s">
        <v>969</v>
      </c>
      <c r="B106" s="138" t="s">
        <v>935</v>
      </c>
      <c r="C106" s="258" t="s">
        <v>67</v>
      </c>
      <c r="D106" s="138" t="s">
        <v>970</v>
      </c>
      <c r="E106" s="138" t="s">
        <v>971</v>
      </c>
      <c r="F106" s="138" t="s">
        <v>4</v>
      </c>
      <c r="G106" s="138" t="s">
        <v>972</v>
      </c>
      <c r="H106" s="138" t="s">
        <v>4</v>
      </c>
      <c r="I106" s="138" t="s">
        <v>4</v>
      </c>
      <c r="J106" s="138" t="s">
        <v>973</v>
      </c>
      <c r="K106" s="138" t="s">
        <v>138</v>
      </c>
      <c r="L106" s="138" t="s">
        <v>1</v>
      </c>
      <c r="M106" s="138" t="s">
        <v>1</v>
      </c>
      <c r="N106" s="138" t="s">
        <v>1</v>
      </c>
      <c r="O106" s="138" t="s">
        <v>974</v>
      </c>
      <c r="P106" s="138" t="s">
        <v>975</v>
      </c>
      <c r="Q106" s="138" t="s">
        <v>1</v>
      </c>
      <c r="R106" s="138" t="s">
        <v>976</v>
      </c>
      <c r="S106" s="138" t="s">
        <v>107</v>
      </c>
      <c r="T106" s="146" t="str">
        <f>IF(OR(ISNUMBER(SEARCH("FAIL",K106&amp;" "&amp;Q106)),ISNUMBER(SEARCH("CLEAN RETEST REQUIRED",K106&amp;" "&amp;Q106))),"Failed",IF(OR(ISNUMBER(SEARCH("NOT RUN",K106&amp;" "&amp;Q106)),ISNUMBER(SEARCH("NOT IMPLEMENTED",K106&amp;" "&amp;Q106))),"Not started",IF(OR(ISNUMBER(SEARCH("PARTIAL",K106&amp;" "&amp;Q106)),ISNUMBER(SEARCH("PENDING",K106&amp;" "&amp;Q106)),ISNUMBER(SEARCH("IN PROGRESS",K106&amp;" "&amp;Q106)),ISNUMBER(SEARCH("OPEN",K106&amp;" "&amp;Q106)),ISNUMBER(SEARCH("RETEST REQUIRED",K106&amp;" "&amp;Q106)),ISNUMBER(SEARCH("IMPLEMENTATION UPDATED",K106&amp;" "&amp;Q106)),ISNUMBER(SEARCH("REQUIRED EVERY SESSION",K106&amp;" "&amp;Q106))),"Pending",IF(OR(Q106="PASS",ISNUMBER(SEARCH("PASS",K106&amp;" "&amp;Q106))),"Done","Pending"))))</f>
        <v>Not started</v>
      </c>
      <c r="U106" s="146" t="str">
        <f>IF(OR(C106="Admin optional",LEFT(A106,9)="OPERATOR-",LEFT(A106,8)="PAYMENT-",LEFT(A106,7)="DEPLOY-"),"External","Core")</f>
        <v>Core</v>
      </c>
    </row>
    <row r="107" customFormat="false" ht="15" hidden="false" customHeight="false" outlineLevel="0" collapsed="false">
      <c r="A107" s="138" t="s">
        <v>977</v>
      </c>
      <c r="B107" s="138" t="s">
        <v>935</v>
      </c>
      <c r="C107" s="258" t="s">
        <v>67</v>
      </c>
      <c r="D107" s="138" t="s">
        <v>978</v>
      </c>
      <c r="E107" s="138" t="s">
        <v>979</v>
      </c>
      <c r="F107" s="138" t="s">
        <v>980</v>
      </c>
      <c r="G107" s="138" t="s">
        <v>981</v>
      </c>
      <c r="H107" s="138" t="s">
        <v>4</v>
      </c>
      <c r="I107" s="138" t="s">
        <v>4</v>
      </c>
      <c r="J107" s="138" t="s">
        <v>982</v>
      </c>
      <c r="K107" s="138" t="s">
        <v>138</v>
      </c>
      <c r="L107" s="138" t="s">
        <v>1</v>
      </c>
      <c r="M107" s="138" t="s">
        <v>1</v>
      </c>
      <c r="N107" s="138" t="s">
        <v>1</v>
      </c>
      <c r="O107" s="138" t="s">
        <v>983</v>
      </c>
      <c r="P107" s="138" t="s">
        <v>984</v>
      </c>
      <c r="Q107" s="138" t="s">
        <v>1</v>
      </c>
      <c r="R107" s="138" t="s">
        <v>985</v>
      </c>
      <c r="S107" s="138" t="s">
        <v>133</v>
      </c>
      <c r="T107" s="146" t="str">
        <f>IF(OR(ISNUMBER(SEARCH("FAIL",K107&amp;" "&amp;Q107)),ISNUMBER(SEARCH("CLEAN RETEST REQUIRED",K107&amp;" "&amp;Q107))),"Failed",IF(OR(ISNUMBER(SEARCH("NOT RUN",K107&amp;" "&amp;Q107)),ISNUMBER(SEARCH("NOT IMPLEMENTED",K107&amp;" "&amp;Q107))),"Not started",IF(OR(ISNUMBER(SEARCH("PARTIAL",K107&amp;" "&amp;Q107)),ISNUMBER(SEARCH("PENDING",K107&amp;" "&amp;Q107)),ISNUMBER(SEARCH("IN PROGRESS",K107&amp;" "&amp;Q107)),ISNUMBER(SEARCH("OPEN",K107&amp;" "&amp;Q107)),ISNUMBER(SEARCH("RETEST REQUIRED",K107&amp;" "&amp;Q107)),ISNUMBER(SEARCH("IMPLEMENTATION UPDATED",K107&amp;" "&amp;Q107)),ISNUMBER(SEARCH("REQUIRED EVERY SESSION",K107&amp;" "&amp;Q107))),"Pending",IF(OR(Q107="PASS",ISNUMBER(SEARCH("PASS",K107&amp;" "&amp;Q107))),"Done","Pending"))))</f>
        <v>Not started</v>
      </c>
      <c r="U107" s="146" t="str">
        <f>IF(OR(C107="Admin optional",LEFT(A107,9)="OPERATOR-",LEFT(A107,8)="PAYMENT-",LEFT(A107,7)="DEPLOY-"),"External","Core")</f>
        <v>Core</v>
      </c>
    </row>
    <row r="108" customFormat="false" ht="15" hidden="false" customHeight="false" outlineLevel="0" collapsed="false">
      <c r="A108" s="138" t="s">
        <v>986</v>
      </c>
      <c r="B108" s="138" t="s">
        <v>935</v>
      </c>
      <c r="C108" s="258" t="s">
        <v>67</v>
      </c>
      <c r="D108" s="138" t="s">
        <v>987</v>
      </c>
      <c r="E108" s="138" t="s">
        <v>988</v>
      </c>
      <c r="F108" s="138" t="s">
        <v>4</v>
      </c>
      <c r="G108" s="138" t="s">
        <v>989</v>
      </c>
      <c r="H108" s="138" t="s">
        <v>4</v>
      </c>
      <c r="I108" s="138" t="s">
        <v>4</v>
      </c>
      <c r="J108" s="138" t="s">
        <v>990</v>
      </c>
      <c r="K108" s="138" t="s">
        <v>138</v>
      </c>
      <c r="L108" s="138" t="s">
        <v>1</v>
      </c>
      <c r="M108" s="138" t="s">
        <v>1</v>
      </c>
      <c r="N108" s="138" t="s">
        <v>1</v>
      </c>
      <c r="O108" s="138" t="s">
        <v>991</v>
      </c>
      <c r="P108" s="138" t="s">
        <v>992</v>
      </c>
      <c r="Q108" s="138" t="s">
        <v>1</v>
      </c>
      <c r="R108" s="138" t="s">
        <v>993</v>
      </c>
      <c r="S108" s="138" t="s">
        <v>994</v>
      </c>
      <c r="T108" s="146" t="str">
        <f>IF(OR(ISNUMBER(SEARCH("FAIL",K108&amp;" "&amp;Q108)),ISNUMBER(SEARCH("CLEAN RETEST REQUIRED",K108&amp;" "&amp;Q108))),"Failed",IF(OR(ISNUMBER(SEARCH("NOT RUN",K108&amp;" "&amp;Q108)),ISNUMBER(SEARCH("NOT IMPLEMENTED",K108&amp;" "&amp;Q108))),"Not started",IF(OR(ISNUMBER(SEARCH("PARTIAL",K108&amp;" "&amp;Q108)),ISNUMBER(SEARCH("PENDING",K108&amp;" "&amp;Q108)),ISNUMBER(SEARCH("IN PROGRESS",K108&amp;" "&amp;Q108)),ISNUMBER(SEARCH("OPEN",K108&amp;" "&amp;Q108)),ISNUMBER(SEARCH("RETEST REQUIRED",K108&amp;" "&amp;Q108)),ISNUMBER(SEARCH("IMPLEMENTATION UPDATED",K108&amp;" "&amp;Q108)),ISNUMBER(SEARCH("REQUIRED EVERY SESSION",K108&amp;" "&amp;Q108))),"Pending",IF(OR(Q108="PASS",ISNUMBER(SEARCH("PASS",K108&amp;" "&amp;Q108))),"Done","Pending"))))</f>
        <v>Not started</v>
      </c>
      <c r="U108" s="146" t="str">
        <f>IF(OR(C108="Admin optional",LEFT(A108,9)="OPERATOR-",LEFT(A108,8)="PAYMENT-",LEFT(A108,7)="DEPLOY-"),"External","Core")</f>
        <v>Core</v>
      </c>
    </row>
    <row r="109" customFormat="false" ht="15" hidden="false" customHeight="false" outlineLevel="0" collapsed="false">
      <c r="A109" s="138" t="s">
        <v>995</v>
      </c>
      <c r="B109" s="138" t="s">
        <v>935</v>
      </c>
      <c r="C109" s="258" t="s">
        <v>67</v>
      </c>
      <c r="D109" s="138" t="s">
        <v>996</v>
      </c>
      <c r="E109" s="138" t="s">
        <v>997</v>
      </c>
      <c r="F109" s="138" t="s">
        <v>998</v>
      </c>
      <c r="G109" s="138" t="s">
        <v>999</v>
      </c>
      <c r="H109" s="138" t="s">
        <v>4</v>
      </c>
      <c r="I109" s="138" t="s">
        <v>4</v>
      </c>
      <c r="J109" s="138" t="s">
        <v>1000</v>
      </c>
      <c r="K109" s="138" t="s">
        <v>138</v>
      </c>
      <c r="L109" s="138" t="s">
        <v>1</v>
      </c>
      <c r="M109" s="138" t="s">
        <v>1</v>
      </c>
      <c r="N109" s="138" t="s">
        <v>1</v>
      </c>
      <c r="O109" s="138" t="s">
        <v>1001</v>
      </c>
      <c r="P109" s="138" t="s">
        <v>1002</v>
      </c>
      <c r="Q109" s="138" t="s">
        <v>1</v>
      </c>
      <c r="R109" s="138" t="s">
        <v>1003</v>
      </c>
      <c r="S109" s="138" t="s">
        <v>832</v>
      </c>
      <c r="T109" s="146" t="str">
        <f>IF(OR(ISNUMBER(SEARCH("FAIL",K109&amp;" "&amp;Q109)),ISNUMBER(SEARCH("CLEAN RETEST REQUIRED",K109&amp;" "&amp;Q109))),"Failed",IF(OR(ISNUMBER(SEARCH("NOT RUN",K109&amp;" "&amp;Q109)),ISNUMBER(SEARCH("NOT IMPLEMENTED",K109&amp;" "&amp;Q109))),"Not started",IF(OR(ISNUMBER(SEARCH("PARTIAL",K109&amp;" "&amp;Q109)),ISNUMBER(SEARCH("PENDING",K109&amp;" "&amp;Q109)),ISNUMBER(SEARCH("IN PROGRESS",K109&amp;" "&amp;Q109)),ISNUMBER(SEARCH("OPEN",K109&amp;" "&amp;Q109)),ISNUMBER(SEARCH("RETEST REQUIRED",K109&amp;" "&amp;Q109)),ISNUMBER(SEARCH("IMPLEMENTATION UPDATED",K109&amp;" "&amp;Q109)),ISNUMBER(SEARCH("REQUIRED EVERY SESSION",K109&amp;" "&amp;Q109))),"Pending",IF(OR(Q109="PASS",ISNUMBER(SEARCH("PASS",K109&amp;" "&amp;Q109))),"Done","Pending"))))</f>
        <v>Not started</v>
      </c>
      <c r="U109" s="146" t="str">
        <f>IF(OR(C109="Admin optional",LEFT(A109,9)="OPERATOR-",LEFT(A109,8)="PAYMENT-",LEFT(A109,7)="DEPLOY-"),"External","Core")</f>
        <v>Core</v>
      </c>
    </row>
    <row r="110" customFormat="false" ht="15" hidden="false" customHeight="false" outlineLevel="0" collapsed="false">
      <c r="A110" s="138" t="s">
        <v>1004</v>
      </c>
      <c r="B110" s="138" t="s">
        <v>935</v>
      </c>
      <c r="C110" s="258" t="s">
        <v>67</v>
      </c>
      <c r="D110" s="138" t="s">
        <v>1005</v>
      </c>
      <c r="E110" s="138" t="s">
        <v>1006</v>
      </c>
      <c r="F110" s="138" t="s">
        <v>4</v>
      </c>
      <c r="G110" s="138" t="s">
        <v>1007</v>
      </c>
      <c r="H110" s="138" t="s">
        <v>4</v>
      </c>
      <c r="I110" s="138" t="s">
        <v>4</v>
      </c>
      <c r="J110" s="138" t="s">
        <v>1008</v>
      </c>
      <c r="K110" s="138" t="s">
        <v>138</v>
      </c>
      <c r="L110" s="138" t="s">
        <v>1</v>
      </c>
      <c r="M110" s="138" t="s">
        <v>1</v>
      </c>
      <c r="N110" s="138" t="s">
        <v>1</v>
      </c>
      <c r="O110" s="138" t="s">
        <v>1009</v>
      </c>
      <c r="P110" s="138" t="s">
        <v>1010</v>
      </c>
      <c r="Q110" s="138" t="s">
        <v>1</v>
      </c>
      <c r="R110" s="138" t="s">
        <v>1011</v>
      </c>
      <c r="S110" s="138" t="s">
        <v>401</v>
      </c>
      <c r="T110" s="146" t="str">
        <f>IF(OR(ISNUMBER(SEARCH("FAIL",K110&amp;" "&amp;Q110)),ISNUMBER(SEARCH("CLEAN RETEST REQUIRED",K110&amp;" "&amp;Q110))),"Failed",IF(OR(ISNUMBER(SEARCH("NOT RUN",K110&amp;" "&amp;Q110)),ISNUMBER(SEARCH("NOT IMPLEMENTED",K110&amp;" "&amp;Q110))),"Not started",IF(OR(ISNUMBER(SEARCH("PARTIAL",K110&amp;" "&amp;Q110)),ISNUMBER(SEARCH("PENDING",K110&amp;" "&amp;Q110)),ISNUMBER(SEARCH("IN PROGRESS",K110&amp;" "&amp;Q110)),ISNUMBER(SEARCH("OPEN",K110&amp;" "&amp;Q110)),ISNUMBER(SEARCH("RETEST REQUIRED",K110&amp;" "&amp;Q110)),ISNUMBER(SEARCH("IMPLEMENTATION UPDATED",K110&amp;" "&amp;Q110)),ISNUMBER(SEARCH("REQUIRED EVERY SESSION",K110&amp;" "&amp;Q110))),"Pending",IF(OR(Q110="PASS",ISNUMBER(SEARCH("PASS",K110&amp;" "&amp;Q110))),"Done","Pending"))))</f>
        <v>Not started</v>
      </c>
      <c r="U110" s="146" t="str">
        <f>IF(OR(C110="Admin optional",LEFT(A110,9)="OPERATOR-",LEFT(A110,8)="PAYMENT-",LEFT(A110,7)="DEPLOY-"),"External","Core")</f>
        <v>Core</v>
      </c>
    </row>
    <row r="111" customFormat="false" ht="15" hidden="false" customHeight="false" outlineLevel="0" collapsed="false">
      <c r="A111" s="138" t="s">
        <v>1012</v>
      </c>
      <c r="B111" s="138" t="s">
        <v>935</v>
      </c>
      <c r="C111" s="258" t="s">
        <v>67</v>
      </c>
      <c r="D111" s="138" t="s">
        <v>1013</v>
      </c>
      <c r="E111" s="138" t="s">
        <v>1014</v>
      </c>
      <c r="F111" s="138" t="s">
        <v>4</v>
      </c>
      <c r="G111" s="138" t="s">
        <v>1015</v>
      </c>
      <c r="H111" s="138" t="s">
        <v>4</v>
      </c>
      <c r="I111" s="138" t="s">
        <v>4</v>
      </c>
      <c r="J111" s="138" t="s">
        <v>1016</v>
      </c>
      <c r="K111" s="138" t="s">
        <v>138</v>
      </c>
      <c r="L111" s="138" t="s">
        <v>1</v>
      </c>
      <c r="M111" s="138" t="s">
        <v>1</v>
      </c>
      <c r="N111" s="138" t="s">
        <v>1</v>
      </c>
      <c r="O111" s="138" t="s">
        <v>1017</v>
      </c>
      <c r="P111" s="138" t="s">
        <v>1018</v>
      </c>
      <c r="Q111" s="138" t="s">
        <v>1</v>
      </c>
      <c r="R111" s="138" t="s">
        <v>1019</v>
      </c>
      <c r="S111" s="138" t="s">
        <v>401</v>
      </c>
      <c r="T111" s="146" t="str">
        <f>IF(OR(ISNUMBER(SEARCH("FAIL",K111&amp;" "&amp;Q111)),ISNUMBER(SEARCH("CLEAN RETEST REQUIRED",K111&amp;" "&amp;Q111))),"Failed",IF(OR(ISNUMBER(SEARCH("NOT RUN",K111&amp;" "&amp;Q111)),ISNUMBER(SEARCH("NOT IMPLEMENTED",K111&amp;" "&amp;Q111))),"Not started",IF(OR(ISNUMBER(SEARCH("PARTIAL",K111&amp;" "&amp;Q111)),ISNUMBER(SEARCH("PENDING",K111&amp;" "&amp;Q111)),ISNUMBER(SEARCH("IN PROGRESS",K111&amp;" "&amp;Q111)),ISNUMBER(SEARCH("OPEN",K111&amp;" "&amp;Q111)),ISNUMBER(SEARCH("RETEST REQUIRED",K111&amp;" "&amp;Q111)),ISNUMBER(SEARCH("IMPLEMENTATION UPDATED",K111&amp;" "&amp;Q111)),ISNUMBER(SEARCH("REQUIRED EVERY SESSION",K111&amp;" "&amp;Q111))),"Pending",IF(OR(Q111="PASS",ISNUMBER(SEARCH("PASS",K111&amp;" "&amp;Q111))),"Done","Pending"))))</f>
        <v>Not started</v>
      </c>
      <c r="U111" s="146" t="str">
        <f>IF(OR(C111="Admin optional",LEFT(A111,9)="OPERATOR-",LEFT(A111,8)="PAYMENT-",LEFT(A111,7)="DEPLOY-"),"External","Core")</f>
        <v>Core</v>
      </c>
    </row>
    <row r="112" customFormat="false" ht="15" hidden="false" customHeight="false" outlineLevel="0" collapsed="false">
      <c r="A112" s="138" t="s">
        <v>1020</v>
      </c>
      <c r="B112" s="138" t="s">
        <v>935</v>
      </c>
      <c r="C112" s="258" t="s">
        <v>67</v>
      </c>
      <c r="D112" s="138" t="s">
        <v>1021</v>
      </c>
      <c r="E112" s="138" t="s">
        <v>1022</v>
      </c>
      <c r="F112" s="138" t="s">
        <v>4</v>
      </c>
      <c r="G112" s="138" t="s">
        <v>1023</v>
      </c>
      <c r="H112" s="138" t="s">
        <v>4</v>
      </c>
      <c r="I112" s="138" t="s">
        <v>4</v>
      </c>
      <c r="J112" s="138" t="s">
        <v>1024</v>
      </c>
      <c r="K112" s="138" t="s">
        <v>138</v>
      </c>
      <c r="L112" s="138" t="s">
        <v>1</v>
      </c>
      <c r="M112" s="138" t="s">
        <v>1</v>
      </c>
      <c r="N112" s="138" t="s">
        <v>1</v>
      </c>
      <c r="O112" s="138" t="s">
        <v>1025</v>
      </c>
      <c r="P112" s="138" t="s">
        <v>1026</v>
      </c>
      <c r="Q112" s="138" t="s">
        <v>1</v>
      </c>
      <c r="R112" s="138" t="s">
        <v>1027</v>
      </c>
      <c r="S112" s="138" t="s">
        <v>1028</v>
      </c>
      <c r="T112" s="146" t="str">
        <f>IF(OR(ISNUMBER(SEARCH("FAIL",K112&amp;" "&amp;Q112)),ISNUMBER(SEARCH("CLEAN RETEST REQUIRED",K112&amp;" "&amp;Q112))),"Failed",IF(OR(ISNUMBER(SEARCH("NOT RUN",K112&amp;" "&amp;Q112)),ISNUMBER(SEARCH("NOT IMPLEMENTED",K112&amp;" "&amp;Q112))),"Not started",IF(OR(ISNUMBER(SEARCH("PARTIAL",K112&amp;" "&amp;Q112)),ISNUMBER(SEARCH("PENDING",K112&amp;" "&amp;Q112)),ISNUMBER(SEARCH("IN PROGRESS",K112&amp;" "&amp;Q112)),ISNUMBER(SEARCH("OPEN",K112&amp;" "&amp;Q112)),ISNUMBER(SEARCH("RETEST REQUIRED",K112&amp;" "&amp;Q112)),ISNUMBER(SEARCH("IMPLEMENTATION UPDATED",K112&amp;" "&amp;Q112)),ISNUMBER(SEARCH("REQUIRED EVERY SESSION",K112&amp;" "&amp;Q112))),"Pending",IF(OR(Q112="PASS",ISNUMBER(SEARCH("PASS",K112&amp;" "&amp;Q112))),"Done","Pending"))))</f>
        <v>Not started</v>
      </c>
      <c r="U112" s="146" t="str">
        <f>IF(OR(C112="Admin optional",LEFT(A112,9)="OPERATOR-",LEFT(A112,8)="PAYMENT-",LEFT(A112,7)="DEPLOY-"),"External","Core")</f>
        <v>Core</v>
      </c>
    </row>
    <row r="113" customFormat="false" ht="15" hidden="false" customHeight="false" outlineLevel="0" collapsed="false">
      <c r="A113" s="138" t="s">
        <v>1029</v>
      </c>
      <c r="B113" s="138" t="s">
        <v>935</v>
      </c>
      <c r="C113" s="258" t="s">
        <v>67</v>
      </c>
      <c r="D113" s="138" t="s">
        <v>1030</v>
      </c>
      <c r="E113" s="138" t="s">
        <v>1031</v>
      </c>
      <c r="F113" s="138" t="s">
        <v>4</v>
      </c>
      <c r="G113" s="138" t="s">
        <v>1032</v>
      </c>
      <c r="H113" s="138" t="s">
        <v>4</v>
      </c>
      <c r="I113" s="138" t="s">
        <v>4</v>
      </c>
      <c r="J113" s="138" t="s">
        <v>1033</v>
      </c>
      <c r="K113" s="138" t="s">
        <v>138</v>
      </c>
      <c r="L113" s="138" t="s">
        <v>1</v>
      </c>
      <c r="M113" s="138" t="s">
        <v>1</v>
      </c>
      <c r="N113" s="138" t="s">
        <v>1</v>
      </c>
      <c r="O113" s="138" t="s">
        <v>1034</v>
      </c>
      <c r="P113" s="138" t="s">
        <v>1035</v>
      </c>
      <c r="Q113" s="138" t="s">
        <v>1</v>
      </c>
      <c r="R113" s="138" t="s">
        <v>1036</v>
      </c>
      <c r="S113" s="138" t="s">
        <v>1028</v>
      </c>
      <c r="T113" s="146" t="str">
        <f>IF(OR(ISNUMBER(SEARCH("FAIL",K113&amp;" "&amp;Q113)),ISNUMBER(SEARCH("CLEAN RETEST REQUIRED",K113&amp;" "&amp;Q113))),"Failed",IF(OR(ISNUMBER(SEARCH("NOT RUN",K113&amp;" "&amp;Q113)),ISNUMBER(SEARCH("NOT IMPLEMENTED",K113&amp;" "&amp;Q113))),"Not started",IF(OR(ISNUMBER(SEARCH("PARTIAL",K113&amp;" "&amp;Q113)),ISNUMBER(SEARCH("PENDING",K113&amp;" "&amp;Q113)),ISNUMBER(SEARCH("IN PROGRESS",K113&amp;" "&amp;Q113)),ISNUMBER(SEARCH("OPEN",K113&amp;" "&amp;Q113)),ISNUMBER(SEARCH("RETEST REQUIRED",K113&amp;" "&amp;Q113)),ISNUMBER(SEARCH("IMPLEMENTATION UPDATED",K113&amp;" "&amp;Q113)),ISNUMBER(SEARCH("REQUIRED EVERY SESSION",K113&amp;" "&amp;Q113))),"Pending",IF(OR(Q113="PASS",ISNUMBER(SEARCH("PASS",K113&amp;" "&amp;Q113))),"Done","Pending"))))</f>
        <v>Not started</v>
      </c>
      <c r="U113" s="146" t="str">
        <f>IF(OR(C113="Admin optional",LEFT(A113,9)="OPERATOR-",LEFT(A113,8)="PAYMENT-",LEFT(A113,7)="DEPLOY-"),"External","Core")</f>
        <v>Core</v>
      </c>
    </row>
    <row r="114" customFormat="false" ht="15" hidden="false" customHeight="false" outlineLevel="0" collapsed="false">
      <c r="A114" s="138" t="s">
        <v>1037</v>
      </c>
      <c r="B114" s="138" t="s">
        <v>935</v>
      </c>
      <c r="C114" s="258" t="s">
        <v>67</v>
      </c>
      <c r="D114" s="138" t="s">
        <v>1038</v>
      </c>
      <c r="E114" s="138" t="s">
        <v>1039</v>
      </c>
      <c r="F114" s="138" t="s">
        <v>1040</v>
      </c>
      <c r="G114" s="138" t="s">
        <v>1041</v>
      </c>
      <c r="H114" s="138" t="s">
        <v>4</v>
      </c>
      <c r="I114" s="138" t="s">
        <v>4</v>
      </c>
      <c r="J114" s="138" t="s">
        <v>1042</v>
      </c>
      <c r="K114" s="138" t="s">
        <v>138</v>
      </c>
      <c r="L114" s="138" t="s">
        <v>1</v>
      </c>
      <c r="M114" s="138" t="s">
        <v>1</v>
      </c>
      <c r="N114" s="138" t="s">
        <v>1</v>
      </c>
      <c r="O114" s="138" t="s">
        <v>1043</v>
      </c>
      <c r="P114" s="138" t="s">
        <v>1044</v>
      </c>
      <c r="Q114" s="138" t="s">
        <v>1</v>
      </c>
      <c r="R114" s="138" t="s">
        <v>1045</v>
      </c>
      <c r="S114" s="138" t="s">
        <v>324</v>
      </c>
      <c r="T114" s="146" t="str">
        <f>IF(OR(ISNUMBER(SEARCH("FAIL",K114&amp;" "&amp;Q114)),ISNUMBER(SEARCH("CLEAN RETEST REQUIRED",K114&amp;" "&amp;Q114))),"Failed",IF(OR(ISNUMBER(SEARCH("NOT RUN",K114&amp;" "&amp;Q114)),ISNUMBER(SEARCH("NOT IMPLEMENTED",K114&amp;" "&amp;Q114))),"Not started",IF(OR(ISNUMBER(SEARCH("PARTIAL",K114&amp;" "&amp;Q114)),ISNUMBER(SEARCH("PENDING",K114&amp;" "&amp;Q114)),ISNUMBER(SEARCH("IN PROGRESS",K114&amp;" "&amp;Q114)),ISNUMBER(SEARCH("OPEN",K114&amp;" "&amp;Q114)),ISNUMBER(SEARCH("RETEST REQUIRED",K114&amp;" "&amp;Q114)),ISNUMBER(SEARCH("IMPLEMENTATION UPDATED",K114&amp;" "&amp;Q114)),ISNUMBER(SEARCH("REQUIRED EVERY SESSION",K114&amp;" "&amp;Q114))),"Pending",IF(OR(Q114="PASS",ISNUMBER(SEARCH("PASS",K114&amp;" "&amp;Q114))),"Done","Pending"))))</f>
        <v>Not started</v>
      </c>
      <c r="U114" s="146" t="str">
        <f>IF(OR(C114="Admin optional",LEFT(A114,9)="OPERATOR-",LEFT(A114,8)="PAYMENT-",LEFT(A114,7)="DEPLOY-"),"External","Core")</f>
        <v>Core</v>
      </c>
    </row>
    <row r="115" customFormat="false" ht="15" hidden="false" customHeight="false" outlineLevel="0" collapsed="false">
      <c r="A115" s="138" t="s">
        <v>1046</v>
      </c>
      <c r="B115" s="138" t="s">
        <v>935</v>
      </c>
      <c r="C115" s="258" t="s">
        <v>67</v>
      </c>
      <c r="D115" s="138" t="s">
        <v>1047</v>
      </c>
      <c r="E115" s="138" t="s">
        <v>1048</v>
      </c>
      <c r="F115" s="138" t="s">
        <v>1040</v>
      </c>
      <c r="G115" s="138" t="s">
        <v>1049</v>
      </c>
      <c r="H115" s="138" t="s">
        <v>4</v>
      </c>
      <c r="I115" s="138" t="s">
        <v>4</v>
      </c>
      <c r="J115" s="138" t="s">
        <v>1050</v>
      </c>
      <c r="K115" s="138" t="s">
        <v>138</v>
      </c>
      <c r="L115" s="138" t="s">
        <v>1</v>
      </c>
      <c r="M115" s="138" t="s">
        <v>1</v>
      </c>
      <c r="N115" s="138" t="s">
        <v>1</v>
      </c>
      <c r="O115" s="138" t="s">
        <v>1051</v>
      </c>
      <c r="P115" s="138" t="s">
        <v>1052</v>
      </c>
      <c r="Q115" s="138" t="s">
        <v>1</v>
      </c>
      <c r="R115" s="138" t="s">
        <v>1053</v>
      </c>
      <c r="S115" s="138" t="s">
        <v>1028</v>
      </c>
      <c r="T115" s="146" t="str">
        <f>IF(OR(ISNUMBER(SEARCH("FAIL",K115&amp;" "&amp;Q115)),ISNUMBER(SEARCH("CLEAN RETEST REQUIRED",K115&amp;" "&amp;Q115))),"Failed",IF(OR(ISNUMBER(SEARCH("NOT RUN",K115&amp;" "&amp;Q115)),ISNUMBER(SEARCH("NOT IMPLEMENTED",K115&amp;" "&amp;Q115))),"Not started",IF(OR(ISNUMBER(SEARCH("PARTIAL",K115&amp;" "&amp;Q115)),ISNUMBER(SEARCH("PENDING",K115&amp;" "&amp;Q115)),ISNUMBER(SEARCH("IN PROGRESS",K115&amp;" "&amp;Q115)),ISNUMBER(SEARCH("OPEN",K115&amp;" "&amp;Q115)),ISNUMBER(SEARCH("RETEST REQUIRED",K115&amp;" "&amp;Q115)),ISNUMBER(SEARCH("IMPLEMENTATION UPDATED",K115&amp;" "&amp;Q115)),ISNUMBER(SEARCH("REQUIRED EVERY SESSION",K115&amp;" "&amp;Q115))),"Pending",IF(OR(Q115="PASS",ISNUMBER(SEARCH("PASS",K115&amp;" "&amp;Q115))),"Done","Pending"))))</f>
        <v>Not started</v>
      </c>
      <c r="U115" s="146" t="str">
        <f>IF(OR(C115="Admin optional",LEFT(A115,9)="OPERATOR-",LEFT(A115,8)="PAYMENT-",LEFT(A115,7)="DEPLOY-"),"External","Core")</f>
        <v>Core</v>
      </c>
    </row>
    <row r="116" customFormat="false" ht="15" hidden="false" customHeight="false" outlineLevel="0" collapsed="false">
      <c r="A116" s="138" t="s">
        <v>1054</v>
      </c>
      <c r="B116" s="138" t="s">
        <v>935</v>
      </c>
      <c r="C116" s="258" t="s">
        <v>67</v>
      </c>
      <c r="D116" s="138" t="s">
        <v>1055</v>
      </c>
      <c r="E116" s="138" t="s">
        <v>1056</v>
      </c>
      <c r="F116" s="138" t="s">
        <v>1040</v>
      </c>
      <c r="G116" s="138" t="s">
        <v>1057</v>
      </c>
      <c r="H116" s="138" t="s">
        <v>4</v>
      </c>
      <c r="I116" s="138" t="s">
        <v>4</v>
      </c>
      <c r="J116" s="138" t="s">
        <v>1058</v>
      </c>
      <c r="K116" s="138" t="s">
        <v>138</v>
      </c>
      <c r="L116" s="138" t="s">
        <v>1</v>
      </c>
      <c r="M116" s="138" t="s">
        <v>1</v>
      </c>
      <c r="N116" s="138" t="s">
        <v>1</v>
      </c>
      <c r="O116" s="138" t="s">
        <v>1059</v>
      </c>
      <c r="P116" s="138" t="s">
        <v>1060</v>
      </c>
      <c r="Q116" s="138" t="s">
        <v>1</v>
      </c>
      <c r="R116" s="138" t="s">
        <v>1061</v>
      </c>
      <c r="S116" s="138" t="s">
        <v>832</v>
      </c>
      <c r="T116" s="146" t="str">
        <f>IF(OR(ISNUMBER(SEARCH("FAIL",K116&amp;" "&amp;Q116)),ISNUMBER(SEARCH("CLEAN RETEST REQUIRED",K116&amp;" "&amp;Q116))),"Failed",IF(OR(ISNUMBER(SEARCH("NOT RUN",K116&amp;" "&amp;Q116)),ISNUMBER(SEARCH("NOT IMPLEMENTED",K116&amp;" "&amp;Q116))),"Not started",IF(OR(ISNUMBER(SEARCH("PARTIAL",K116&amp;" "&amp;Q116)),ISNUMBER(SEARCH("PENDING",K116&amp;" "&amp;Q116)),ISNUMBER(SEARCH("IN PROGRESS",K116&amp;" "&amp;Q116)),ISNUMBER(SEARCH("OPEN",K116&amp;" "&amp;Q116)),ISNUMBER(SEARCH("RETEST REQUIRED",K116&amp;" "&amp;Q116)),ISNUMBER(SEARCH("IMPLEMENTATION UPDATED",K116&amp;" "&amp;Q116)),ISNUMBER(SEARCH("REQUIRED EVERY SESSION",K116&amp;" "&amp;Q116))),"Pending",IF(OR(Q116="PASS",ISNUMBER(SEARCH("PASS",K116&amp;" "&amp;Q116))),"Done","Pending"))))</f>
        <v>Not started</v>
      </c>
      <c r="U116" s="146" t="str">
        <f>IF(OR(C116="Admin optional",LEFT(A116,9)="OPERATOR-",LEFT(A116,8)="PAYMENT-",LEFT(A116,7)="DEPLOY-"),"External","Core")</f>
        <v>Core</v>
      </c>
    </row>
    <row r="117" customFormat="false" ht="15" hidden="false" customHeight="false" outlineLevel="0" collapsed="false">
      <c r="A117" s="138" t="s">
        <v>1062</v>
      </c>
      <c r="B117" s="138" t="s">
        <v>935</v>
      </c>
      <c r="C117" s="258" t="s">
        <v>67</v>
      </c>
      <c r="D117" s="138" t="s">
        <v>1063</v>
      </c>
      <c r="E117" s="138" t="s">
        <v>1064</v>
      </c>
      <c r="F117" s="138" t="s">
        <v>1065</v>
      </c>
      <c r="G117" s="138" t="s">
        <v>1066</v>
      </c>
      <c r="H117" s="138" t="s">
        <v>4</v>
      </c>
      <c r="I117" s="138" t="s">
        <v>4</v>
      </c>
      <c r="J117" s="138" t="s">
        <v>1067</v>
      </c>
      <c r="K117" s="138" t="s">
        <v>138</v>
      </c>
      <c r="L117" s="138" t="s">
        <v>1</v>
      </c>
      <c r="M117" s="138" t="s">
        <v>1</v>
      </c>
      <c r="N117" s="138" t="s">
        <v>1</v>
      </c>
      <c r="O117" s="138" t="s">
        <v>1068</v>
      </c>
      <c r="P117" s="138" t="s">
        <v>1069</v>
      </c>
      <c r="Q117" s="138" t="s">
        <v>1</v>
      </c>
      <c r="R117" s="138" t="s">
        <v>1070</v>
      </c>
      <c r="S117" s="138" t="s">
        <v>994</v>
      </c>
      <c r="T117" s="146" t="str">
        <f>IF(OR(ISNUMBER(SEARCH("FAIL",K117&amp;" "&amp;Q117)),ISNUMBER(SEARCH("CLEAN RETEST REQUIRED",K117&amp;" "&amp;Q117))),"Failed",IF(OR(ISNUMBER(SEARCH("NOT RUN",K117&amp;" "&amp;Q117)),ISNUMBER(SEARCH("NOT IMPLEMENTED",K117&amp;" "&amp;Q117))),"Not started",IF(OR(ISNUMBER(SEARCH("PARTIAL",K117&amp;" "&amp;Q117)),ISNUMBER(SEARCH("PENDING",K117&amp;" "&amp;Q117)),ISNUMBER(SEARCH("IN PROGRESS",K117&amp;" "&amp;Q117)),ISNUMBER(SEARCH("OPEN",K117&amp;" "&amp;Q117)),ISNUMBER(SEARCH("RETEST REQUIRED",K117&amp;" "&amp;Q117)),ISNUMBER(SEARCH("IMPLEMENTATION UPDATED",K117&amp;" "&amp;Q117)),ISNUMBER(SEARCH("REQUIRED EVERY SESSION",K117&amp;" "&amp;Q117))),"Pending",IF(OR(Q117="PASS",ISNUMBER(SEARCH("PASS",K117&amp;" "&amp;Q117))),"Done","Pending"))))</f>
        <v>Not started</v>
      </c>
      <c r="U117" s="146" t="str">
        <f>IF(OR(C117="Admin optional",LEFT(A117,9)="OPERATOR-",LEFT(A117,8)="PAYMENT-",LEFT(A117,7)="DEPLOY-"),"External","Core")</f>
        <v>Core</v>
      </c>
    </row>
    <row r="118" customFormat="false" ht="15" hidden="false" customHeight="false" outlineLevel="0" collapsed="false">
      <c r="A118" s="138" t="s">
        <v>1071</v>
      </c>
      <c r="B118" s="138" t="s">
        <v>935</v>
      </c>
      <c r="C118" s="258" t="s">
        <v>67</v>
      </c>
      <c r="D118" s="138" t="s">
        <v>1072</v>
      </c>
      <c r="E118" s="138" t="s">
        <v>1073</v>
      </c>
      <c r="F118" s="138" t="s">
        <v>4</v>
      </c>
      <c r="G118" s="138" t="s">
        <v>1074</v>
      </c>
      <c r="H118" s="138" t="s">
        <v>4</v>
      </c>
      <c r="I118" s="138" t="s">
        <v>4</v>
      </c>
      <c r="J118" s="138" t="s">
        <v>1075</v>
      </c>
      <c r="K118" s="138" t="s">
        <v>138</v>
      </c>
      <c r="L118" s="138" t="s">
        <v>1</v>
      </c>
      <c r="M118" s="138" t="s">
        <v>1</v>
      </c>
      <c r="N118" s="138" t="s">
        <v>1</v>
      </c>
      <c r="O118" s="138" t="s">
        <v>1076</v>
      </c>
      <c r="P118" s="138" t="s">
        <v>1077</v>
      </c>
      <c r="Q118" s="138" t="s">
        <v>1</v>
      </c>
      <c r="R118" s="138" t="s">
        <v>1078</v>
      </c>
      <c r="S118" s="138" t="s">
        <v>324</v>
      </c>
      <c r="T118" s="146" t="str">
        <f>IF(OR(ISNUMBER(SEARCH("FAIL",K118&amp;" "&amp;Q118)),ISNUMBER(SEARCH("CLEAN RETEST REQUIRED",K118&amp;" "&amp;Q118))),"Failed",IF(OR(ISNUMBER(SEARCH("NOT RUN",K118&amp;" "&amp;Q118)),ISNUMBER(SEARCH("NOT IMPLEMENTED",K118&amp;" "&amp;Q118))),"Not started",IF(OR(ISNUMBER(SEARCH("PARTIAL",K118&amp;" "&amp;Q118)),ISNUMBER(SEARCH("PENDING",K118&amp;" "&amp;Q118)),ISNUMBER(SEARCH("IN PROGRESS",K118&amp;" "&amp;Q118)),ISNUMBER(SEARCH("OPEN",K118&amp;" "&amp;Q118)),ISNUMBER(SEARCH("RETEST REQUIRED",K118&amp;" "&amp;Q118)),ISNUMBER(SEARCH("IMPLEMENTATION UPDATED",K118&amp;" "&amp;Q118)),ISNUMBER(SEARCH("REQUIRED EVERY SESSION",K118&amp;" "&amp;Q118))),"Pending",IF(OR(Q118="PASS",ISNUMBER(SEARCH("PASS",K118&amp;" "&amp;Q118))),"Done","Pending"))))</f>
        <v>Not started</v>
      </c>
      <c r="U118" s="146" t="str">
        <f>IF(OR(C118="Admin optional",LEFT(A118,9)="OPERATOR-",LEFT(A118,8)="PAYMENT-",LEFT(A118,7)="DEPLOY-"),"External","Core")</f>
        <v>Core</v>
      </c>
    </row>
    <row r="119" customFormat="false" ht="15" hidden="false" customHeight="false" outlineLevel="0" collapsed="false">
      <c r="A119" s="138" t="s">
        <v>1079</v>
      </c>
      <c r="B119" s="138" t="s">
        <v>935</v>
      </c>
      <c r="C119" s="258" t="s">
        <v>67</v>
      </c>
      <c r="D119" s="138" t="s">
        <v>1080</v>
      </c>
      <c r="E119" s="138" t="s">
        <v>1081</v>
      </c>
      <c r="F119" s="138" t="s">
        <v>1082</v>
      </c>
      <c r="G119" s="138" t="s">
        <v>1083</v>
      </c>
      <c r="H119" s="138" t="s">
        <v>4</v>
      </c>
      <c r="I119" s="138" t="s">
        <v>4</v>
      </c>
      <c r="J119" s="138" t="s">
        <v>1084</v>
      </c>
      <c r="K119" s="138" t="s">
        <v>138</v>
      </c>
      <c r="L119" s="138" t="s">
        <v>1</v>
      </c>
      <c r="M119" s="138" t="s">
        <v>1</v>
      </c>
      <c r="N119" s="138" t="s">
        <v>1</v>
      </c>
      <c r="O119" s="138" t="s">
        <v>1085</v>
      </c>
      <c r="P119" s="138" t="s">
        <v>1086</v>
      </c>
      <c r="Q119" s="138" t="s">
        <v>1</v>
      </c>
      <c r="R119" s="138" t="s">
        <v>1087</v>
      </c>
      <c r="S119" s="138" t="s">
        <v>390</v>
      </c>
      <c r="T119" s="146" t="str">
        <f>IF(OR(ISNUMBER(SEARCH("FAIL",K119&amp;" "&amp;Q119)),ISNUMBER(SEARCH("CLEAN RETEST REQUIRED",K119&amp;" "&amp;Q119))),"Failed",IF(OR(ISNUMBER(SEARCH("NOT RUN",K119&amp;" "&amp;Q119)),ISNUMBER(SEARCH("NOT IMPLEMENTED",K119&amp;" "&amp;Q119))),"Not started",IF(OR(ISNUMBER(SEARCH("PARTIAL",K119&amp;" "&amp;Q119)),ISNUMBER(SEARCH("PENDING",K119&amp;" "&amp;Q119)),ISNUMBER(SEARCH("IN PROGRESS",K119&amp;" "&amp;Q119)),ISNUMBER(SEARCH("OPEN",K119&amp;" "&amp;Q119)),ISNUMBER(SEARCH("RETEST REQUIRED",K119&amp;" "&amp;Q119)),ISNUMBER(SEARCH("IMPLEMENTATION UPDATED",K119&amp;" "&amp;Q119)),ISNUMBER(SEARCH("REQUIRED EVERY SESSION",K119&amp;" "&amp;Q119))),"Pending",IF(OR(Q119="PASS",ISNUMBER(SEARCH("PASS",K119&amp;" "&amp;Q119))),"Done","Pending"))))</f>
        <v>Not started</v>
      </c>
      <c r="U119" s="146" t="str">
        <f>IF(OR(C119="Admin optional",LEFT(A119,9)="OPERATOR-",LEFT(A119,8)="PAYMENT-",LEFT(A119,7)="DEPLOY-"),"External","Core")</f>
        <v>Core</v>
      </c>
    </row>
    <row r="120" customFormat="false" ht="15" hidden="false" customHeight="false" outlineLevel="0" collapsed="false">
      <c r="A120" s="138" t="s">
        <v>1088</v>
      </c>
      <c r="B120" s="138" t="s">
        <v>935</v>
      </c>
      <c r="C120" s="258" t="s">
        <v>67</v>
      </c>
      <c r="D120" s="138" t="s">
        <v>1089</v>
      </c>
      <c r="E120" s="138" t="s">
        <v>1090</v>
      </c>
      <c r="F120" s="138" t="s">
        <v>1091</v>
      </c>
      <c r="G120" s="138" t="s">
        <v>1092</v>
      </c>
      <c r="H120" s="138" t="s">
        <v>4</v>
      </c>
      <c r="I120" s="138" t="s">
        <v>4</v>
      </c>
      <c r="J120" s="138" t="s">
        <v>1093</v>
      </c>
      <c r="K120" s="138" t="s">
        <v>138</v>
      </c>
      <c r="L120" s="138" t="s">
        <v>1</v>
      </c>
      <c r="M120" s="138" t="s">
        <v>1</v>
      </c>
      <c r="N120" s="138" t="s">
        <v>1</v>
      </c>
      <c r="O120" s="138" t="s">
        <v>1094</v>
      </c>
      <c r="P120" s="138" t="s">
        <v>1095</v>
      </c>
      <c r="Q120" s="138" t="s">
        <v>1</v>
      </c>
      <c r="R120" s="138" t="s">
        <v>1096</v>
      </c>
      <c r="S120" s="138" t="s">
        <v>133</v>
      </c>
      <c r="T120" s="146" t="str">
        <f>IF(OR(ISNUMBER(SEARCH("FAIL",K120&amp;" "&amp;Q120)),ISNUMBER(SEARCH("CLEAN RETEST REQUIRED",K120&amp;" "&amp;Q120))),"Failed",IF(OR(ISNUMBER(SEARCH("NOT RUN",K120&amp;" "&amp;Q120)),ISNUMBER(SEARCH("NOT IMPLEMENTED",K120&amp;" "&amp;Q120))),"Not started",IF(OR(ISNUMBER(SEARCH("PARTIAL",K120&amp;" "&amp;Q120)),ISNUMBER(SEARCH("PENDING",K120&amp;" "&amp;Q120)),ISNUMBER(SEARCH("IN PROGRESS",K120&amp;" "&amp;Q120)),ISNUMBER(SEARCH("OPEN",K120&amp;" "&amp;Q120)),ISNUMBER(SEARCH("RETEST REQUIRED",K120&amp;" "&amp;Q120)),ISNUMBER(SEARCH("IMPLEMENTATION UPDATED",K120&amp;" "&amp;Q120)),ISNUMBER(SEARCH("REQUIRED EVERY SESSION",K120&amp;" "&amp;Q120))),"Pending",IF(OR(Q120="PASS",ISNUMBER(SEARCH("PASS",K120&amp;" "&amp;Q120))),"Done","Pending"))))</f>
        <v>Not started</v>
      </c>
      <c r="U120" s="146" t="str">
        <f>IF(OR(C120="Admin optional",LEFT(A120,9)="OPERATOR-",LEFT(A120,8)="PAYMENT-",LEFT(A120,7)="DEPLOY-"),"External","Core")</f>
        <v>Core</v>
      </c>
    </row>
    <row r="121" customFormat="false" ht="15" hidden="false" customHeight="false" outlineLevel="0" collapsed="false">
      <c r="A121" s="138" t="s">
        <v>1097</v>
      </c>
      <c r="B121" s="138" t="s">
        <v>863</v>
      </c>
      <c r="C121" s="259" t="s">
        <v>34</v>
      </c>
      <c r="D121" s="138" t="s">
        <v>1098</v>
      </c>
      <c r="E121" s="138" t="s">
        <v>1099</v>
      </c>
      <c r="F121" s="138" t="s">
        <v>1100</v>
      </c>
      <c r="G121" s="138" t="s">
        <v>1101</v>
      </c>
      <c r="H121" s="138" t="s">
        <v>4</v>
      </c>
      <c r="I121" s="138" t="s">
        <v>4</v>
      </c>
      <c r="J121" s="138" t="s">
        <v>1102</v>
      </c>
      <c r="K121" s="138" t="s">
        <v>138</v>
      </c>
      <c r="L121" s="138" t="s">
        <v>1</v>
      </c>
      <c r="M121" s="138" t="s">
        <v>1</v>
      </c>
      <c r="N121" s="138" t="s">
        <v>1</v>
      </c>
      <c r="O121" s="138" t="s">
        <v>1103</v>
      </c>
      <c r="P121" s="138" t="s">
        <v>1104</v>
      </c>
      <c r="Q121" s="138" t="s">
        <v>1</v>
      </c>
      <c r="R121" s="138" t="s">
        <v>1105</v>
      </c>
      <c r="S121" s="138" t="s">
        <v>133</v>
      </c>
      <c r="T121" s="146" t="str">
        <f>IF(OR(ISNUMBER(SEARCH("FAIL",K121&amp;" "&amp;Q121)),ISNUMBER(SEARCH("CLEAN RETEST REQUIRED",K121&amp;" "&amp;Q121))),"Failed",IF(OR(ISNUMBER(SEARCH("NOT RUN",K121&amp;" "&amp;Q121)),ISNUMBER(SEARCH("NOT IMPLEMENTED",K121&amp;" "&amp;Q121))),"Not started",IF(OR(ISNUMBER(SEARCH("PARTIAL",K121&amp;" "&amp;Q121)),ISNUMBER(SEARCH("PENDING",K121&amp;" "&amp;Q121)),ISNUMBER(SEARCH("IN PROGRESS",K121&amp;" "&amp;Q121)),ISNUMBER(SEARCH("OPEN",K121&amp;" "&amp;Q121)),ISNUMBER(SEARCH("RETEST REQUIRED",K121&amp;" "&amp;Q121)),ISNUMBER(SEARCH("IMPLEMENTATION UPDATED",K121&amp;" "&amp;Q121)),ISNUMBER(SEARCH("REQUIRED EVERY SESSION",K121&amp;" "&amp;Q121))),"Pending",IF(OR(Q121="PASS",ISNUMBER(SEARCH("PASS",K121&amp;" "&amp;Q121))),"Done","Pending"))))</f>
        <v>Not started</v>
      </c>
      <c r="U121" s="146" t="str">
        <f>IF(OR(C121="Admin optional",LEFT(A121,9)="OPERATOR-",LEFT(A121,8)="PAYMENT-",LEFT(A121,7)="DEPLOY-"),"External","Core")</f>
        <v>Core</v>
      </c>
    </row>
    <row r="122" customFormat="false" ht="15" hidden="false" customHeight="false" outlineLevel="0" collapsed="false">
      <c r="A122" s="138" t="s">
        <v>1106</v>
      </c>
      <c r="B122" s="138" t="s">
        <v>863</v>
      </c>
      <c r="C122" s="259" t="s">
        <v>34</v>
      </c>
      <c r="D122" s="138" t="s">
        <v>1107</v>
      </c>
      <c r="E122" s="138" t="s">
        <v>1108</v>
      </c>
      <c r="F122" s="138" t="s">
        <v>1109</v>
      </c>
      <c r="G122" s="138" t="s">
        <v>1110</v>
      </c>
      <c r="H122" s="138" t="s">
        <v>1111</v>
      </c>
      <c r="I122" s="138" t="s">
        <v>4</v>
      </c>
      <c r="J122" s="138" t="s">
        <v>1112</v>
      </c>
      <c r="K122" s="138" t="s">
        <v>138</v>
      </c>
      <c r="L122" s="138" t="s">
        <v>1</v>
      </c>
      <c r="M122" s="138" t="s">
        <v>1</v>
      </c>
      <c r="N122" s="138" t="s">
        <v>1</v>
      </c>
      <c r="O122" s="138" t="s">
        <v>1113</v>
      </c>
      <c r="P122" s="138" t="s">
        <v>1114</v>
      </c>
      <c r="Q122" s="138" t="s">
        <v>1</v>
      </c>
      <c r="R122" s="138" t="s">
        <v>1115</v>
      </c>
      <c r="S122" s="138" t="s">
        <v>401</v>
      </c>
      <c r="T122" s="146" t="str">
        <f>IF(OR(ISNUMBER(SEARCH("FAIL",K122&amp;" "&amp;Q122)),ISNUMBER(SEARCH("CLEAN RETEST REQUIRED",K122&amp;" "&amp;Q122))),"Failed",IF(OR(ISNUMBER(SEARCH("NOT RUN",K122&amp;" "&amp;Q122)),ISNUMBER(SEARCH("NOT IMPLEMENTED",K122&amp;" "&amp;Q122))),"Not started",IF(OR(ISNUMBER(SEARCH("PARTIAL",K122&amp;" "&amp;Q122)),ISNUMBER(SEARCH("PENDING",K122&amp;" "&amp;Q122)),ISNUMBER(SEARCH("IN PROGRESS",K122&amp;" "&amp;Q122)),ISNUMBER(SEARCH("OPEN",K122&amp;" "&amp;Q122)),ISNUMBER(SEARCH("RETEST REQUIRED",K122&amp;" "&amp;Q122)),ISNUMBER(SEARCH("IMPLEMENTATION UPDATED",K122&amp;" "&amp;Q122)),ISNUMBER(SEARCH("REQUIRED EVERY SESSION",K122&amp;" "&amp;Q122))),"Pending",IF(OR(Q122="PASS",ISNUMBER(SEARCH("PASS",K122&amp;" "&amp;Q122))),"Done","Pending"))))</f>
        <v>Not started</v>
      </c>
      <c r="U122" s="146" t="str">
        <f>IF(OR(C122="Admin optional",LEFT(A122,9)="OPERATOR-",LEFT(A122,8)="PAYMENT-",LEFT(A122,7)="DEPLOY-"),"External","Core")</f>
        <v>Core</v>
      </c>
    </row>
    <row r="123" customFormat="false" ht="15" hidden="false" customHeight="false" outlineLevel="0" collapsed="false">
      <c r="A123" s="138" t="s">
        <v>1116</v>
      </c>
      <c r="B123" s="138" t="s">
        <v>257</v>
      </c>
      <c r="C123" s="259" t="s">
        <v>34</v>
      </c>
      <c r="D123" s="138" t="s">
        <v>1117</v>
      </c>
      <c r="E123" s="138" t="s">
        <v>1118</v>
      </c>
      <c r="F123" s="138" t="s">
        <v>1119</v>
      </c>
      <c r="G123" s="138" t="s">
        <v>1120</v>
      </c>
      <c r="H123" s="138" t="s">
        <v>4</v>
      </c>
      <c r="I123" s="138" t="s">
        <v>436</v>
      </c>
      <c r="J123" s="138" t="s">
        <v>1121</v>
      </c>
      <c r="K123" s="138" t="s">
        <v>366</v>
      </c>
      <c r="L123" s="138" t="s">
        <v>1</v>
      </c>
      <c r="M123" s="138" t="s">
        <v>1</v>
      </c>
      <c r="N123" s="138" t="s">
        <v>1</v>
      </c>
      <c r="O123" s="138" t="s">
        <v>1122</v>
      </c>
      <c r="P123" s="138" t="s">
        <v>1123</v>
      </c>
      <c r="Q123" s="138" t="s">
        <v>1</v>
      </c>
      <c r="R123" s="138" t="s">
        <v>1124</v>
      </c>
      <c r="S123" s="138" t="s">
        <v>290</v>
      </c>
      <c r="T123" s="146" t="str">
        <f>IF(OR(ISNUMBER(SEARCH("FAIL",K123&amp;" "&amp;Q123)),ISNUMBER(SEARCH("CLEAN RETEST REQUIRED",K123&amp;" "&amp;Q123))),"Failed",IF(OR(ISNUMBER(SEARCH("NOT RUN",K123&amp;" "&amp;Q123)),ISNUMBER(SEARCH("NOT IMPLEMENTED",K123&amp;" "&amp;Q123))),"Not started",IF(OR(ISNUMBER(SEARCH("PARTIAL",K123&amp;" "&amp;Q123)),ISNUMBER(SEARCH("PENDING",K123&amp;" "&amp;Q123)),ISNUMBER(SEARCH("IN PROGRESS",K123&amp;" "&amp;Q123)),ISNUMBER(SEARCH("OPEN",K123&amp;" "&amp;Q123)),ISNUMBER(SEARCH("RETEST REQUIRED",K123&amp;" "&amp;Q123)),ISNUMBER(SEARCH("IMPLEMENTATION UPDATED",K123&amp;" "&amp;Q123)),ISNUMBER(SEARCH("REQUIRED EVERY SESSION",K123&amp;" "&amp;Q123))),"Pending",IF(OR(Q123="PASS",ISNUMBER(SEARCH("PASS",K123&amp;" "&amp;Q123))),"Done","Pending"))))</f>
        <v>Not started</v>
      </c>
      <c r="U123" s="146" t="str">
        <f>IF(OR(C123="Admin optional",LEFT(A123,9)="OPERATOR-",LEFT(A123,8)="PAYMENT-",LEFT(A123,7)="DEPLOY-"),"External","Core")</f>
        <v>Core</v>
      </c>
    </row>
    <row r="124" customFormat="false" ht="15" hidden="false" customHeight="false" outlineLevel="0" collapsed="false">
      <c r="A124" s="138" t="s">
        <v>1125</v>
      </c>
      <c r="B124" s="138" t="s">
        <v>257</v>
      </c>
      <c r="C124" s="259" t="s">
        <v>34</v>
      </c>
      <c r="D124" s="138" t="s">
        <v>1117</v>
      </c>
      <c r="E124" s="138" t="s">
        <v>1126</v>
      </c>
      <c r="F124" s="138" t="s">
        <v>1119</v>
      </c>
      <c r="G124" s="138" t="s">
        <v>1127</v>
      </c>
      <c r="H124" s="138" t="s">
        <v>4</v>
      </c>
      <c r="I124" s="138" t="s">
        <v>1128</v>
      </c>
      <c r="J124" s="138" t="s">
        <v>1129</v>
      </c>
      <c r="K124" s="138" t="s">
        <v>366</v>
      </c>
      <c r="L124" s="138" t="s">
        <v>1</v>
      </c>
      <c r="M124" s="138" t="s">
        <v>1</v>
      </c>
      <c r="N124" s="138" t="s">
        <v>1</v>
      </c>
      <c r="O124" s="138" t="s">
        <v>1130</v>
      </c>
      <c r="P124" s="138" t="s">
        <v>1131</v>
      </c>
      <c r="Q124" s="138" t="s">
        <v>1</v>
      </c>
      <c r="R124" s="138" t="s">
        <v>1132</v>
      </c>
      <c r="S124" s="138" t="s">
        <v>324</v>
      </c>
      <c r="T124" s="146" t="str">
        <f>IF(OR(ISNUMBER(SEARCH("FAIL",K124&amp;" "&amp;Q124)),ISNUMBER(SEARCH("CLEAN RETEST REQUIRED",K124&amp;" "&amp;Q124))),"Failed",IF(OR(ISNUMBER(SEARCH("NOT RUN",K124&amp;" "&amp;Q124)),ISNUMBER(SEARCH("NOT IMPLEMENTED",K124&amp;" "&amp;Q124))),"Not started",IF(OR(ISNUMBER(SEARCH("PARTIAL",K124&amp;" "&amp;Q124)),ISNUMBER(SEARCH("PENDING",K124&amp;" "&amp;Q124)),ISNUMBER(SEARCH("IN PROGRESS",K124&amp;" "&amp;Q124)),ISNUMBER(SEARCH("OPEN",K124&amp;" "&amp;Q124)),ISNUMBER(SEARCH("RETEST REQUIRED",K124&amp;" "&amp;Q124)),ISNUMBER(SEARCH("IMPLEMENTATION UPDATED",K124&amp;" "&amp;Q124)),ISNUMBER(SEARCH("REQUIRED EVERY SESSION",K124&amp;" "&amp;Q124))),"Pending",IF(OR(Q124="PASS",ISNUMBER(SEARCH("PASS",K124&amp;" "&amp;Q124))),"Done","Pending"))))</f>
        <v>Not started</v>
      </c>
      <c r="U124" s="146" t="str">
        <f>IF(OR(C124="Admin optional",LEFT(A124,9)="OPERATOR-",LEFT(A124,8)="PAYMENT-",LEFT(A124,7)="DEPLOY-"),"External","Core")</f>
        <v>Core</v>
      </c>
    </row>
    <row r="125" customFormat="false" ht="15" hidden="false" customHeight="false" outlineLevel="0" collapsed="false">
      <c r="A125" s="138" t="s">
        <v>1133</v>
      </c>
      <c r="B125" s="138" t="s">
        <v>863</v>
      </c>
      <c r="C125" s="259" t="s">
        <v>34</v>
      </c>
      <c r="D125" s="138" t="s">
        <v>1134</v>
      </c>
      <c r="E125" s="138" t="s">
        <v>1135</v>
      </c>
      <c r="F125" s="138" t="s">
        <v>1136</v>
      </c>
      <c r="G125" s="138" t="s">
        <v>1137</v>
      </c>
      <c r="H125" s="138" t="s">
        <v>4</v>
      </c>
      <c r="I125" s="138" t="s">
        <v>1138</v>
      </c>
      <c r="J125" s="138" t="s">
        <v>1139</v>
      </c>
      <c r="K125" s="138" t="s">
        <v>138</v>
      </c>
      <c r="L125" s="138" t="s">
        <v>1</v>
      </c>
      <c r="M125" s="138" t="s">
        <v>1</v>
      </c>
      <c r="N125" s="138" t="s">
        <v>1</v>
      </c>
      <c r="O125" s="138" t="s">
        <v>1140</v>
      </c>
      <c r="P125" s="138" t="s">
        <v>1141</v>
      </c>
      <c r="Q125" s="138" t="s">
        <v>1</v>
      </c>
      <c r="R125" s="138" t="s">
        <v>1142</v>
      </c>
      <c r="S125" s="138" t="s">
        <v>107</v>
      </c>
      <c r="T125" s="146" t="str">
        <f>IF(OR(ISNUMBER(SEARCH("FAIL",K125&amp;" "&amp;Q125)),ISNUMBER(SEARCH("CLEAN RETEST REQUIRED",K125&amp;" "&amp;Q125))),"Failed",IF(OR(ISNUMBER(SEARCH("NOT RUN",K125&amp;" "&amp;Q125)),ISNUMBER(SEARCH("NOT IMPLEMENTED",K125&amp;" "&amp;Q125))),"Not started",IF(OR(ISNUMBER(SEARCH("PARTIAL",K125&amp;" "&amp;Q125)),ISNUMBER(SEARCH("PENDING",K125&amp;" "&amp;Q125)),ISNUMBER(SEARCH("IN PROGRESS",K125&amp;" "&amp;Q125)),ISNUMBER(SEARCH("OPEN",K125&amp;" "&amp;Q125)),ISNUMBER(SEARCH("RETEST REQUIRED",K125&amp;" "&amp;Q125)),ISNUMBER(SEARCH("IMPLEMENTATION UPDATED",K125&amp;" "&amp;Q125)),ISNUMBER(SEARCH("REQUIRED EVERY SESSION",K125&amp;" "&amp;Q125))),"Pending",IF(OR(Q125="PASS",ISNUMBER(SEARCH("PASS",K125&amp;" "&amp;Q125))),"Done","Pending"))))</f>
        <v>Not started</v>
      </c>
      <c r="U125" s="146" t="str">
        <f>IF(OR(C125="Admin optional",LEFT(A125,9)="OPERATOR-",LEFT(A125,8)="PAYMENT-",LEFT(A125,7)="DEPLOY-"),"External","Core")</f>
        <v>Core</v>
      </c>
    </row>
    <row r="126" customFormat="false" ht="15" hidden="false" customHeight="false" outlineLevel="0" collapsed="false">
      <c r="A126" s="138" t="s">
        <v>1143</v>
      </c>
      <c r="B126" s="138" t="s">
        <v>863</v>
      </c>
      <c r="C126" s="259" t="s">
        <v>34</v>
      </c>
      <c r="D126" s="138" t="s">
        <v>1144</v>
      </c>
      <c r="E126" s="138" t="s">
        <v>1145</v>
      </c>
      <c r="F126" s="138" t="s">
        <v>1146</v>
      </c>
      <c r="G126" s="138" t="s">
        <v>1147</v>
      </c>
      <c r="H126" s="138" t="s">
        <v>4</v>
      </c>
      <c r="I126" s="138" t="s">
        <v>1148</v>
      </c>
      <c r="J126" s="138" t="s">
        <v>1149</v>
      </c>
      <c r="K126" s="138" t="s">
        <v>138</v>
      </c>
      <c r="L126" s="138" t="s">
        <v>1</v>
      </c>
      <c r="M126" s="138" t="s">
        <v>1</v>
      </c>
      <c r="N126" s="138" t="s">
        <v>1</v>
      </c>
      <c r="O126" s="138" t="s">
        <v>1150</v>
      </c>
      <c r="P126" s="138" t="s">
        <v>1151</v>
      </c>
      <c r="Q126" s="138" t="s">
        <v>1</v>
      </c>
      <c r="R126" s="138" t="s">
        <v>1152</v>
      </c>
      <c r="S126" s="138" t="s">
        <v>133</v>
      </c>
      <c r="T126" s="146" t="str">
        <f>IF(OR(ISNUMBER(SEARCH("FAIL",K126&amp;" "&amp;Q126)),ISNUMBER(SEARCH("CLEAN RETEST REQUIRED",K126&amp;" "&amp;Q126))),"Failed",IF(OR(ISNUMBER(SEARCH("NOT RUN",K126&amp;" "&amp;Q126)),ISNUMBER(SEARCH("NOT IMPLEMENTED",K126&amp;" "&amp;Q126))),"Not started",IF(OR(ISNUMBER(SEARCH("PARTIAL",K126&amp;" "&amp;Q126)),ISNUMBER(SEARCH("PENDING",K126&amp;" "&amp;Q126)),ISNUMBER(SEARCH("IN PROGRESS",K126&amp;" "&amp;Q126)),ISNUMBER(SEARCH("OPEN",K126&amp;" "&amp;Q126)),ISNUMBER(SEARCH("RETEST REQUIRED",K126&amp;" "&amp;Q126)),ISNUMBER(SEARCH("IMPLEMENTATION UPDATED",K126&amp;" "&amp;Q126)),ISNUMBER(SEARCH("REQUIRED EVERY SESSION",K126&amp;" "&amp;Q126))),"Pending",IF(OR(Q126="PASS",ISNUMBER(SEARCH("PASS",K126&amp;" "&amp;Q126))),"Done","Pending"))))</f>
        <v>Not started</v>
      </c>
      <c r="U126" s="146" t="str">
        <f>IF(OR(C126="Admin optional",LEFT(A126,9)="OPERATOR-",LEFT(A126,8)="PAYMENT-",LEFT(A126,7)="DEPLOY-"),"External","Core")</f>
        <v>Core</v>
      </c>
    </row>
    <row r="127" customFormat="false" ht="15" hidden="false" customHeight="false" outlineLevel="0" collapsed="false">
      <c r="A127" s="138" t="s">
        <v>1153</v>
      </c>
      <c r="B127" s="138" t="s">
        <v>257</v>
      </c>
      <c r="C127" s="259" t="s">
        <v>34</v>
      </c>
      <c r="D127" s="138" t="s">
        <v>1154</v>
      </c>
      <c r="E127" s="138" t="s">
        <v>1155</v>
      </c>
      <c r="F127" s="138" t="s">
        <v>1156</v>
      </c>
      <c r="G127" s="138" t="s">
        <v>1157</v>
      </c>
      <c r="H127" s="138" t="s">
        <v>4</v>
      </c>
      <c r="I127" s="138" t="s">
        <v>1158</v>
      </c>
      <c r="J127" s="138" t="s">
        <v>1159</v>
      </c>
      <c r="K127" s="138" t="s">
        <v>366</v>
      </c>
      <c r="L127" s="138" t="s">
        <v>1</v>
      </c>
      <c r="M127" s="138" t="s">
        <v>1</v>
      </c>
      <c r="N127" s="138" t="s">
        <v>1</v>
      </c>
      <c r="O127" s="138" t="s">
        <v>1160</v>
      </c>
      <c r="P127" s="138" t="s">
        <v>1161</v>
      </c>
      <c r="Q127" s="138" t="s">
        <v>1</v>
      </c>
      <c r="R127" s="138" t="s">
        <v>1162</v>
      </c>
      <c r="S127" s="138" t="s">
        <v>324</v>
      </c>
      <c r="T127" s="146" t="str">
        <f>IF(OR(ISNUMBER(SEARCH("FAIL",K127&amp;" "&amp;Q127)),ISNUMBER(SEARCH("CLEAN RETEST REQUIRED",K127&amp;" "&amp;Q127))),"Failed",IF(OR(ISNUMBER(SEARCH("NOT RUN",K127&amp;" "&amp;Q127)),ISNUMBER(SEARCH("NOT IMPLEMENTED",K127&amp;" "&amp;Q127))),"Not started",IF(OR(ISNUMBER(SEARCH("PARTIAL",K127&amp;" "&amp;Q127)),ISNUMBER(SEARCH("PENDING",K127&amp;" "&amp;Q127)),ISNUMBER(SEARCH("IN PROGRESS",K127&amp;" "&amp;Q127)),ISNUMBER(SEARCH("OPEN",K127&amp;" "&amp;Q127)),ISNUMBER(SEARCH("RETEST REQUIRED",K127&amp;" "&amp;Q127)),ISNUMBER(SEARCH("IMPLEMENTATION UPDATED",K127&amp;" "&amp;Q127)),ISNUMBER(SEARCH("REQUIRED EVERY SESSION",K127&amp;" "&amp;Q127))),"Pending",IF(OR(Q127="PASS",ISNUMBER(SEARCH("PASS",K127&amp;" "&amp;Q127))),"Done","Pending"))))</f>
        <v>Not started</v>
      </c>
      <c r="U127" s="146" t="str">
        <f>IF(OR(C127="Admin optional",LEFT(A127,9)="OPERATOR-",LEFT(A127,8)="PAYMENT-",LEFT(A127,7)="DEPLOY-"),"External","Core")</f>
        <v>Core</v>
      </c>
    </row>
    <row r="128" customFormat="false" ht="15" hidden="false" customHeight="false" outlineLevel="0" collapsed="false">
      <c r="A128" s="138" t="s">
        <v>1163</v>
      </c>
      <c r="B128" s="138" t="s">
        <v>863</v>
      </c>
      <c r="C128" s="259" t="s">
        <v>34</v>
      </c>
      <c r="D128" s="138" t="s">
        <v>1164</v>
      </c>
      <c r="E128" s="138" t="s">
        <v>1165</v>
      </c>
      <c r="F128" s="138" t="s">
        <v>1166</v>
      </c>
      <c r="G128" s="138" t="s">
        <v>1167</v>
      </c>
      <c r="H128" s="138" t="s">
        <v>4</v>
      </c>
      <c r="I128" s="138" t="s">
        <v>1168</v>
      </c>
      <c r="J128" s="138" t="s">
        <v>1169</v>
      </c>
      <c r="K128" s="138" t="s">
        <v>138</v>
      </c>
      <c r="L128" s="138" t="s">
        <v>1</v>
      </c>
      <c r="M128" s="138" t="s">
        <v>1</v>
      </c>
      <c r="N128" s="138" t="s">
        <v>1</v>
      </c>
      <c r="O128" s="138" t="s">
        <v>1170</v>
      </c>
      <c r="P128" s="138" t="s">
        <v>1171</v>
      </c>
      <c r="Q128" s="138" t="s">
        <v>1</v>
      </c>
      <c r="R128" s="138" t="s">
        <v>1172</v>
      </c>
      <c r="S128" s="138" t="s">
        <v>107</v>
      </c>
      <c r="T128" s="146" t="str">
        <f>IF(OR(ISNUMBER(SEARCH("FAIL",K128&amp;" "&amp;Q128)),ISNUMBER(SEARCH("CLEAN RETEST REQUIRED",K128&amp;" "&amp;Q128))),"Failed",IF(OR(ISNUMBER(SEARCH("NOT RUN",K128&amp;" "&amp;Q128)),ISNUMBER(SEARCH("NOT IMPLEMENTED",K128&amp;" "&amp;Q128))),"Not started",IF(OR(ISNUMBER(SEARCH("PARTIAL",K128&amp;" "&amp;Q128)),ISNUMBER(SEARCH("PENDING",K128&amp;" "&amp;Q128)),ISNUMBER(SEARCH("IN PROGRESS",K128&amp;" "&amp;Q128)),ISNUMBER(SEARCH("OPEN",K128&amp;" "&amp;Q128)),ISNUMBER(SEARCH("RETEST REQUIRED",K128&amp;" "&amp;Q128)),ISNUMBER(SEARCH("IMPLEMENTATION UPDATED",K128&amp;" "&amp;Q128)),ISNUMBER(SEARCH("REQUIRED EVERY SESSION",K128&amp;" "&amp;Q128))),"Pending",IF(OR(Q128="PASS",ISNUMBER(SEARCH("PASS",K128&amp;" "&amp;Q128))),"Done","Pending"))))</f>
        <v>Not started</v>
      </c>
      <c r="U128" s="146" t="str">
        <f>IF(OR(C128="Admin optional",LEFT(A128,9)="OPERATOR-",LEFT(A128,8)="PAYMENT-",LEFT(A128,7)="DEPLOY-"),"External","Core")</f>
        <v>Core</v>
      </c>
    </row>
    <row r="129" customFormat="false" ht="15" hidden="false" customHeight="false" outlineLevel="0" collapsed="false">
      <c r="A129" s="138" t="s">
        <v>1173</v>
      </c>
      <c r="B129" s="138" t="s">
        <v>863</v>
      </c>
      <c r="C129" s="259" t="s">
        <v>34</v>
      </c>
      <c r="D129" s="138" t="s">
        <v>1174</v>
      </c>
      <c r="E129" s="138" t="s">
        <v>1175</v>
      </c>
      <c r="F129" s="138" t="s">
        <v>1176</v>
      </c>
      <c r="G129" s="138" t="s">
        <v>1177</v>
      </c>
      <c r="H129" s="138" t="s">
        <v>4</v>
      </c>
      <c r="I129" s="138" t="s">
        <v>4</v>
      </c>
      <c r="J129" s="138" t="s">
        <v>1178</v>
      </c>
      <c r="K129" s="138" t="s">
        <v>138</v>
      </c>
      <c r="L129" s="138" t="s">
        <v>1</v>
      </c>
      <c r="M129" s="138" t="s">
        <v>1</v>
      </c>
      <c r="N129" s="138" t="s">
        <v>1</v>
      </c>
      <c r="O129" s="138" t="s">
        <v>1179</v>
      </c>
      <c r="P129" s="138" t="s">
        <v>1180</v>
      </c>
      <c r="Q129" s="138" t="s">
        <v>1</v>
      </c>
      <c r="R129" s="138" t="s">
        <v>1181</v>
      </c>
      <c r="S129" s="138" t="s">
        <v>107</v>
      </c>
      <c r="T129" s="146" t="str">
        <f>IF(OR(ISNUMBER(SEARCH("FAIL",K129&amp;" "&amp;Q129)),ISNUMBER(SEARCH("CLEAN RETEST REQUIRED",K129&amp;" "&amp;Q129))),"Failed",IF(OR(ISNUMBER(SEARCH("NOT RUN",K129&amp;" "&amp;Q129)),ISNUMBER(SEARCH("NOT IMPLEMENTED",K129&amp;" "&amp;Q129))),"Not started",IF(OR(ISNUMBER(SEARCH("PARTIAL",K129&amp;" "&amp;Q129)),ISNUMBER(SEARCH("PENDING",K129&amp;" "&amp;Q129)),ISNUMBER(SEARCH("IN PROGRESS",K129&amp;" "&amp;Q129)),ISNUMBER(SEARCH("OPEN",K129&amp;" "&amp;Q129)),ISNUMBER(SEARCH("RETEST REQUIRED",K129&amp;" "&amp;Q129)),ISNUMBER(SEARCH("IMPLEMENTATION UPDATED",K129&amp;" "&amp;Q129)),ISNUMBER(SEARCH("REQUIRED EVERY SESSION",K129&amp;" "&amp;Q129))),"Pending",IF(OR(Q129="PASS",ISNUMBER(SEARCH("PASS",K129&amp;" "&amp;Q129))),"Done","Pending"))))</f>
        <v>Not started</v>
      </c>
      <c r="U129" s="146" t="str">
        <f>IF(OR(C129="Admin optional",LEFT(A129,9)="OPERATOR-",LEFT(A129,8)="PAYMENT-",LEFT(A129,7)="DEPLOY-"),"External","Core")</f>
        <v>Core</v>
      </c>
    </row>
    <row r="130" customFormat="false" ht="15" hidden="false" customHeight="false" outlineLevel="0" collapsed="false">
      <c r="A130" s="135" t="s">
        <v>1182</v>
      </c>
      <c r="B130" s="135" t="s">
        <v>257</v>
      </c>
      <c r="C130" s="261" t="s">
        <v>43</v>
      </c>
      <c r="D130" s="135" t="s">
        <v>1183</v>
      </c>
      <c r="E130" s="135" t="s">
        <v>1184</v>
      </c>
      <c r="F130" s="135" t="s">
        <v>4</v>
      </c>
      <c r="G130" s="135" t="s">
        <v>4</v>
      </c>
      <c r="H130" s="135" t="s">
        <v>4</v>
      </c>
      <c r="I130" s="135" t="s">
        <v>4</v>
      </c>
      <c r="J130" s="135" t="s">
        <v>1185</v>
      </c>
      <c r="K130" s="135" t="s">
        <v>779</v>
      </c>
      <c r="L130" s="135" t="s">
        <v>1</v>
      </c>
      <c r="M130" s="135" t="s">
        <v>1</v>
      </c>
      <c r="N130" s="135" t="s">
        <v>498</v>
      </c>
      <c r="O130" s="135" t="s">
        <v>1186</v>
      </c>
      <c r="P130" s="135" t="s">
        <v>1187</v>
      </c>
      <c r="Q130" s="135" t="s">
        <v>131</v>
      </c>
      <c r="R130" s="135" t="s">
        <v>1188</v>
      </c>
      <c r="S130" s="135" t="s">
        <v>324</v>
      </c>
      <c r="T130" s="146" t="str">
        <f>IF(OR(ISNUMBER(SEARCH("FAIL",K130&amp;" "&amp;Q130)),ISNUMBER(SEARCH("CLEAN RETEST REQUIRED",K130&amp;" "&amp;Q130))),"Failed",IF(OR(ISNUMBER(SEARCH("NOT RUN",K130&amp;" "&amp;Q130)),ISNUMBER(SEARCH("NOT IMPLEMENTED",K130&amp;" "&amp;Q130))),"Not started",IF(OR(ISNUMBER(SEARCH("PARTIAL",K130&amp;" "&amp;Q130)),ISNUMBER(SEARCH("PENDING",K130&amp;" "&amp;Q130)),ISNUMBER(SEARCH("IN PROGRESS",K130&amp;" "&amp;Q130)),ISNUMBER(SEARCH("OPEN",K130&amp;" "&amp;Q130)),ISNUMBER(SEARCH("RETEST REQUIRED",K130&amp;" "&amp;Q130)),ISNUMBER(SEARCH("IMPLEMENTATION UPDATED",K130&amp;" "&amp;Q130)),ISNUMBER(SEARCH("REQUIRED EVERY SESSION",K130&amp;" "&amp;Q130))),"Pending",IF(OR(Q130="PASS",ISNUMBER(SEARCH("PASS",K130&amp;" "&amp;Q130))),"Done","Pending"))))</f>
        <v>Done</v>
      </c>
      <c r="U130" s="146" t="str">
        <f>IF(OR(C130="Admin optional",LEFT(A130,9)="OPERATOR-",LEFT(A130,8)="PAYMENT-",LEFT(A130,7)="DEPLOY-"),"External","Core")</f>
        <v>Core</v>
      </c>
    </row>
    <row r="131" customFormat="false" ht="15" hidden="false" customHeight="false" outlineLevel="0" collapsed="false">
      <c r="A131" s="135" t="s">
        <v>1189</v>
      </c>
      <c r="B131" s="135" t="s">
        <v>257</v>
      </c>
      <c r="C131" s="261" t="s">
        <v>43</v>
      </c>
      <c r="D131" s="135" t="s">
        <v>1190</v>
      </c>
      <c r="E131" s="135" t="s">
        <v>1191</v>
      </c>
      <c r="F131" s="135" t="s">
        <v>4</v>
      </c>
      <c r="G131" s="135" t="s">
        <v>4</v>
      </c>
      <c r="H131" s="135" t="s">
        <v>4</v>
      </c>
      <c r="I131" s="135" t="s">
        <v>4</v>
      </c>
      <c r="J131" s="135" t="s">
        <v>1192</v>
      </c>
      <c r="K131" s="135" t="s">
        <v>779</v>
      </c>
      <c r="L131" s="135" t="s">
        <v>1</v>
      </c>
      <c r="M131" s="135" t="s">
        <v>1</v>
      </c>
      <c r="N131" s="135" t="s">
        <v>498</v>
      </c>
      <c r="O131" s="135" t="s">
        <v>1193</v>
      </c>
      <c r="P131" s="135" t="s">
        <v>1194</v>
      </c>
      <c r="Q131" s="135" t="s">
        <v>131</v>
      </c>
      <c r="R131" s="135" t="s">
        <v>1195</v>
      </c>
      <c r="S131" s="135" t="s">
        <v>390</v>
      </c>
      <c r="T131" s="146" t="str">
        <f>IF(OR(ISNUMBER(SEARCH("FAIL",K131&amp;" "&amp;Q131)),ISNUMBER(SEARCH("CLEAN RETEST REQUIRED",K131&amp;" "&amp;Q131))),"Failed",IF(OR(ISNUMBER(SEARCH("NOT RUN",K131&amp;" "&amp;Q131)),ISNUMBER(SEARCH("NOT IMPLEMENTED",K131&amp;" "&amp;Q131))),"Not started",IF(OR(ISNUMBER(SEARCH("PARTIAL",K131&amp;" "&amp;Q131)),ISNUMBER(SEARCH("PENDING",K131&amp;" "&amp;Q131)),ISNUMBER(SEARCH("IN PROGRESS",K131&amp;" "&amp;Q131)),ISNUMBER(SEARCH("OPEN",K131&amp;" "&amp;Q131)),ISNUMBER(SEARCH("RETEST REQUIRED",K131&amp;" "&amp;Q131)),ISNUMBER(SEARCH("IMPLEMENTATION UPDATED",K131&amp;" "&amp;Q131)),ISNUMBER(SEARCH("REQUIRED EVERY SESSION",K131&amp;" "&amp;Q131))),"Pending",IF(OR(Q131="PASS",ISNUMBER(SEARCH("PASS",K131&amp;" "&amp;Q131))),"Done","Pending"))))</f>
        <v>Done</v>
      </c>
      <c r="U131" s="146" t="str">
        <f>IF(OR(C131="Admin optional",LEFT(A131,9)="OPERATOR-",LEFT(A131,8)="PAYMENT-",LEFT(A131,7)="DEPLOY-"),"External","Core")</f>
        <v>Core</v>
      </c>
    </row>
    <row r="132" customFormat="false" ht="15" hidden="false" customHeight="false" outlineLevel="0" collapsed="false">
      <c r="A132" s="138" t="s">
        <v>1196</v>
      </c>
      <c r="B132" s="138" t="s">
        <v>1197</v>
      </c>
      <c r="C132" s="255" t="s">
        <v>52</v>
      </c>
      <c r="D132" s="138" t="s">
        <v>1198</v>
      </c>
      <c r="E132" s="138" t="s">
        <v>1199</v>
      </c>
      <c r="F132" s="138" t="s">
        <v>1200</v>
      </c>
      <c r="G132" s="138" t="s">
        <v>1201</v>
      </c>
      <c r="H132" s="138" t="s">
        <v>4</v>
      </c>
      <c r="I132" s="138" t="s">
        <v>1202</v>
      </c>
      <c r="J132" s="138" t="s">
        <v>1203</v>
      </c>
      <c r="K132" s="138" t="s">
        <v>1204</v>
      </c>
      <c r="L132" s="138" t="s">
        <v>1</v>
      </c>
      <c r="M132" s="138" t="s">
        <v>1</v>
      </c>
      <c r="N132" s="138" t="s">
        <v>1</v>
      </c>
      <c r="O132" s="138" t="s">
        <v>1205</v>
      </c>
      <c r="P132" s="138" t="s">
        <v>1206</v>
      </c>
      <c r="Q132" s="138" t="s">
        <v>1</v>
      </c>
      <c r="R132" s="138" t="s">
        <v>1207</v>
      </c>
      <c r="S132" s="138" t="s">
        <v>107</v>
      </c>
      <c r="T132" s="146" t="str">
        <f>IF(OR(ISNUMBER(SEARCH("FAIL",K132&amp;" "&amp;Q132)),ISNUMBER(SEARCH("CLEAN RETEST REQUIRED",K132&amp;" "&amp;Q132))),"Failed",IF(OR(ISNUMBER(SEARCH("NOT RUN",K132&amp;" "&amp;Q132)),ISNUMBER(SEARCH("NOT IMPLEMENTED",K132&amp;" "&amp;Q132))),"Not started",IF(OR(ISNUMBER(SEARCH("PARTIAL",K132&amp;" "&amp;Q132)),ISNUMBER(SEARCH("PENDING",K132&amp;" "&amp;Q132)),ISNUMBER(SEARCH("IN PROGRESS",K132&amp;" "&amp;Q132)),ISNUMBER(SEARCH("OPEN",K132&amp;" "&amp;Q132)),ISNUMBER(SEARCH("RETEST REQUIRED",K132&amp;" "&amp;Q132)),ISNUMBER(SEARCH("IMPLEMENTATION UPDATED",K132&amp;" "&amp;Q132)),ISNUMBER(SEARCH("REQUIRED EVERY SESSION",K132&amp;" "&amp;Q132))),"Pending",IF(OR(Q132="PASS",ISNUMBER(SEARCH("PASS",K132&amp;" "&amp;Q132))),"Done","Pending"))))</f>
        <v>Not started</v>
      </c>
      <c r="U132" s="146" t="str">
        <f>IF(OR(C132="Admin optional",LEFT(A132,9)="OPERATOR-",LEFT(A132,8)="PAYMENT-",LEFT(A132,7)="DEPLOY-"),"External","Core")</f>
        <v>Core</v>
      </c>
    </row>
    <row r="133" customFormat="false" ht="15" hidden="false" customHeight="false" outlineLevel="0" collapsed="false">
      <c r="A133" s="138" t="s">
        <v>1208</v>
      </c>
      <c r="B133" s="138" t="s">
        <v>1197</v>
      </c>
      <c r="C133" s="255" t="s">
        <v>52</v>
      </c>
      <c r="D133" s="138" t="s">
        <v>1198</v>
      </c>
      <c r="E133" s="138" t="s">
        <v>1209</v>
      </c>
      <c r="F133" s="138" t="s">
        <v>1200</v>
      </c>
      <c r="G133" s="138" t="s">
        <v>1210</v>
      </c>
      <c r="H133" s="138" t="s">
        <v>4</v>
      </c>
      <c r="I133" s="138" t="s">
        <v>1202</v>
      </c>
      <c r="J133" s="138" t="s">
        <v>1211</v>
      </c>
      <c r="K133" s="138" t="s">
        <v>1204</v>
      </c>
      <c r="L133" s="138" t="s">
        <v>1</v>
      </c>
      <c r="M133" s="138" t="s">
        <v>1</v>
      </c>
      <c r="N133" s="138" t="s">
        <v>1</v>
      </c>
      <c r="O133" s="138" t="s">
        <v>1212</v>
      </c>
      <c r="P133" s="138" t="s">
        <v>1213</v>
      </c>
      <c r="Q133" s="138" t="s">
        <v>1</v>
      </c>
      <c r="R133" s="138" t="s">
        <v>1214</v>
      </c>
      <c r="S133" s="138" t="s">
        <v>107</v>
      </c>
      <c r="T133" s="146" t="str">
        <f>IF(OR(ISNUMBER(SEARCH("FAIL",K133&amp;" "&amp;Q133)),ISNUMBER(SEARCH("CLEAN RETEST REQUIRED",K133&amp;" "&amp;Q133))),"Failed",IF(OR(ISNUMBER(SEARCH("NOT RUN",K133&amp;" "&amp;Q133)),ISNUMBER(SEARCH("NOT IMPLEMENTED",K133&amp;" "&amp;Q133))),"Not started",IF(OR(ISNUMBER(SEARCH("PARTIAL",K133&amp;" "&amp;Q133)),ISNUMBER(SEARCH("PENDING",K133&amp;" "&amp;Q133)),ISNUMBER(SEARCH("IN PROGRESS",K133&amp;" "&amp;Q133)),ISNUMBER(SEARCH("OPEN",K133&amp;" "&amp;Q133)),ISNUMBER(SEARCH("RETEST REQUIRED",K133&amp;" "&amp;Q133)),ISNUMBER(SEARCH("IMPLEMENTATION UPDATED",K133&amp;" "&amp;Q133)),ISNUMBER(SEARCH("REQUIRED EVERY SESSION",K133&amp;" "&amp;Q133))),"Pending",IF(OR(Q133="PASS",ISNUMBER(SEARCH("PASS",K133&amp;" "&amp;Q133))),"Done","Pending"))))</f>
        <v>Not started</v>
      </c>
      <c r="U133" s="146" t="str">
        <f>IF(OR(C133="Admin optional",LEFT(A133,9)="OPERATOR-",LEFT(A133,8)="PAYMENT-",LEFT(A133,7)="DEPLOY-"),"External","Core")</f>
        <v>Core</v>
      </c>
    </row>
    <row r="134" customFormat="false" ht="15" hidden="false" customHeight="false" outlineLevel="0" collapsed="false">
      <c r="A134" s="138" t="s">
        <v>1215</v>
      </c>
      <c r="B134" s="138" t="s">
        <v>1197</v>
      </c>
      <c r="C134" s="255" t="s">
        <v>52</v>
      </c>
      <c r="D134" s="138" t="s">
        <v>1216</v>
      </c>
      <c r="E134" s="138" t="s">
        <v>1217</v>
      </c>
      <c r="F134" s="138" t="s">
        <v>1218</v>
      </c>
      <c r="G134" s="138" t="s">
        <v>1219</v>
      </c>
      <c r="H134" s="138" t="s">
        <v>4</v>
      </c>
      <c r="I134" s="138" t="s">
        <v>4</v>
      </c>
      <c r="J134" s="138" t="s">
        <v>1220</v>
      </c>
      <c r="K134" s="138" t="s">
        <v>1204</v>
      </c>
      <c r="L134" s="138" t="s">
        <v>1</v>
      </c>
      <c r="M134" s="138" t="s">
        <v>1</v>
      </c>
      <c r="N134" s="138" t="s">
        <v>1</v>
      </c>
      <c r="O134" s="138" t="s">
        <v>1221</v>
      </c>
      <c r="P134" s="138" t="s">
        <v>1222</v>
      </c>
      <c r="Q134" s="138" t="s">
        <v>1</v>
      </c>
      <c r="R134" s="138" t="s">
        <v>1223</v>
      </c>
      <c r="S134" s="138" t="s">
        <v>107</v>
      </c>
      <c r="T134" s="146" t="str">
        <f>IF(OR(ISNUMBER(SEARCH("FAIL",K134&amp;" "&amp;Q134)),ISNUMBER(SEARCH("CLEAN RETEST REQUIRED",K134&amp;" "&amp;Q134))),"Failed",IF(OR(ISNUMBER(SEARCH("NOT RUN",K134&amp;" "&amp;Q134)),ISNUMBER(SEARCH("NOT IMPLEMENTED",K134&amp;" "&amp;Q134))),"Not started",IF(OR(ISNUMBER(SEARCH("PARTIAL",K134&amp;" "&amp;Q134)),ISNUMBER(SEARCH("PENDING",K134&amp;" "&amp;Q134)),ISNUMBER(SEARCH("IN PROGRESS",K134&amp;" "&amp;Q134)),ISNUMBER(SEARCH("OPEN",K134&amp;" "&amp;Q134)),ISNUMBER(SEARCH("RETEST REQUIRED",K134&amp;" "&amp;Q134)),ISNUMBER(SEARCH("IMPLEMENTATION UPDATED",K134&amp;" "&amp;Q134)),ISNUMBER(SEARCH("REQUIRED EVERY SESSION",K134&amp;" "&amp;Q134))),"Pending",IF(OR(Q134="PASS",ISNUMBER(SEARCH("PASS",K134&amp;" "&amp;Q134))),"Done","Pending"))))</f>
        <v>Not started</v>
      </c>
      <c r="U134" s="146" t="str">
        <f>IF(OR(C134="Admin optional",LEFT(A134,9)="OPERATOR-",LEFT(A134,8)="PAYMENT-",LEFT(A134,7)="DEPLOY-"),"External","Core")</f>
        <v>Core</v>
      </c>
    </row>
    <row r="135" customFormat="false" ht="15" hidden="false" customHeight="false" outlineLevel="0" collapsed="false">
      <c r="A135" s="138" t="s">
        <v>1224</v>
      </c>
      <c r="B135" s="138" t="s">
        <v>1197</v>
      </c>
      <c r="C135" s="255" t="s">
        <v>52</v>
      </c>
      <c r="D135" s="138" t="s">
        <v>1225</v>
      </c>
      <c r="E135" s="138" t="s">
        <v>1226</v>
      </c>
      <c r="F135" s="138" t="s">
        <v>4</v>
      </c>
      <c r="G135" s="138" t="s">
        <v>1227</v>
      </c>
      <c r="H135" s="138" t="s">
        <v>4</v>
      </c>
      <c r="I135" s="138" t="s">
        <v>1228</v>
      </c>
      <c r="J135" s="138" t="s">
        <v>1229</v>
      </c>
      <c r="K135" s="138" t="s">
        <v>1204</v>
      </c>
      <c r="L135" s="138" t="s">
        <v>1</v>
      </c>
      <c r="M135" s="138" t="s">
        <v>1</v>
      </c>
      <c r="N135" s="138" t="s">
        <v>1</v>
      </c>
      <c r="O135" s="138" t="s">
        <v>1230</v>
      </c>
      <c r="P135" s="138" t="s">
        <v>1231</v>
      </c>
      <c r="Q135" s="138" t="s">
        <v>1</v>
      </c>
      <c r="R135" s="138" t="s">
        <v>1232</v>
      </c>
      <c r="S135" s="138" t="s">
        <v>133</v>
      </c>
      <c r="T135" s="146" t="str">
        <f>IF(OR(ISNUMBER(SEARCH("FAIL",K135&amp;" "&amp;Q135)),ISNUMBER(SEARCH("CLEAN RETEST REQUIRED",K135&amp;" "&amp;Q135))),"Failed",IF(OR(ISNUMBER(SEARCH("NOT RUN",K135&amp;" "&amp;Q135)),ISNUMBER(SEARCH("NOT IMPLEMENTED",K135&amp;" "&amp;Q135))),"Not started",IF(OR(ISNUMBER(SEARCH("PARTIAL",K135&amp;" "&amp;Q135)),ISNUMBER(SEARCH("PENDING",K135&amp;" "&amp;Q135)),ISNUMBER(SEARCH("IN PROGRESS",K135&amp;" "&amp;Q135)),ISNUMBER(SEARCH("OPEN",K135&amp;" "&amp;Q135)),ISNUMBER(SEARCH("RETEST REQUIRED",K135&amp;" "&amp;Q135)),ISNUMBER(SEARCH("IMPLEMENTATION UPDATED",K135&amp;" "&amp;Q135)),ISNUMBER(SEARCH("REQUIRED EVERY SESSION",K135&amp;" "&amp;Q135))),"Pending",IF(OR(Q135="PASS",ISNUMBER(SEARCH("PASS",K135&amp;" "&amp;Q135))),"Done","Pending"))))</f>
        <v>Not started</v>
      </c>
      <c r="U135" s="146" t="str">
        <f>IF(OR(C135="Admin optional",LEFT(A135,9)="OPERATOR-",LEFT(A135,8)="PAYMENT-",LEFT(A135,7)="DEPLOY-"),"External","Core")</f>
        <v>Core</v>
      </c>
    </row>
    <row r="136" customFormat="false" ht="15" hidden="false" customHeight="false" outlineLevel="0" collapsed="false">
      <c r="A136" s="136" t="s">
        <v>1233</v>
      </c>
      <c r="B136" s="136" t="s">
        <v>1234</v>
      </c>
      <c r="C136" s="255" t="s">
        <v>52</v>
      </c>
      <c r="D136" s="136" t="s">
        <v>1235</v>
      </c>
      <c r="E136" s="136" t="s">
        <v>1236</v>
      </c>
      <c r="F136" s="136" t="s">
        <v>1237</v>
      </c>
      <c r="G136" s="136" t="s">
        <v>1238</v>
      </c>
      <c r="H136" s="136" t="s">
        <v>1239</v>
      </c>
      <c r="I136" s="136" t="s">
        <v>1240</v>
      </c>
      <c r="J136" s="136" t="s">
        <v>1241</v>
      </c>
      <c r="K136" s="136" t="s">
        <v>1242</v>
      </c>
      <c r="L136" s="136" t="s">
        <v>1</v>
      </c>
      <c r="M136" s="136" t="s">
        <v>1</v>
      </c>
      <c r="N136" s="136" t="s">
        <v>102</v>
      </c>
      <c r="O136" s="136" t="s">
        <v>1243</v>
      </c>
      <c r="P136" s="136" t="s">
        <v>1244</v>
      </c>
      <c r="Q136" s="136" t="s">
        <v>254</v>
      </c>
      <c r="R136" s="136" t="s">
        <v>1245</v>
      </c>
      <c r="S136" s="136" t="s">
        <v>380</v>
      </c>
      <c r="T136" s="146" t="str">
        <f>IF(OR(ISNUMBER(SEARCH("FAIL",K136&amp;" "&amp;Q136)),ISNUMBER(SEARCH("CLEAN RETEST REQUIRED",K136&amp;" "&amp;Q136))),"Failed",IF(OR(ISNUMBER(SEARCH("NOT RUN",K136&amp;" "&amp;Q136)),ISNUMBER(SEARCH("NOT IMPLEMENTED",K136&amp;" "&amp;Q136))),"Not started",IF(OR(ISNUMBER(SEARCH("PARTIAL",K136&amp;" "&amp;Q136)),ISNUMBER(SEARCH("PENDING",K136&amp;" "&amp;Q136)),ISNUMBER(SEARCH("IN PROGRESS",K136&amp;" "&amp;Q136)),ISNUMBER(SEARCH("OPEN",K136&amp;" "&amp;Q136)),ISNUMBER(SEARCH("RETEST REQUIRED",K136&amp;" "&amp;Q136)),ISNUMBER(SEARCH("IMPLEMENTATION UPDATED",K136&amp;" "&amp;Q136)),ISNUMBER(SEARCH("REQUIRED EVERY SESSION",K136&amp;" "&amp;Q136))),"Pending",IF(OR(Q136="PASS",ISNUMBER(SEARCH("PASS",K136&amp;" "&amp;Q136))),"Done","Pending"))))</f>
        <v>Pending</v>
      </c>
      <c r="U136" s="146" t="str">
        <f>IF(OR(C136="Admin optional",LEFT(A136,9)="OPERATOR-",LEFT(A136,8)="PAYMENT-",LEFT(A136,7)="DEPLOY-"),"External","Core")</f>
        <v>Core</v>
      </c>
    </row>
    <row r="137" customFormat="false" ht="15" hidden="false" customHeight="false" outlineLevel="0" collapsed="false">
      <c r="A137" s="136" t="s">
        <v>1246</v>
      </c>
      <c r="B137" s="136" t="s">
        <v>243</v>
      </c>
      <c r="C137" s="255" t="s">
        <v>52</v>
      </c>
      <c r="D137" s="136" t="s">
        <v>1247</v>
      </c>
      <c r="E137" s="136" t="s">
        <v>1248</v>
      </c>
      <c r="F137" s="136" t="s">
        <v>4</v>
      </c>
      <c r="G137" s="136" t="s">
        <v>1249</v>
      </c>
      <c r="H137" s="136" t="s">
        <v>4</v>
      </c>
      <c r="I137" s="136" t="s">
        <v>8</v>
      </c>
      <c r="J137" s="136" t="s">
        <v>1250</v>
      </c>
      <c r="K137" s="136" t="s">
        <v>250</v>
      </c>
      <c r="L137" s="136" t="s">
        <v>1</v>
      </c>
      <c r="M137" s="136" t="s">
        <v>1</v>
      </c>
      <c r="N137" s="136" t="s">
        <v>251</v>
      </c>
      <c r="O137" s="136" t="s">
        <v>1251</v>
      </c>
      <c r="P137" s="136" t="s">
        <v>1252</v>
      </c>
      <c r="Q137" s="136" t="s">
        <v>254</v>
      </c>
      <c r="R137" s="136" t="s">
        <v>1253</v>
      </c>
      <c r="S137" s="136" t="s">
        <v>324</v>
      </c>
      <c r="T137" s="146" t="str">
        <f>IF(OR(ISNUMBER(SEARCH("FAIL",K137&amp;" "&amp;Q137)),ISNUMBER(SEARCH("CLEAN RETEST REQUIRED",K137&amp;" "&amp;Q137))),"Failed",IF(OR(ISNUMBER(SEARCH("NOT RUN",K137&amp;" "&amp;Q137)),ISNUMBER(SEARCH("NOT IMPLEMENTED",K137&amp;" "&amp;Q137))),"Not started",IF(OR(ISNUMBER(SEARCH("PARTIAL",K137&amp;" "&amp;Q137)),ISNUMBER(SEARCH("PENDING",K137&amp;" "&amp;Q137)),ISNUMBER(SEARCH("IN PROGRESS",K137&amp;" "&amp;Q137)),ISNUMBER(SEARCH("OPEN",K137&amp;" "&amp;Q137)),ISNUMBER(SEARCH("RETEST REQUIRED",K137&amp;" "&amp;Q137)),ISNUMBER(SEARCH("IMPLEMENTATION UPDATED",K137&amp;" "&amp;Q137)),ISNUMBER(SEARCH("REQUIRED EVERY SESSION",K137&amp;" "&amp;Q137))),"Pending",IF(OR(Q137="PASS",ISNUMBER(SEARCH("PASS",K137&amp;" "&amp;Q137))),"Done","Pending"))))</f>
        <v>Pending</v>
      </c>
      <c r="U137" s="146" t="str">
        <f>IF(OR(C137="Admin optional",LEFT(A137,9)="OPERATOR-",LEFT(A137,8)="PAYMENT-",LEFT(A137,7)="DEPLOY-"),"External","Core")</f>
        <v>Core</v>
      </c>
    </row>
    <row r="138" customFormat="false" ht="15" hidden="false" customHeight="false" outlineLevel="0" collapsed="false">
      <c r="A138" s="136" t="s">
        <v>1254</v>
      </c>
      <c r="B138" s="136" t="s">
        <v>243</v>
      </c>
      <c r="C138" s="255" t="s">
        <v>52</v>
      </c>
      <c r="D138" s="136" t="s">
        <v>1255</v>
      </c>
      <c r="E138" s="136" t="s">
        <v>1256</v>
      </c>
      <c r="F138" s="136" t="s">
        <v>4</v>
      </c>
      <c r="G138" s="136" t="s">
        <v>1257</v>
      </c>
      <c r="H138" s="136" t="s">
        <v>4</v>
      </c>
      <c r="I138" s="136" t="s">
        <v>8</v>
      </c>
      <c r="J138" s="136" t="s">
        <v>1258</v>
      </c>
      <c r="K138" s="136" t="s">
        <v>250</v>
      </c>
      <c r="L138" s="136" t="s">
        <v>1</v>
      </c>
      <c r="M138" s="136" t="s">
        <v>1</v>
      </c>
      <c r="N138" s="136" t="s">
        <v>251</v>
      </c>
      <c r="O138" s="136" t="s">
        <v>252</v>
      </c>
      <c r="P138" s="136" t="s">
        <v>1259</v>
      </c>
      <c r="Q138" s="136" t="s">
        <v>254</v>
      </c>
      <c r="R138" s="136" t="s">
        <v>255</v>
      </c>
      <c r="S138" s="136" t="s">
        <v>380</v>
      </c>
      <c r="T138" s="146" t="str">
        <f>IF(OR(ISNUMBER(SEARCH("FAIL",K138&amp;" "&amp;Q138)),ISNUMBER(SEARCH("CLEAN RETEST REQUIRED",K138&amp;" "&amp;Q138))),"Failed",IF(OR(ISNUMBER(SEARCH("NOT RUN",K138&amp;" "&amp;Q138)),ISNUMBER(SEARCH("NOT IMPLEMENTED",K138&amp;" "&amp;Q138))),"Not started",IF(OR(ISNUMBER(SEARCH("PARTIAL",K138&amp;" "&amp;Q138)),ISNUMBER(SEARCH("PENDING",K138&amp;" "&amp;Q138)),ISNUMBER(SEARCH("IN PROGRESS",K138&amp;" "&amp;Q138)),ISNUMBER(SEARCH("OPEN",K138&amp;" "&amp;Q138)),ISNUMBER(SEARCH("RETEST REQUIRED",K138&amp;" "&amp;Q138)),ISNUMBER(SEARCH("IMPLEMENTATION UPDATED",K138&amp;" "&amp;Q138)),ISNUMBER(SEARCH("REQUIRED EVERY SESSION",K138&amp;" "&amp;Q138))),"Pending",IF(OR(Q138="PASS",ISNUMBER(SEARCH("PASS",K138&amp;" "&amp;Q138))),"Done","Pending"))))</f>
        <v>Pending</v>
      </c>
      <c r="U138" s="146" t="str">
        <f>IF(OR(C138="Admin optional",LEFT(A138,9)="OPERATOR-",LEFT(A138,8)="PAYMENT-",LEFT(A138,7)="DEPLOY-"),"External","Core")</f>
        <v>Core</v>
      </c>
    </row>
    <row r="139" customFormat="false" ht="15" hidden="false" customHeight="false" outlineLevel="0" collapsed="false">
      <c r="A139" s="138" t="s">
        <v>1260</v>
      </c>
      <c r="B139" s="138" t="s">
        <v>1261</v>
      </c>
      <c r="C139" s="262" t="s">
        <v>61</v>
      </c>
      <c r="D139" s="138" t="s">
        <v>1262</v>
      </c>
      <c r="E139" s="138" t="s">
        <v>1263</v>
      </c>
      <c r="F139" s="138" t="s">
        <v>4</v>
      </c>
      <c r="G139" s="138" t="s">
        <v>1264</v>
      </c>
      <c r="H139" s="138" t="s">
        <v>4</v>
      </c>
      <c r="I139" s="138" t="s">
        <v>4</v>
      </c>
      <c r="J139" s="138" t="s">
        <v>1265</v>
      </c>
      <c r="K139" s="138" t="s">
        <v>1204</v>
      </c>
      <c r="L139" s="138" t="s">
        <v>1</v>
      </c>
      <c r="M139" s="138" t="s">
        <v>1</v>
      </c>
      <c r="N139" s="138" t="s">
        <v>1</v>
      </c>
      <c r="O139" s="138" t="s">
        <v>1266</v>
      </c>
      <c r="P139" s="138" t="s">
        <v>1267</v>
      </c>
      <c r="Q139" s="138" t="s">
        <v>1</v>
      </c>
      <c r="R139" s="138" t="s">
        <v>1268</v>
      </c>
      <c r="S139" s="138" t="s">
        <v>107</v>
      </c>
      <c r="T139" s="146" t="str">
        <f>IF(OR(ISNUMBER(SEARCH("FAIL",K139&amp;" "&amp;Q139)),ISNUMBER(SEARCH("CLEAN RETEST REQUIRED",K139&amp;" "&amp;Q139))),"Failed",IF(OR(ISNUMBER(SEARCH("NOT RUN",K139&amp;" "&amp;Q139)),ISNUMBER(SEARCH("NOT IMPLEMENTED",K139&amp;" "&amp;Q139))),"Not started",IF(OR(ISNUMBER(SEARCH("PARTIAL",K139&amp;" "&amp;Q139)),ISNUMBER(SEARCH("PENDING",K139&amp;" "&amp;Q139)),ISNUMBER(SEARCH("IN PROGRESS",K139&amp;" "&amp;Q139)),ISNUMBER(SEARCH("OPEN",K139&amp;" "&amp;Q139)),ISNUMBER(SEARCH("RETEST REQUIRED",K139&amp;" "&amp;Q139)),ISNUMBER(SEARCH("IMPLEMENTATION UPDATED",K139&amp;" "&amp;Q139)),ISNUMBER(SEARCH("REQUIRED EVERY SESSION",K139&amp;" "&amp;Q139))),"Pending",IF(OR(Q139="PASS",ISNUMBER(SEARCH("PASS",K139&amp;" "&amp;Q139))),"Done","Pending"))))</f>
        <v>Not started</v>
      </c>
      <c r="U139" s="146" t="str">
        <f>IF(OR(C139="Admin optional",LEFT(A139,9)="OPERATOR-",LEFT(A139,8)="PAYMENT-",LEFT(A139,7)="DEPLOY-"),"External","Core")</f>
        <v>Core</v>
      </c>
    </row>
    <row r="140" customFormat="false" ht="15" hidden="false" customHeight="false" outlineLevel="0" collapsed="false">
      <c r="A140" s="138" t="s">
        <v>1269</v>
      </c>
      <c r="B140" s="138" t="s">
        <v>1261</v>
      </c>
      <c r="C140" s="262" t="s">
        <v>61</v>
      </c>
      <c r="D140" s="138" t="s">
        <v>1270</v>
      </c>
      <c r="E140" s="138" t="s">
        <v>1271</v>
      </c>
      <c r="F140" s="138" t="s">
        <v>1272</v>
      </c>
      <c r="G140" s="138" t="s">
        <v>1273</v>
      </c>
      <c r="H140" s="138" t="s">
        <v>4</v>
      </c>
      <c r="I140" s="138" t="s">
        <v>1274</v>
      </c>
      <c r="J140" s="138" t="s">
        <v>1275</v>
      </c>
      <c r="K140" s="138" t="s">
        <v>1204</v>
      </c>
      <c r="L140" s="138" t="s">
        <v>1</v>
      </c>
      <c r="M140" s="138" t="s">
        <v>1</v>
      </c>
      <c r="N140" s="138" t="s">
        <v>1</v>
      </c>
      <c r="O140" s="138" t="s">
        <v>1276</v>
      </c>
      <c r="P140" s="138" t="s">
        <v>1277</v>
      </c>
      <c r="Q140" s="138" t="s">
        <v>1</v>
      </c>
      <c r="R140" s="138" t="s">
        <v>1278</v>
      </c>
      <c r="S140" s="138" t="s">
        <v>107</v>
      </c>
      <c r="T140" s="146" t="str">
        <f>IF(OR(ISNUMBER(SEARCH("FAIL",K140&amp;" "&amp;Q140)),ISNUMBER(SEARCH("CLEAN RETEST REQUIRED",K140&amp;" "&amp;Q140))),"Failed",IF(OR(ISNUMBER(SEARCH("NOT RUN",K140&amp;" "&amp;Q140)),ISNUMBER(SEARCH("NOT IMPLEMENTED",K140&amp;" "&amp;Q140))),"Not started",IF(OR(ISNUMBER(SEARCH("PARTIAL",K140&amp;" "&amp;Q140)),ISNUMBER(SEARCH("PENDING",K140&amp;" "&amp;Q140)),ISNUMBER(SEARCH("IN PROGRESS",K140&amp;" "&amp;Q140)),ISNUMBER(SEARCH("OPEN",K140&amp;" "&amp;Q140)),ISNUMBER(SEARCH("RETEST REQUIRED",K140&amp;" "&amp;Q140)),ISNUMBER(SEARCH("IMPLEMENTATION UPDATED",K140&amp;" "&amp;Q140)),ISNUMBER(SEARCH("REQUIRED EVERY SESSION",K140&amp;" "&amp;Q140))),"Pending",IF(OR(Q140="PASS",ISNUMBER(SEARCH("PASS",K140&amp;" "&amp;Q140))),"Done","Pending"))))</f>
        <v>Not started</v>
      </c>
      <c r="U140" s="146" t="str">
        <f>IF(OR(C140="Admin optional",LEFT(A140,9)="OPERATOR-",LEFT(A140,8)="PAYMENT-",LEFT(A140,7)="DEPLOY-"),"External","Core")</f>
        <v>Core</v>
      </c>
    </row>
    <row r="141" customFormat="false" ht="15" hidden="false" customHeight="false" outlineLevel="0" collapsed="false">
      <c r="A141" s="138" t="s">
        <v>1279</v>
      </c>
      <c r="B141" s="138" t="s">
        <v>1261</v>
      </c>
      <c r="C141" s="262" t="s">
        <v>61</v>
      </c>
      <c r="D141" s="138" t="s">
        <v>1280</v>
      </c>
      <c r="E141" s="138" t="s">
        <v>1281</v>
      </c>
      <c r="F141" s="138" t="s">
        <v>4</v>
      </c>
      <c r="G141" s="138" t="s">
        <v>1282</v>
      </c>
      <c r="H141" s="138" t="s">
        <v>4</v>
      </c>
      <c r="I141" s="138" t="s">
        <v>4</v>
      </c>
      <c r="J141" s="138" t="s">
        <v>1283</v>
      </c>
      <c r="K141" s="138" t="s">
        <v>1204</v>
      </c>
      <c r="L141" s="138" t="s">
        <v>1</v>
      </c>
      <c r="M141" s="138" t="s">
        <v>1</v>
      </c>
      <c r="N141" s="138" t="s">
        <v>1</v>
      </c>
      <c r="O141" s="138" t="s">
        <v>1284</v>
      </c>
      <c r="P141" s="138" t="s">
        <v>1285</v>
      </c>
      <c r="Q141" s="138" t="s">
        <v>1</v>
      </c>
      <c r="R141" s="138" t="s">
        <v>1286</v>
      </c>
      <c r="S141" s="138" t="s">
        <v>107</v>
      </c>
      <c r="T141" s="146" t="str">
        <f>IF(OR(ISNUMBER(SEARCH("FAIL",K141&amp;" "&amp;Q141)),ISNUMBER(SEARCH("CLEAN RETEST REQUIRED",K141&amp;" "&amp;Q141))),"Failed",IF(OR(ISNUMBER(SEARCH("NOT RUN",K141&amp;" "&amp;Q141)),ISNUMBER(SEARCH("NOT IMPLEMENTED",K141&amp;" "&amp;Q141))),"Not started",IF(OR(ISNUMBER(SEARCH("PARTIAL",K141&amp;" "&amp;Q141)),ISNUMBER(SEARCH("PENDING",K141&amp;" "&amp;Q141)),ISNUMBER(SEARCH("IN PROGRESS",K141&amp;" "&amp;Q141)),ISNUMBER(SEARCH("OPEN",K141&amp;" "&amp;Q141)),ISNUMBER(SEARCH("RETEST REQUIRED",K141&amp;" "&amp;Q141)),ISNUMBER(SEARCH("IMPLEMENTATION UPDATED",K141&amp;" "&amp;Q141)),ISNUMBER(SEARCH("REQUIRED EVERY SESSION",K141&amp;" "&amp;Q141))),"Pending",IF(OR(Q141="PASS",ISNUMBER(SEARCH("PASS",K141&amp;" "&amp;Q141))),"Done","Pending"))))</f>
        <v>Not started</v>
      </c>
      <c r="U141" s="146" t="str">
        <f>IF(OR(C141="Admin optional",LEFT(A141,9)="OPERATOR-",LEFT(A141,8)="PAYMENT-",LEFT(A141,7)="DEPLOY-"),"External","Core")</f>
        <v>Core</v>
      </c>
    </row>
    <row r="142" customFormat="false" ht="15" hidden="false" customHeight="false" outlineLevel="0" collapsed="false">
      <c r="A142" s="138" t="s">
        <v>1287</v>
      </c>
      <c r="B142" s="138" t="s">
        <v>1261</v>
      </c>
      <c r="C142" s="262" t="s">
        <v>61</v>
      </c>
      <c r="D142" s="138" t="s">
        <v>1288</v>
      </c>
      <c r="E142" s="138" t="s">
        <v>1289</v>
      </c>
      <c r="F142" s="138" t="s">
        <v>4</v>
      </c>
      <c r="G142" s="138" t="s">
        <v>1290</v>
      </c>
      <c r="H142" s="138" t="s">
        <v>4</v>
      </c>
      <c r="I142" s="138" t="s">
        <v>4</v>
      </c>
      <c r="J142" s="138" t="s">
        <v>1291</v>
      </c>
      <c r="K142" s="138" t="s">
        <v>1204</v>
      </c>
      <c r="L142" s="138" t="s">
        <v>1</v>
      </c>
      <c r="M142" s="138" t="s">
        <v>1</v>
      </c>
      <c r="N142" s="138" t="s">
        <v>1</v>
      </c>
      <c r="O142" s="138" t="s">
        <v>1292</v>
      </c>
      <c r="P142" s="138" t="s">
        <v>1293</v>
      </c>
      <c r="Q142" s="138" t="s">
        <v>1</v>
      </c>
      <c r="R142" s="138" t="s">
        <v>1294</v>
      </c>
      <c r="S142" s="138" t="s">
        <v>107</v>
      </c>
      <c r="T142" s="146" t="str">
        <f>IF(OR(ISNUMBER(SEARCH("FAIL",K142&amp;" "&amp;Q142)),ISNUMBER(SEARCH("CLEAN RETEST REQUIRED",K142&amp;" "&amp;Q142))),"Failed",IF(OR(ISNUMBER(SEARCH("NOT RUN",K142&amp;" "&amp;Q142)),ISNUMBER(SEARCH("NOT IMPLEMENTED",K142&amp;" "&amp;Q142))),"Not started",IF(OR(ISNUMBER(SEARCH("PARTIAL",K142&amp;" "&amp;Q142)),ISNUMBER(SEARCH("PENDING",K142&amp;" "&amp;Q142)),ISNUMBER(SEARCH("IN PROGRESS",K142&amp;" "&amp;Q142)),ISNUMBER(SEARCH("OPEN",K142&amp;" "&amp;Q142)),ISNUMBER(SEARCH("RETEST REQUIRED",K142&amp;" "&amp;Q142)),ISNUMBER(SEARCH("IMPLEMENTATION UPDATED",K142&amp;" "&amp;Q142)),ISNUMBER(SEARCH("REQUIRED EVERY SESSION",K142&amp;" "&amp;Q142))),"Pending",IF(OR(Q142="PASS",ISNUMBER(SEARCH("PASS",K142&amp;" "&amp;Q142))),"Done","Pending"))))</f>
        <v>Not started</v>
      </c>
      <c r="U142" s="146" t="str">
        <f>IF(OR(C142="Admin optional",LEFT(A142,9)="OPERATOR-",LEFT(A142,8)="PAYMENT-",LEFT(A142,7)="DEPLOY-"),"External","Core")</f>
        <v>Core</v>
      </c>
    </row>
    <row r="143" customFormat="false" ht="15" hidden="false" customHeight="false" outlineLevel="0" collapsed="false">
      <c r="A143" s="136" t="s">
        <v>1295</v>
      </c>
      <c r="B143" s="136" t="s">
        <v>1296</v>
      </c>
      <c r="C143" s="262" t="s">
        <v>61</v>
      </c>
      <c r="D143" s="136" t="s">
        <v>1297</v>
      </c>
      <c r="E143" s="136" t="s">
        <v>1298</v>
      </c>
      <c r="F143" s="136" t="s">
        <v>4</v>
      </c>
      <c r="G143" s="136" t="s">
        <v>4</v>
      </c>
      <c r="H143" s="136" t="s">
        <v>4</v>
      </c>
      <c r="I143" s="136" t="s">
        <v>1299</v>
      </c>
      <c r="J143" s="136" t="s">
        <v>1300</v>
      </c>
      <c r="K143" s="136" t="s">
        <v>1301</v>
      </c>
      <c r="L143" s="136" t="s">
        <v>1</v>
      </c>
      <c r="M143" s="136" t="s">
        <v>1</v>
      </c>
      <c r="N143" s="136" t="s">
        <v>102</v>
      </c>
      <c r="O143" s="136" t="s">
        <v>1302</v>
      </c>
      <c r="P143" s="136" t="s">
        <v>1303</v>
      </c>
      <c r="Q143" s="136" t="s">
        <v>448</v>
      </c>
      <c r="R143" s="136" t="s">
        <v>1304</v>
      </c>
      <c r="S143" s="136" t="s">
        <v>1305</v>
      </c>
      <c r="T143" s="146" t="str">
        <f>IF(OR(ISNUMBER(SEARCH("FAIL",K143&amp;" "&amp;Q143)),ISNUMBER(SEARCH("CLEAN RETEST REQUIRED",K143&amp;" "&amp;Q143))),"Failed",IF(OR(ISNUMBER(SEARCH("NOT RUN",K143&amp;" "&amp;Q143)),ISNUMBER(SEARCH("NOT IMPLEMENTED",K143&amp;" "&amp;Q143))),"Not started",IF(OR(ISNUMBER(SEARCH("PARTIAL",K143&amp;" "&amp;Q143)),ISNUMBER(SEARCH("PENDING",K143&amp;" "&amp;Q143)),ISNUMBER(SEARCH("IN PROGRESS",K143&amp;" "&amp;Q143)),ISNUMBER(SEARCH("OPEN",K143&amp;" "&amp;Q143)),ISNUMBER(SEARCH("RETEST REQUIRED",K143&amp;" "&amp;Q143)),ISNUMBER(SEARCH("IMPLEMENTATION UPDATED",K143&amp;" "&amp;Q143)),ISNUMBER(SEARCH("REQUIRED EVERY SESSION",K143&amp;" "&amp;Q143))),"Pending",IF(OR(Q143="PASS",ISNUMBER(SEARCH("PASS",K143&amp;" "&amp;Q143))),"Done","Pending"))))</f>
        <v>Pending</v>
      </c>
      <c r="U143" s="146" t="str">
        <f>IF(OR(C143="Admin optional",LEFT(A143,9)="OPERATOR-",LEFT(A143,8)="PAYMENT-",LEFT(A143,7)="DEPLOY-"),"External","Core")</f>
        <v>Core</v>
      </c>
    </row>
    <row r="144" customFormat="false" ht="15" hidden="false" customHeight="false" outlineLevel="0" collapsed="false">
      <c r="A144" s="138" t="s">
        <v>1306</v>
      </c>
      <c r="B144" s="138" t="s">
        <v>1307</v>
      </c>
      <c r="C144" s="263" t="s">
        <v>70</v>
      </c>
      <c r="D144" s="138" t="s">
        <v>1308</v>
      </c>
      <c r="E144" s="138" t="s">
        <v>1309</v>
      </c>
      <c r="F144" s="138" t="s">
        <v>1310</v>
      </c>
      <c r="G144" s="138" t="s">
        <v>1311</v>
      </c>
      <c r="H144" s="138" t="s">
        <v>1312</v>
      </c>
      <c r="I144" s="138" t="s">
        <v>1313</v>
      </c>
      <c r="J144" s="138" t="s">
        <v>1314</v>
      </c>
      <c r="K144" s="138" t="s">
        <v>366</v>
      </c>
      <c r="L144" s="138" t="s">
        <v>1</v>
      </c>
      <c r="M144" s="138" t="s">
        <v>1</v>
      </c>
      <c r="N144" s="138" t="s">
        <v>1</v>
      </c>
      <c r="O144" s="138" t="s">
        <v>1315</v>
      </c>
      <c r="P144" s="138" t="s">
        <v>1316</v>
      </c>
      <c r="Q144" s="138" t="s">
        <v>1</v>
      </c>
      <c r="R144" s="138" t="s">
        <v>1317</v>
      </c>
      <c r="S144" s="138" t="s">
        <v>401</v>
      </c>
      <c r="T144" s="146" t="str">
        <f>IF(OR(ISNUMBER(SEARCH("FAIL",K144&amp;" "&amp;Q144)),ISNUMBER(SEARCH("CLEAN RETEST REQUIRED",K144&amp;" "&amp;Q144))),"Failed",IF(OR(ISNUMBER(SEARCH("NOT RUN",K144&amp;" "&amp;Q144)),ISNUMBER(SEARCH("NOT IMPLEMENTED",K144&amp;" "&amp;Q144))),"Not started",IF(OR(ISNUMBER(SEARCH("PARTIAL",K144&amp;" "&amp;Q144)),ISNUMBER(SEARCH("PENDING",K144&amp;" "&amp;Q144)),ISNUMBER(SEARCH("IN PROGRESS",K144&amp;" "&amp;Q144)),ISNUMBER(SEARCH("OPEN",K144&amp;" "&amp;Q144)),ISNUMBER(SEARCH("RETEST REQUIRED",K144&amp;" "&amp;Q144)),ISNUMBER(SEARCH("IMPLEMENTATION UPDATED",K144&amp;" "&amp;Q144)),ISNUMBER(SEARCH("REQUIRED EVERY SESSION",K144&amp;" "&amp;Q144))),"Pending",IF(OR(Q144="PASS",ISNUMBER(SEARCH("PASS",K144&amp;" "&amp;Q144))),"Done","Pending"))))</f>
        <v>Not started</v>
      </c>
      <c r="U144" s="146" t="str">
        <f>IF(OR(C144="Admin optional",LEFT(A144,9)="OPERATOR-",LEFT(A144,8)="PAYMENT-",LEFT(A144,7)="DEPLOY-"),"External","Core")</f>
        <v>Core</v>
      </c>
    </row>
    <row r="145" customFormat="false" ht="15" hidden="false" customHeight="false" outlineLevel="0" collapsed="false">
      <c r="A145" s="136" t="s">
        <v>1318</v>
      </c>
      <c r="B145" s="136" t="s">
        <v>243</v>
      </c>
      <c r="C145" s="263" t="s">
        <v>70</v>
      </c>
      <c r="D145" s="136" t="s">
        <v>1319</v>
      </c>
      <c r="E145" s="136" t="s">
        <v>1320</v>
      </c>
      <c r="F145" s="136" t="s">
        <v>1321</v>
      </c>
      <c r="G145" s="136" t="s">
        <v>1322</v>
      </c>
      <c r="H145" s="136" t="s">
        <v>1323</v>
      </c>
      <c r="I145" s="136" t="s">
        <v>8</v>
      </c>
      <c r="J145" s="136" t="s">
        <v>1324</v>
      </c>
      <c r="K145" s="136" t="s">
        <v>250</v>
      </c>
      <c r="L145" s="136" t="s">
        <v>1</v>
      </c>
      <c r="M145" s="136" t="s">
        <v>1</v>
      </c>
      <c r="N145" s="136" t="s">
        <v>251</v>
      </c>
      <c r="O145" s="136" t="s">
        <v>1325</v>
      </c>
      <c r="P145" s="136" t="s">
        <v>1326</v>
      </c>
      <c r="Q145" s="136" t="s">
        <v>254</v>
      </c>
      <c r="R145" s="136" t="s">
        <v>1327</v>
      </c>
      <c r="S145" s="136" t="s">
        <v>401</v>
      </c>
      <c r="T145" s="146" t="str">
        <f>IF(OR(ISNUMBER(SEARCH("FAIL",K145&amp;" "&amp;Q145)),ISNUMBER(SEARCH("CLEAN RETEST REQUIRED",K145&amp;" "&amp;Q145))),"Failed",IF(OR(ISNUMBER(SEARCH("NOT RUN",K145&amp;" "&amp;Q145)),ISNUMBER(SEARCH("NOT IMPLEMENTED",K145&amp;" "&amp;Q145))),"Not started",IF(OR(ISNUMBER(SEARCH("PARTIAL",K145&amp;" "&amp;Q145)),ISNUMBER(SEARCH("PENDING",K145&amp;" "&amp;Q145)),ISNUMBER(SEARCH("IN PROGRESS",K145&amp;" "&amp;Q145)),ISNUMBER(SEARCH("OPEN",K145&amp;" "&amp;Q145)),ISNUMBER(SEARCH("RETEST REQUIRED",K145&amp;" "&amp;Q145)),ISNUMBER(SEARCH("IMPLEMENTATION UPDATED",K145&amp;" "&amp;Q145)),ISNUMBER(SEARCH("REQUIRED EVERY SESSION",K145&amp;" "&amp;Q145))),"Pending",IF(OR(Q145="PASS",ISNUMBER(SEARCH("PASS",K145&amp;" "&amp;Q145))),"Done","Pending"))))</f>
        <v>Pending</v>
      </c>
      <c r="U145" s="146" t="str">
        <f>IF(OR(C145="Admin optional",LEFT(A145,9)="OPERATOR-",LEFT(A145,8)="PAYMENT-",LEFT(A145,7)="DEPLOY-"),"External","Core")</f>
        <v>Core</v>
      </c>
    </row>
    <row r="146" customFormat="false" ht="15" hidden="false" customHeight="false" outlineLevel="0" collapsed="false">
      <c r="A146" s="243" t="s">
        <v>1328</v>
      </c>
      <c r="B146" s="243" t="s">
        <v>234</v>
      </c>
      <c r="C146" s="522" t="s">
        <v>37</v>
      </c>
      <c r="D146" s="243" t="s">
        <v>1329</v>
      </c>
      <c r="E146" s="243" t="s">
        <v>1330</v>
      </c>
      <c r="F146" s="243" t="s">
        <v>1331</v>
      </c>
      <c r="G146" s="243" t="s">
        <v>1332</v>
      </c>
      <c r="H146" s="243" t="s">
        <v>4</v>
      </c>
      <c r="I146" s="243" t="s">
        <v>1333</v>
      </c>
      <c r="J146" s="243" t="s">
        <v>1334</v>
      </c>
      <c r="K146" s="243" t="s">
        <v>138</v>
      </c>
      <c r="L146" s="243" t="s">
        <v>1</v>
      </c>
      <c r="M146" s="243" t="s">
        <v>1</v>
      </c>
      <c r="N146" s="243" t="s">
        <v>1</v>
      </c>
      <c r="O146" s="243" t="s">
        <v>1335</v>
      </c>
      <c r="P146" s="243" t="s">
        <v>1336</v>
      </c>
      <c r="Q146" s="243" t="s">
        <v>1</v>
      </c>
      <c r="R146" s="243" t="s">
        <v>1337</v>
      </c>
      <c r="S146" s="243" t="s">
        <v>107</v>
      </c>
      <c r="T146" s="146" t="str">
        <f>IF(OR(ISNUMBER(SEARCH("FAIL",K146&amp;" "&amp;Q146)),ISNUMBER(SEARCH("CLEAN RETEST REQUIRED",K146&amp;" "&amp;Q146))),"Failed",IF(OR(ISNUMBER(SEARCH("NOT RUN",K146&amp;" "&amp;Q146)),ISNUMBER(SEARCH("NOT IMPLEMENTED",K146&amp;" "&amp;Q146))),"Not started",IF(OR(ISNUMBER(SEARCH("PARTIAL",K146&amp;" "&amp;Q146)),ISNUMBER(SEARCH("PENDING",K146&amp;" "&amp;Q146)),ISNUMBER(SEARCH("IN PROGRESS",K146&amp;" "&amp;Q146)),ISNUMBER(SEARCH("OPEN",K146&amp;" "&amp;Q146)),ISNUMBER(SEARCH("RETEST REQUIRED",K146&amp;" "&amp;Q146)),ISNUMBER(SEARCH("IMPLEMENTATION UPDATED",K146&amp;" "&amp;Q146)),ISNUMBER(SEARCH("REQUIRED EVERY SESSION",K146&amp;" "&amp;Q146))),"Pending",IF(OR(Q146="PASS",ISNUMBER(SEARCH("PASS",K146&amp;" "&amp;Q146))),"Done","Pending"))))</f>
        <v>Not started</v>
      </c>
      <c r="U146" s="146" t="str">
        <f>IF(OR(C146="Admin optional",LEFT(A146,9)="OPERATOR-",LEFT(A146,8)="PAYMENT-",LEFT(A146,7)="DEPLOY-"),"External","Core")</f>
        <v>External</v>
      </c>
    </row>
    <row r="147" customFormat="false" ht="15" hidden="false" customHeight="false" outlineLevel="0" collapsed="false">
      <c r="A147" s="243" t="s">
        <v>1338</v>
      </c>
      <c r="B147" s="243" t="s">
        <v>234</v>
      </c>
      <c r="C147" s="522" t="s">
        <v>37</v>
      </c>
      <c r="D147" s="243" t="s">
        <v>1329</v>
      </c>
      <c r="E147" s="243" t="s">
        <v>1339</v>
      </c>
      <c r="F147" s="243" t="s">
        <v>1340</v>
      </c>
      <c r="G147" s="243" t="s">
        <v>1341</v>
      </c>
      <c r="H147" s="243" t="s">
        <v>4</v>
      </c>
      <c r="I147" s="243" t="s">
        <v>4</v>
      </c>
      <c r="J147" s="243" t="s">
        <v>1342</v>
      </c>
      <c r="K147" s="243" t="s">
        <v>138</v>
      </c>
      <c r="L147" s="243" t="s">
        <v>1</v>
      </c>
      <c r="M147" s="243" t="s">
        <v>1</v>
      </c>
      <c r="N147" s="243" t="s">
        <v>1</v>
      </c>
      <c r="O147" s="243" t="s">
        <v>1343</v>
      </c>
      <c r="P147" s="243" t="s">
        <v>1344</v>
      </c>
      <c r="Q147" s="243" t="s">
        <v>1</v>
      </c>
      <c r="R147" s="243" t="s">
        <v>1345</v>
      </c>
      <c r="S147" s="243" t="s">
        <v>107</v>
      </c>
      <c r="T147" s="146" t="str">
        <f>IF(OR(ISNUMBER(SEARCH("FAIL",K147&amp;" "&amp;Q147)),ISNUMBER(SEARCH("CLEAN RETEST REQUIRED",K147&amp;" "&amp;Q147))),"Failed",IF(OR(ISNUMBER(SEARCH("NOT RUN",K147&amp;" "&amp;Q147)),ISNUMBER(SEARCH("NOT IMPLEMENTED",K147&amp;" "&amp;Q147))),"Not started",IF(OR(ISNUMBER(SEARCH("PARTIAL",K147&amp;" "&amp;Q147)),ISNUMBER(SEARCH("PENDING",K147&amp;" "&amp;Q147)),ISNUMBER(SEARCH("IN PROGRESS",K147&amp;" "&amp;Q147)),ISNUMBER(SEARCH("OPEN",K147&amp;" "&amp;Q147)),ISNUMBER(SEARCH("RETEST REQUIRED",K147&amp;" "&amp;Q147)),ISNUMBER(SEARCH("IMPLEMENTATION UPDATED",K147&amp;" "&amp;Q147)),ISNUMBER(SEARCH("REQUIRED EVERY SESSION",K147&amp;" "&amp;Q147))),"Pending",IF(OR(Q147="PASS",ISNUMBER(SEARCH("PASS",K147&amp;" "&amp;Q147))),"Done","Pending"))))</f>
        <v>Not started</v>
      </c>
      <c r="U147" s="146" t="str">
        <f>IF(OR(C147="Admin optional",LEFT(A147,9)="OPERATOR-",LEFT(A147,8)="PAYMENT-",LEFT(A147,7)="DEPLOY-"),"External","Core")</f>
        <v>External</v>
      </c>
    </row>
    <row r="148" customFormat="false" ht="15" hidden="false" customHeight="false" outlineLevel="0" collapsed="false">
      <c r="A148" s="243" t="s">
        <v>1346</v>
      </c>
      <c r="B148" s="243" t="s">
        <v>1347</v>
      </c>
      <c r="C148" s="522" t="s">
        <v>37</v>
      </c>
      <c r="D148" s="243" t="s">
        <v>1348</v>
      </c>
      <c r="E148" s="243" t="s">
        <v>1349</v>
      </c>
      <c r="F148" s="243" t="s">
        <v>4</v>
      </c>
      <c r="G148" s="243" t="s">
        <v>1350</v>
      </c>
      <c r="H148" s="243" t="s">
        <v>4</v>
      </c>
      <c r="I148" s="243" t="s">
        <v>4</v>
      </c>
      <c r="J148" s="243" t="s">
        <v>1351</v>
      </c>
      <c r="K148" s="243" t="s">
        <v>138</v>
      </c>
      <c r="L148" s="243" t="s">
        <v>1</v>
      </c>
      <c r="M148" s="243" t="s">
        <v>1</v>
      </c>
      <c r="N148" s="243" t="s">
        <v>1</v>
      </c>
      <c r="O148" s="243" t="s">
        <v>1352</v>
      </c>
      <c r="P148" s="243" t="s">
        <v>1353</v>
      </c>
      <c r="Q148" s="243" t="s">
        <v>1</v>
      </c>
      <c r="R148" s="243" t="s">
        <v>1354</v>
      </c>
      <c r="S148" s="243" t="s">
        <v>107</v>
      </c>
      <c r="T148" s="146" t="str">
        <f>IF(OR(ISNUMBER(SEARCH("FAIL",K148&amp;" "&amp;Q148)),ISNUMBER(SEARCH("CLEAN RETEST REQUIRED",K148&amp;" "&amp;Q148))),"Failed",IF(OR(ISNUMBER(SEARCH("NOT RUN",K148&amp;" "&amp;Q148)),ISNUMBER(SEARCH("NOT IMPLEMENTED",K148&amp;" "&amp;Q148))),"Not started",IF(OR(ISNUMBER(SEARCH("PARTIAL",K148&amp;" "&amp;Q148)),ISNUMBER(SEARCH("PENDING",K148&amp;" "&amp;Q148)),ISNUMBER(SEARCH("IN PROGRESS",K148&amp;" "&amp;Q148)),ISNUMBER(SEARCH("OPEN",K148&amp;" "&amp;Q148)),ISNUMBER(SEARCH("RETEST REQUIRED",K148&amp;" "&amp;Q148)),ISNUMBER(SEARCH("IMPLEMENTATION UPDATED",K148&amp;" "&amp;Q148)),ISNUMBER(SEARCH("REQUIRED EVERY SESSION",K148&amp;" "&amp;Q148))),"Pending",IF(OR(Q148="PASS",ISNUMBER(SEARCH("PASS",K148&amp;" "&amp;Q148))),"Done","Pending"))))</f>
        <v>Not started</v>
      </c>
      <c r="U148" s="146" t="str">
        <f>IF(OR(C148="Admin optional",LEFT(A148,9)="OPERATOR-",LEFT(A148,8)="PAYMENT-",LEFT(A148,7)="DEPLOY-"),"External","Core")</f>
        <v>External</v>
      </c>
    </row>
    <row r="149" customFormat="false" ht="15" hidden="false" customHeight="false" outlineLevel="0" collapsed="false">
      <c r="A149" s="243" t="s">
        <v>1355</v>
      </c>
      <c r="B149" s="243" t="s">
        <v>1347</v>
      </c>
      <c r="C149" s="522" t="s">
        <v>37</v>
      </c>
      <c r="D149" s="243" t="s">
        <v>1356</v>
      </c>
      <c r="E149" s="243" t="s">
        <v>1357</v>
      </c>
      <c r="F149" s="243" t="s">
        <v>4</v>
      </c>
      <c r="G149" s="243" t="s">
        <v>1358</v>
      </c>
      <c r="H149" s="243" t="s">
        <v>4</v>
      </c>
      <c r="I149" s="243" t="s">
        <v>4</v>
      </c>
      <c r="J149" s="243" t="s">
        <v>1359</v>
      </c>
      <c r="K149" s="243" t="s">
        <v>138</v>
      </c>
      <c r="L149" s="243" t="s">
        <v>1</v>
      </c>
      <c r="M149" s="243" t="s">
        <v>1</v>
      </c>
      <c r="N149" s="243" t="s">
        <v>1</v>
      </c>
      <c r="O149" s="243" t="s">
        <v>1360</v>
      </c>
      <c r="P149" s="243" t="s">
        <v>1361</v>
      </c>
      <c r="Q149" s="243" t="s">
        <v>1</v>
      </c>
      <c r="R149" s="243" t="s">
        <v>1362</v>
      </c>
      <c r="S149" s="243" t="s">
        <v>1363</v>
      </c>
      <c r="T149" s="146" t="str">
        <f>IF(OR(ISNUMBER(SEARCH("FAIL",K149&amp;" "&amp;Q149)),ISNUMBER(SEARCH("CLEAN RETEST REQUIRED",K149&amp;" "&amp;Q149))),"Failed",IF(OR(ISNUMBER(SEARCH("NOT RUN",K149&amp;" "&amp;Q149)),ISNUMBER(SEARCH("NOT IMPLEMENTED",K149&amp;" "&amp;Q149))),"Not started",IF(OR(ISNUMBER(SEARCH("PARTIAL",K149&amp;" "&amp;Q149)),ISNUMBER(SEARCH("PENDING",K149&amp;" "&amp;Q149)),ISNUMBER(SEARCH("IN PROGRESS",K149&amp;" "&amp;Q149)),ISNUMBER(SEARCH("OPEN",K149&amp;" "&amp;Q149)),ISNUMBER(SEARCH("RETEST REQUIRED",K149&amp;" "&amp;Q149)),ISNUMBER(SEARCH("IMPLEMENTATION UPDATED",K149&amp;" "&amp;Q149)),ISNUMBER(SEARCH("REQUIRED EVERY SESSION",K149&amp;" "&amp;Q149))),"Pending",IF(OR(Q149="PASS",ISNUMBER(SEARCH("PASS",K149&amp;" "&amp;Q149))),"Done","Pending"))))</f>
        <v>Not started</v>
      </c>
      <c r="U149" s="146" t="str">
        <f>IF(OR(C149="Admin optional",LEFT(A149,9)="OPERATOR-",LEFT(A149,8)="PAYMENT-",LEFT(A149,7)="DEPLOY-"),"External","Core")</f>
        <v>External</v>
      </c>
    </row>
    <row r="150" customFormat="false" ht="15" hidden="false" customHeight="false" outlineLevel="0" collapsed="false">
      <c r="A150" s="243" t="s">
        <v>1364</v>
      </c>
      <c r="B150" s="243" t="s">
        <v>1347</v>
      </c>
      <c r="C150" s="522" t="s">
        <v>37</v>
      </c>
      <c r="D150" s="243" t="s">
        <v>1365</v>
      </c>
      <c r="E150" s="243" t="s">
        <v>1366</v>
      </c>
      <c r="F150" s="243" t="s">
        <v>4</v>
      </c>
      <c r="G150" s="243" t="s">
        <v>1367</v>
      </c>
      <c r="H150" s="243" t="s">
        <v>4</v>
      </c>
      <c r="I150" s="243" t="s">
        <v>4</v>
      </c>
      <c r="J150" s="243" t="s">
        <v>1368</v>
      </c>
      <c r="K150" s="243" t="s">
        <v>138</v>
      </c>
      <c r="L150" s="243" t="s">
        <v>1</v>
      </c>
      <c r="M150" s="243" t="s">
        <v>1</v>
      </c>
      <c r="N150" s="243" t="s">
        <v>1</v>
      </c>
      <c r="O150" s="243" t="s">
        <v>1369</v>
      </c>
      <c r="P150" s="243" t="s">
        <v>1370</v>
      </c>
      <c r="Q150" s="243" t="s">
        <v>1</v>
      </c>
      <c r="R150" s="243" t="s">
        <v>1371</v>
      </c>
      <c r="S150" s="243" t="s">
        <v>133</v>
      </c>
      <c r="T150" s="146" t="str">
        <f>IF(OR(ISNUMBER(SEARCH("FAIL",K150&amp;" "&amp;Q150)),ISNUMBER(SEARCH("CLEAN RETEST REQUIRED",K150&amp;" "&amp;Q150))),"Failed",IF(OR(ISNUMBER(SEARCH("NOT RUN",K150&amp;" "&amp;Q150)),ISNUMBER(SEARCH("NOT IMPLEMENTED",K150&amp;" "&amp;Q150))),"Not started",IF(OR(ISNUMBER(SEARCH("PARTIAL",K150&amp;" "&amp;Q150)),ISNUMBER(SEARCH("PENDING",K150&amp;" "&amp;Q150)),ISNUMBER(SEARCH("IN PROGRESS",K150&amp;" "&amp;Q150)),ISNUMBER(SEARCH("OPEN",K150&amp;" "&amp;Q150)),ISNUMBER(SEARCH("RETEST REQUIRED",K150&amp;" "&amp;Q150)),ISNUMBER(SEARCH("IMPLEMENTATION UPDATED",K150&amp;" "&amp;Q150)),ISNUMBER(SEARCH("REQUIRED EVERY SESSION",K150&amp;" "&amp;Q150))),"Pending",IF(OR(Q150="PASS",ISNUMBER(SEARCH("PASS",K150&amp;" "&amp;Q150))),"Done","Pending"))))</f>
        <v>Not started</v>
      </c>
      <c r="U150" s="146" t="str">
        <f>IF(OR(C150="Admin optional",LEFT(A150,9)="OPERATOR-",LEFT(A150,8)="PAYMENT-",LEFT(A150,7)="DEPLOY-"),"External","Core")</f>
        <v>External</v>
      </c>
    </row>
    <row r="151" customFormat="false" ht="15" hidden="false" customHeight="false" outlineLevel="0" collapsed="false">
      <c r="A151" s="243" t="s">
        <v>1372</v>
      </c>
      <c r="B151" s="243" t="s">
        <v>1347</v>
      </c>
      <c r="C151" s="522" t="s">
        <v>37</v>
      </c>
      <c r="D151" s="243" t="s">
        <v>1373</v>
      </c>
      <c r="E151" s="243" t="s">
        <v>1374</v>
      </c>
      <c r="F151" s="243" t="s">
        <v>4</v>
      </c>
      <c r="G151" s="243" t="s">
        <v>1375</v>
      </c>
      <c r="H151" s="243" t="s">
        <v>4</v>
      </c>
      <c r="I151" s="243" t="s">
        <v>4</v>
      </c>
      <c r="J151" s="243" t="s">
        <v>1376</v>
      </c>
      <c r="K151" s="243" t="s">
        <v>138</v>
      </c>
      <c r="L151" s="243" t="s">
        <v>1</v>
      </c>
      <c r="M151" s="243" t="s">
        <v>1</v>
      </c>
      <c r="N151" s="243" t="s">
        <v>1</v>
      </c>
      <c r="O151" s="243" t="s">
        <v>1377</v>
      </c>
      <c r="P151" s="243" t="s">
        <v>1378</v>
      </c>
      <c r="Q151" s="243" t="s">
        <v>1</v>
      </c>
      <c r="R151" s="243" t="s">
        <v>1379</v>
      </c>
      <c r="S151" s="243" t="s">
        <v>401</v>
      </c>
      <c r="T151" s="146" t="str">
        <f>IF(OR(ISNUMBER(SEARCH("FAIL",K151&amp;" "&amp;Q151)),ISNUMBER(SEARCH("CLEAN RETEST REQUIRED",K151&amp;" "&amp;Q151))),"Failed",IF(OR(ISNUMBER(SEARCH("NOT RUN",K151&amp;" "&amp;Q151)),ISNUMBER(SEARCH("NOT IMPLEMENTED",K151&amp;" "&amp;Q151))),"Not started",IF(OR(ISNUMBER(SEARCH("PARTIAL",K151&amp;" "&amp;Q151)),ISNUMBER(SEARCH("PENDING",K151&amp;" "&amp;Q151)),ISNUMBER(SEARCH("IN PROGRESS",K151&amp;" "&amp;Q151)),ISNUMBER(SEARCH("OPEN",K151&amp;" "&amp;Q151)),ISNUMBER(SEARCH("RETEST REQUIRED",K151&amp;" "&amp;Q151)),ISNUMBER(SEARCH("IMPLEMENTATION UPDATED",K151&amp;" "&amp;Q151)),ISNUMBER(SEARCH("REQUIRED EVERY SESSION",K151&amp;" "&amp;Q151))),"Pending",IF(OR(Q151="PASS",ISNUMBER(SEARCH("PASS",K151&amp;" "&amp;Q151))),"Done","Pending"))))</f>
        <v>Not started</v>
      </c>
      <c r="U151" s="146" t="str">
        <f>IF(OR(C151="Admin optional",LEFT(A151,9)="OPERATOR-",LEFT(A151,8)="PAYMENT-",LEFT(A151,7)="DEPLOY-"),"External","Core")</f>
        <v>External</v>
      </c>
    </row>
    <row r="152" customFormat="false" ht="15" hidden="false" customHeight="false" outlineLevel="0" collapsed="false">
      <c r="A152" s="243" t="s">
        <v>1380</v>
      </c>
      <c r="B152" s="243" t="s">
        <v>1347</v>
      </c>
      <c r="C152" s="522" t="s">
        <v>37</v>
      </c>
      <c r="D152" s="243" t="s">
        <v>1381</v>
      </c>
      <c r="E152" s="243" t="s">
        <v>1382</v>
      </c>
      <c r="F152" s="243" t="s">
        <v>1383</v>
      </c>
      <c r="G152" s="243" t="s">
        <v>1384</v>
      </c>
      <c r="H152" s="243" t="s">
        <v>4</v>
      </c>
      <c r="I152" s="243" t="s">
        <v>4</v>
      </c>
      <c r="J152" s="243" t="s">
        <v>1385</v>
      </c>
      <c r="K152" s="243" t="s">
        <v>138</v>
      </c>
      <c r="L152" s="243" t="s">
        <v>1</v>
      </c>
      <c r="M152" s="243" t="s">
        <v>1</v>
      </c>
      <c r="N152" s="243" t="s">
        <v>1</v>
      </c>
      <c r="O152" s="243" t="s">
        <v>1386</v>
      </c>
      <c r="P152" s="243" t="s">
        <v>1387</v>
      </c>
      <c r="Q152" s="243" t="s">
        <v>1</v>
      </c>
      <c r="R152" s="243" t="s">
        <v>1388</v>
      </c>
      <c r="S152" s="243" t="s">
        <v>832</v>
      </c>
      <c r="T152" s="146" t="str">
        <f>IF(OR(ISNUMBER(SEARCH("FAIL",K152&amp;" "&amp;Q152)),ISNUMBER(SEARCH("CLEAN RETEST REQUIRED",K152&amp;" "&amp;Q152))),"Failed",IF(OR(ISNUMBER(SEARCH("NOT RUN",K152&amp;" "&amp;Q152)),ISNUMBER(SEARCH("NOT IMPLEMENTED",K152&amp;" "&amp;Q152))),"Not started",IF(OR(ISNUMBER(SEARCH("PARTIAL",K152&amp;" "&amp;Q152)),ISNUMBER(SEARCH("PENDING",K152&amp;" "&amp;Q152)),ISNUMBER(SEARCH("IN PROGRESS",K152&amp;" "&amp;Q152)),ISNUMBER(SEARCH("OPEN",K152&amp;" "&amp;Q152)),ISNUMBER(SEARCH("RETEST REQUIRED",K152&amp;" "&amp;Q152)),ISNUMBER(SEARCH("IMPLEMENTATION UPDATED",K152&amp;" "&amp;Q152)),ISNUMBER(SEARCH("REQUIRED EVERY SESSION",K152&amp;" "&amp;Q152))),"Pending",IF(OR(Q152="PASS",ISNUMBER(SEARCH("PASS",K152&amp;" "&amp;Q152))),"Done","Pending"))))</f>
        <v>Not started</v>
      </c>
      <c r="U152" s="146" t="str">
        <f>IF(OR(C152="Admin optional",LEFT(A152,9)="OPERATOR-",LEFT(A152,8)="PAYMENT-",LEFT(A152,7)="DEPLOY-"),"External","Core")</f>
        <v>External</v>
      </c>
    </row>
    <row r="153" customFormat="false" ht="15" hidden="false" customHeight="false" outlineLevel="0" collapsed="false">
      <c r="A153" s="243" t="s">
        <v>1389</v>
      </c>
      <c r="B153" s="243" t="s">
        <v>1347</v>
      </c>
      <c r="C153" s="522" t="s">
        <v>37</v>
      </c>
      <c r="D153" s="243" t="s">
        <v>1390</v>
      </c>
      <c r="E153" s="243" t="s">
        <v>1391</v>
      </c>
      <c r="F153" s="243" t="s">
        <v>4</v>
      </c>
      <c r="G153" s="243" t="s">
        <v>1392</v>
      </c>
      <c r="H153" s="243" t="s">
        <v>4</v>
      </c>
      <c r="I153" s="243" t="s">
        <v>4</v>
      </c>
      <c r="J153" s="243" t="s">
        <v>1393</v>
      </c>
      <c r="K153" s="243" t="s">
        <v>138</v>
      </c>
      <c r="L153" s="243" t="s">
        <v>1</v>
      </c>
      <c r="M153" s="243" t="s">
        <v>1</v>
      </c>
      <c r="N153" s="243" t="s">
        <v>1</v>
      </c>
      <c r="O153" s="243" t="s">
        <v>1394</v>
      </c>
      <c r="P153" s="243" t="s">
        <v>1395</v>
      </c>
      <c r="Q153" s="243" t="s">
        <v>1</v>
      </c>
      <c r="R153" s="243" t="s">
        <v>1396</v>
      </c>
      <c r="S153" s="243" t="s">
        <v>401</v>
      </c>
      <c r="T153" s="146" t="str">
        <f>IF(OR(ISNUMBER(SEARCH("FAIL",K153&amp;" "&amp;Q153)),ISNUMBER(SEARCH("CLEAN RETEST REQUIRED",K153&amp;" "&amp;Q153))),"Failed",IF(OR(ISNUMBER(SEARCH("NOT RUN",K153&amp;" "&amp;Q153)),ISNUMBER(SEARCH("NOT IMPLEMENTED",K153&amp;" "&amp;Q153))),"Not started",IF(OR(ISNUMBER(SEARCH("PARTIAL",K153&amp;" "&amp;Q153)),ISNUMBER(SEARCH("PENDING",K153&amp;" "&amp;Q153)),ISNUMBER(SEARCH("IN PROGRESS",K153&amp;" "&amp;Q153)),ISNUMBER(SEARCH("OPEN",K153&amp;" "&amp;Q153)),ISNUMBER(SEARCH("RETEST REQUIRED",K153&amp;" "&amp;Q153)),ISNUMBER(SEARCH("IMPLEMENTATION UPDATED",K153&amp;" "&amp;Q153)),ISNUMBER(SEARCH("REQUIRED EVERY SESSION",K153&amp;" "&amp;Q153))),"Pending",IF(OR(Q153="PASS",ISNUMBER(SEARCH("PASS",K153&amp;" "&amp;Q153))),"Done","Pending"))))</f>
        <v>Not started</v>
      </c>
      <c r="U153" s="146" t="str">
        <f>IF(OR(C153="Admin optional",LEFT(A153,9)="OPERATOR-",LEFT(A153,8)="PAYMENT-",LEFT(A153,7)="DEPLOY-"),"External","Core")</f>
        <v>External</v>
      </c>
    </row>
    <row r="154" customFormat="false" ht="15" hidden="false" customHeight="false" outlineLevel="0" collapsed="false">
      <c r="A154" s="243" t="s">
        <v>1397</v>
      </c>
      <c r="B154" s="243" t="s">
        <v>1347</v>
      </c>
      <c r="C154" s="522" t="s">
        <v>37</v>
      </c>
      <c r="D154" s="243" t="s">
        <v>1398</v>
      </c>
      <c r="E154" s="243" t="s">
        <v>1399</v>
      </c>
      <c r="F154" s="243" t="s">
        <v>1200</v>
      </c>
      <c r="G154" s="243" t="s">
        <v>1400</v>
      </c>
      <c r="H154" s="243" t="s">
        <v>4</v>
      </c>
      <c r="I154" s="243" t="s">
        <v>1401</v>
      </c>
      <c r="J154" s="243" t="s">
        <v>1402</v>
      </c>
      <c r="K154" s="243" t="s">
        <v>138</v>
      </c>
      <c r="L154" s="243" t="s">
        <v>1</v>
      </c>
      <c r="M154" s="243" t="s">
        <v>1</v>
      </c>
      <c r="N154" s="243" t="s">
        <v>1</v>
      </c>
      <c r="O154" s="243" t="s">
        <v>1403</v>
      </c>
      <c r="P154" s="243" t="s">
        <v>1404</v>
      </c>
      <c r="Q154" s="243" t="s">
        <v>1</v>
      </c>
      <c r="R154" s="243" t="s">
        <v>1405</v>
      </c>
      <c r="S154" s="243" t="s">
        <v>107</v>
      </c>
      <c r="T154" s="146" t="str">
        <f>IF(OR(ISNUMBER(SEARCH("FAIL",K154&amp;" "&amp;Q154)),ISNUMBER(SEARCH("CLEAN RETEST REQUIRED",K154&amp;" "&amp;Q154))),"Failed",IF(OR(ISNUMBER(SEARCH("NOT RUN",K154&amp;" "&amp;Q154)),ISNUMBER(SEARCH("NOT IMPLEMENTED",K154&amp;" "&amp;Q154))),"Not started",IF(OR(ISNUMBER(SEARCH("PARTIAL",K154&amp;" "&amp;Q154)),ISNUMBER(SEARCH("PENDING",K154&amp;" "&amp;Q154)),ISNUMBER(SEARCH("IN PROGRESS",K154&amp;" "&amp;Q154)),ISNUMBER(SEARCH("OPEN",K154&amp;" "&amp;Q154)),ISNUMBER(SEARCH("RETEST REQUIRED",K154&amp;" "&amp;Q154)),ISNUMBER(SEARCH("IMPLEMENTATION UPDATED",K154&amp;" "&amp;Q154)),ISNUMBER(SEARCH("REQUIRED EVERY SESSION",K154&amp;" "&amp;Q154))),"Pending",IF(OR(Q154="PASS",ISNUMBER(SEARCH("PASS",K154&amp;" "&amp;Q154))),"Done","Pending"))))</f>
        <v>Not started</v>
      </c>
      <c r="U154" s="146" t="str">
        <f>IF(OR(C154="Admin optional",LEFT(A154,9)="OPERATOR-",LEFT(A154,8)="PAYMENT-",LEFT(A154,7)="DEPLOY-"),"External","Core")</f>
        <v>External</v>
      </c>
    </row>
    <row r="155" customFormat="false" ht="15" hidden="false" customHeight="false" outlineLevel="0" collapsed="false">
      <c r="A155" s="243" t="s">
        <v>1406</v>
      </c>
      <c r="B155" s="243" t="s">
        <v>234</v>
      </c>
      <c r="C155" s="522" t="s">
        <v>37</v>
      </c>
      <c r="D155" s="243" t="s">
        <v>1407</v>
      </c>
      <c r="E155" s="243" t="s">
        <v>1408</v>
      </c>
      <c r="F155" s="243" t="s">
        <v>1409</v>
      </c>
      <c r="G155" s="243" t="s">
        <v>1410</v>
      </c>
      <c r="H155" s="243" t="s">
        <v>4</v>
      </c>
      <c r="I155" s="243" t="s">
        <v>1411</v>
      </c>
      <c r="J155" s="243" t="s">
        <v>1412</v>
      </c>
      <c r="K155" s="243" t="s">
        <v>138</v>
      </c>
      <c r="L155" s="243" t="s">
        <v>1</v>
      </c>
      <c r="M155" s="243" t="s">
        <v>1</v>
      </c>
      <c r="N155" s="243" t="s">
        <v>1</v>
      </c>
      <c r="O155" s="243" t="s">
        <v>1413</v>
      </c>
      <c r="P155" s="243" t="s">
        <v>1414</v>
      </c>
      <c r="Q155" s="243" t="s">
        <v>1</v>
      </c>
      <c r="R155" s="243" t="s">
        <v>1415</v>
      </c>
      <c r="S155" s="243" t="s">
        <v>133</v>
      </c>
      <c r="T155" s="146" t="str">
        <f>IF(OR(ISNUMBER(SEARCH("FAIL",K155&amp;" "&amp;Q155)),ISNUMBER(SEARCH("CLEAN RETEST REQUIRED",K155&amp;" "&amp;Q155))),"Failed",IF(OR(ISNUMBER(SEARCH("NOT RUN",K155&amp;" "&amp;Q155)),ISNUMBER(SEARCH("NOT IMPLEMENTED",K155&amp;" "&amp;Q155))),"Not started",IF(OR(ISNUMBER(SEARCH("PARTIAL",K155&amp;" "&amp;Q155)),ISNUMBER(SEARCH("PENDING",K155&amp;" "&amp;Q155)),ISNUMBER(SEARCH("IN PROGRESS",K155&amp;" "&amp;Q155)),ISNUMBER(SEARCH("OPEN",K155&amp;" "&amp;Q155)),ISNUMBER(SEARCH("RETEST REQUIRED",K155&amp;" "&amp;Q155)),ISNUMBER(SEARCH("IMPLEMENTATION UPDATED",K155&amp;" "&amp;Q155)),ISNUMBER(SEARCH("REQUIRED EVERY SESSION",K155&amp;" "&amp;Q155))),"Pending",IF(OR(Q155="PASS",ISNUMBER(SEARCH("PASS",K155&amp;" "&amp;Q155))),"Done","Pending"))))</f>
        <v>Not started</v>
      </c>
      <c r="U155" s="146" t="str">
        <f>IF(OR(C155="Admin optional",LEFT(A155,9)="OPERATOR-",LEFT(A155,8)="PAYMENT-",LEFT(A155,7)="DEPLOY-"),"External","Core")</f>
        <v>External</v>
      </c>
    </row>
    <row r="156" customFormat="false" ht="15" hidden="false" customHeight="false" outlineLevel="0" collapsed="false">
      <c r="A156" s="243" t="s">
        <v>1416</v>
      </c>
      <c r="B156" s="243" t="s">
        <v>234</v>
      </c>
      <c r="C156" s="522" t="s">
        <v>37</v>
      </c>
      <c r="D156" s="243" t="s">
        <v>1407</v>
      </c>
      <c r="E156" s="243" t="s">
        <v>1417</v>
      </c>
      <c r="F156" s="243" t="s">
        <v>1418</v>
      </c>
      <c r="G156" s="243" t="s">
        <v>1419</v>
      </c>
      <c r="H156" s="243" t="s">
        <v>4</v>
      </c>
      <c r="I156" s="243" t="s">
        <v>1420</v>
      </c>
      <c r="J156" s="243" t="s">
        <v>1421</v>
      </c>
      <c r="K156" s="243" t="s">
        <v>138</v>
      </c>
      <c r="L156" s="243" t="s">
        <v>1</v>
      </c>
      <c r="M156" s="243" t="s">
        <v>1</v>
      </c>
      <c r="N156" s="243" t="s">
        <v>1</v>
      </c>
      <c r="O156" s="243" t="s">
        <v>1422</v>
      </c>
      <c r="P156" s="243" t="s">
        <v>1423</v>
      </c>
      <c r="Q156" s="243" t="s">
        <v>1</v>
      </c>
      <c r="R156" s="243" t="s">
        <v>1424</v>
      </c>
      <c r="S156" s="243" t="s">
        <v>401</v>
      </c>
      <c r="T156" s="146" t="str">
        <f>IF(OR(ISNUMBER(SEARCH("FAIL",K156&amp;" "&amp;Q156)),ISNUMBER(SEARCH("CLEAN RETEST REQUIRED",K156&amp;" "&amp;Q156))),"Failed",IF(OR(ISNUMBER(SEARCH("NOT RUN",K156&amp;" "&amp;Q156)),ISNUMBER(SEARCH("NOT IMPLEMENTED",K156&amp;" "&amp;Q156))),"Not started",IF(OR(ISNUMBER(SEARCH("PARTIAL",K156&amp;" "&amp;Q156)),ISNUMBER(SEARCH("PENDING",K156&amp;" "&amp;Q156)),ISNUMBER(SEARCH("IN PROGRESS",K156&amp;" "&amp;Q156)),ISNUMBER(SEARCH("OPEN",K156&amp;" "&amp;Q156)),ISNUMBER(SEARCH("RETEST REQUIRED",K156&amp;" "&amp;Q156)),ISNUMBER(SEARCH("IMPLEMENTATION UPDATED",K156&amp;" "&amp;Q156)),ISNUMBER(SEARCH("REQUIRED EVERY SESSION",K156&amp;" "&amp;Q156))),"Pending",IF(OR(Q156="PASS",ISNUMBER(SEARCH("PASS",K156&amp;" "&amp;Q156))),"Done","Pending"))))</f>
        <v>Not started</v>
      </c>
      <c r="U156" s="146" t="str">
        <f>IF(OR(C156="Admin optional",LEFT(A156,9)="OPERATOR-",LEFT(A156,8)="PAYMENT-",LEFT(A156,7)="DEPLOY-"),"External","Core")</f>
        <v>External</v>
      </c>
    </row>
    <row r="157" customFormat="false" ht="15" hidden="false" customHeight="false" outlineLevel="0" collapsed="false">
      <c r="A157" s="243" t="s">
        <v>1425</v>
      </c>
      <c r="B157" s="243" t="s">
        <v>1426</v>
      </c>
      <c r="C157" s="522" t="s">
        <v>37</v>
      </c>
      <c r="D157" s="243" t="s">
        <v>78</v>
      </c>
      <c r="E157" s="243" t="s">
        <v>1427</v>
      </c>
      <c r="F157" s="243" t="s">
        <v>1428</v>
      </c>
      <c r="G157" s="243" t="s">
        <v>4</v>
      </c>
      <c r="H157" s="243" t="s">
        <v>4</v>
      </c>
      <c r="I157" s="243" t="s">
        <v>4</v>
      </c>
      <c r="J157" s="243" t="s">
        <v>4</v>
      </c>
      <c r="K157" s="243" t="s">
        <v>779</v>
      </c>
      <c r="L157" s="243" t="s">
        <v>1</v>
      </c>
      <c r="M157" s="243" t="s">
        <v>1</v>
      </c>
      <c r="N157" s="243" t="s">
        <v>102</v>
      </c>
      <c r="O157" s="243" t="s">
        <v>1429</v>
      </c>
      <c r="P157" s="243" t="s">
        <v>1430</v>
      </c>
      <c r="Q157" s="243" t="s">
        <v>131</v>
      </c>
      <c r="R157" s="243" t="s">
        <v>1431</v>
      </c>
      <c r="S157" s="243" t="s">
        <v>1432</v>
      </c>
      <c r="T157" s="146" t="str">
        <f>IF(OR(ISNUMBER(SEARCH("FAIL",K157&amp;" "&amp;Q157)),ISNUMBER(SEARCH("CLEAN RETEST REQUIRED",K157&amp;" "&amp;Q157))),"Failed",IF(OR(ISNUMBER(SEARCH("NOT RUN",K157&amp;" "&amp;Q157)),ISNUMBER(SEARCH("NOT IMPLEMENTED",K157&amp;" "&amp;Q157))),"Not started",IF(OR(ISNUMBER(SEARCH("PARTIAL",K157&amp;" "&amp;Q157)),ISNUMBER(SEARCH("PENDING",K157&amp;" "&amp;Q157)),ISNUMBER(SEARCH("IN PROGRESS",K157&amp;" "&amp;Q157)),ISNUMBER(SEARCH("OPEN",K157&amp;" "&amp;Q157)),ISNUMBER(SEARCH("RETEST REQUIRED",K157&amp;" "&amp;Q157)),ISNUMBER(SEARCH("IMPLEMENTATION UPDATED",K157&amp;" "&amp;Q157)),ISNUMBER(SEARCH("REQUIRED EVERY SESSION",K157&amp;" "&amp;Q157))),"Pending",IF(OR(Q157="PASS",ISNUMBER(SEARCH("PASS",K157&amp;" "&amp;Q157))),"Done","Pending"))))</f>
        <v>Done</v>
      </c>
      <c r="U157" s="146" t="str">
        <f>IF(OR(C157="Admin optional",LEFT(A157,9)="OPERATOR-",LEFT(A157,8)="PAYMENT-",LEFT(A157,7)="DEPLOY-"),"External","Core")</f>
        <v>External</v>
      </c>
    </row>
    <row r="158" customFormat="false" ht="15" hidden="false" customHeight="false" outlineLevel="0" collapsed="false">
      <c r="A158" s="243" t="s">
        <v>1433</v>
      </c>
      <c r="B158" s="243" t="s">
        <v>1426</v>
      </c>
      <c r="C158" s="522" t="s">
        <v>37</v>
      </c>
      <c r="D158" s="243" t="s">
        <v>1434</v>
      </c>
      <c r="E158" s="243" t="s">
        <v>1435</v>
      </c>
      <c r="F158" s="243" t="s">
        <v>4</v>
      </c>
      <c r="G158" s="243" t="s">
        <v>1436</v>
      </c>
      <c r="H158" s="243" t="s">
        <v>4</v>
      </c>
      <c r="I158" s="243" t="s">
        <v>4</v>
      </c>
      <c r="J158" s="243" t="s">
        <v>4</v>
      </c>
      <c r="K158" s="243" t="s">
        <v>366</v>
      </c>
      <c r="L158" s="243" t="s">
        <v>1</v>
      </c>
      <c r="M158" s="243" t="s">
        <v>1</v>
      </c>
      <c r="N158" s="243" t="s">
        <v>1</v>
      </c>
      <c r="O158" s="243" t="s">
        <v>1437</v>
      </c>
      <c r="P158" s="243" t="s">
        <v>1438</v>
      </c>
      <c r="Q158" s="243" t="s">
        <v>1</v>
      </c>
      <c r="R158" s="243" t="s">
        <v>1439</v>
      </c>
      <c r="S158" s="243" t="s">
        <v>766</v>
      </c>
      <c r="T158" s="146" t="str">
        <f>IF(OR(ISNUMBER(SEARCH("FAIL",K158&amp;" "&amp;Q158)),ISNUMBER(SEARCH("CLEAN RETEST REQUIRED",K158&amp;" "&amp;Q158))),"Failed",IF(OR(ISNUMBER(SEARCH("NOT RUN",K158&amp;" "&amp;Q158)),ISNUMBER(SEARCH("NOT IMPLEMENTED",K158&amp;" "&amp;Q158))),"Not started",IF(OR(ISNUMBER(SEARCH("PARTIAL",K158&amp;" "&amp;Q158)),ISNUMBER(SEARCH("PENDING",K158&amp;" "&amp;Q158)),ISNUMBER(SEARCH("IN PROGRESS",K158&amp;" "&amp;Q158)),ISNUMBER(SEARCH("OPEN",K158&amp;" "&amp;Q158)),ISNUMBER(SEARCH("RETEST REQUIRED",K158&amp;" "&amp;Q158)),ISNUMBER(SEARCH("IMPLEMENTATION UPDATED",K158&amp;" "&amp;Q158)),ISNUMBER(SEARCH("REQUIRED EVERY SESSION",K158&amp;" "&amp;Q158))),"Pending",IF(OR(Q158="PASS",ISNUMBER(SEARCH("PASS",K158&amp;" "&amp;Q158))),"Done","Pending"))))</f>
        <v>Not started</v>
      </c>
      <c r="U158" s="146" t="str">
        <f>IF(OR(C158="Admin optional",LEFT(A158,9)="OPERATOR-",LEFT(A158,8)="PAYMENT-",LEFT(A158,7)="DEPLOY-"),"External","Core")</f>
        <v>External</v>
      </c>
    </row>
    <row r="159" customFormat="false" ht="15" hidden="false" customHeight="false" outlineLevel="0" collapsed="false">
      <c r="A159" s="243" t="s">
        <v>1440</v>
      </c>
      <c r="B159" s="243" t="s">
        <v>1426</v>
      </c>
      <c r="C159" s="522" t="s">
        <v>37</v>
      </c>
      <c r="D159" s="243" t="s">
        <v>80</v>
      </c>
      <c r="E159" s="243" t="s">
        <v>1441</v>
      </c>
      <c r="F159" s="243" t="s">
        <v>1442</v>
      </c>
      <c r="G159" s="243" t="s">
        <v>4</v>
      </c>
      <c r="H159" s="243" t="s">
        <v>1443</v>
      </c>
      <c r="I159" s="243" t="s">
        <v>4</v>
      </c>
      <c r="J159" s="243" t="s">
        <v>4</v>
      </c>
      <c r="K159" s="243" t="s">
        <v>366</v>
      </c>
      <c r="L159" s="243" t="s">
        <v>1</v>
      </c>
      <c r="M159" s="243" t="s">
        <v>1</v>
      </c>
      <c r="N159" s="243" t="s">
        <v>1</v>
      </c>
      <c r="O159" s="243" t="s">
        <v>1444</v>
      </c>
      <c r="P159" s="243" t="s">
        <v>1445</v>
      </c>
      <c r="Q159" s="243" t="s">
        <v>1</v>
      </c>
      <c r="R159" s="243" t="s">
        <v>1446</v>
      </c>
      <c r="S159" s="243" t="s">
        <v>1447</v>
      </c>
      <c r="T159" s="146" t="str">
        <f>IF(OR(ISNUMBER(SEARCH("FAIL",K159&amp;" "&amp;Q159)),ISNUMBER(SEARCH("CLEAN RETEST REQUIRED",K159&amp;" "&amp;Q159))),"Failed",IF(OR(ISNUMBER(SEARCH("NOT RUN",K159&amp;" "&amp;Q159)),ISNUMBER(SEARCH("NOT IMPLEMENTED",K159&amp;" "&amp;Q159))),"Not started",IF(OR(ISNUMBER(SEARCH("PARTIAL",K159&amp;" "&amp;Q159)),ISNUMBER(SEARCH("PENDING",K159&amp;" "&amp;Q159)),ISNUMBER(SEARCH("IN PROGRESS",K159&amp;" "&amp;Q159)),ISNUMBER(SEARCH("OPEN",K159&amp;" "&amp;Q159)),ISNUMBER(SEARCH("RETEST REQUIRED",K159&amp;" "&amp;Q159)),ISNUMBER(SEARCH("IMPLEMENTATION UPDATED",K159&amp;" "&amp;Q159)),ISNUMBER(SEARCH("REQUIRED EVERY SESSION",K159&amp;" "&amp;Q159))),"Pending",IF(OR(Q159="PASS",ISNUMBER(SEARCH("PASS",K159&amp;" "&amp;Q159))),"Done","Pending"))))</f>
        <v>Not started</v>
      </c>
      <c r="U159" s="146" t="str">
        <f>IF(OR(C159="Admin optional",LEFT(A159,9)="OPERATOR-",LEFT(A159,8)="PAYMENT-",LEFT(A159,7)="DEPLOY-"),"External","Core")</f>
        <v>External</v>
      </c>
    </row>
    <row r="160" customFormat="false" ht="15" hidden="false" customHeight="false" outlineLevel="0" collapsed="false">
      <c r="A160" s="243" t="s">
        <v>1448</v>
      </c>
      <c r="B160" s="243" t="s">
        <v>1449</v>
      </c>
      <c r="C160" s="522" t="s">
        <v>37</v>
      </c>
      <c r="D160" s="243" t="s">
        <v>78</v>
      </c>
      <c r="E160" s="243" t="s">
        <v>1450</v>
      </c>
      <c r="F160" s="243" t="s">
        <v>1451</v>
      </c>
      <c r="G160" s="243" t="s">
        <v>1452</v>
      </c>
      <c r="H160" s="243" t="s">
        <v>1453</v>
      </c>
      <c r="I160" s="243" t="s">
        <v>1454</v>
      </c>
      <c r="J160" s="243" t="s">
        <v>1455</v>
      </c>
      <c r="K160" s="243" t="s">
        <v>1456</v>
      </c>
      <c r="L160" s="243" t="s">
        <v>1</v>
      </c>
      <c r="M160" s="243" t="s">
        <v>1</v>
      </c>
      <c r="N160" s="243" t="s">
        <v>102</v>
      </c>
      <c r="O160" s="243" t="s">
        <v>1457</v>
      </c>
      <c r="P160" s="243" t="s">
        <v>1458</v>
      </c>
      <c r="Q160" s="243" t="s">
        <v>254</v>
      </c>
      <c r="R160" s="243" t="s">
        <v>1459</v>
      </c>
      <c r="S160" s="243" t="s">
        <v>336</v>
      </c>
      <c r="T160" s="146" t="str">
        <f>IF(OR(ISNUMBER(SEARCH("FAIL",K160&amp;" "&amp;Q160)),ISNUMBER(SEARCH("CLEAN RETEST REQUIRED",K160&amp;" "&amp;Q160))),"Failed",IF(OR(ISNUMBER(SEARCH("NOT RUN",K160&amp;" "&amp;Q160)),ISNUMBER(SEARCH("NOT IMPLEMENTED",K160&amp;" "&amp;Q160))),"Not started",IF(OR(ISNUMBER(SEARCH("PARTIAL",K160&amp;" "&amp;Q160)),ISNUMBER(SEARCH("PENDING",K160&amp;" "&amp;Q160)),ISNUMBER(SEARCH("IN PROGRESS",K160&amp;" "&amp;Q160)),ISNUMBER(SEARCH("OPEN",K160&amp;" "&amp;Q160)),ISNUMBER(SEARCH("RETEST REQUIRED",K160&amp;" "&amp;Q160)),ISNUMBER(SEARCH("IMPLEMENTATION UPDATED",K160&amp;" "&amp;Q160)),ISNUMBER(SEARCH("REQUIRED EVERY SESSION",K160&amp;" "&amp;Q160))),"Pending",IF(OR(Q160="PASS",ISNUMBER(SEARCH("PASS",K160&amp;" "&amp;Q160))),"Done","Pending"))))</f>
        <v>Pending</v>
      </c>
      <c r="U160" s="146" t="str">
        <f>IF(OR(C160="Admin optional",LEFT(A160,9)="OPERATOR-",LEFT(A160,8)="PAYMENT-",LEFT(A160,7)="DEPLOY-"),"External","Core")</f>
        <v>External</v>
      </c>
    </row>
    <row r="161" customFormat="false" ht="15" hidden="false" customHeight="false" outlineLevel="0" collapsed="false">
      <c r="A161" s="243" t="s">
        <v>1460</v>
      </c>
      <c r="B161" s="243" t="s">
        <v>1449</v>
      </c>
      <c r="C161" s="522" t="s">
        <v>37</v>
      </c>
      <c r="D161" s="243" t="s">
        <v>78</v>
      </c>
      <c r="E161" s="243" t="s">
        <v>1461</v>
      </c>
      <c r="F161" s="243" t="s">
        <v>1462</v>
      </c>
      <c r="G161" s="243" t="s">
        <v>1463</v>
      </c>
      <c r="H161" s="243" t="s">
        <v>4</v>
      </c>
      <c r="I161" s="243" t="s">
        <v>1464</v>
      </c>
      <c r="J161" s="243" t="s">
        <v>1465</v>
      </c>
      <c r="K161" s="243" t="s">
        <v>265</v>
      </c>
      <c r="L161" s="243" t="s">
        <v>1</v>
      </c>
      <c r="M161" s="243" t="s">
        <v>1</v>
      </c>
      <c r="N161" s="243" t="s">
        <v>498</v>
      </c>
      <c r="O161" s="243" t="s">
        <v>1466</v>
      </c>
      <c r="P161" s="243" t="s">
        <v>1467</v>
      </c>
      <c r="Q161" s="243" t="s">
        <v>131</v>
      </c>
      <c r="R161" s="243" t="s">
        <v>1468</v>
      </c>
      <c r="S161" s="243" t="s">
        <v>1469</v>
      </c>
      <c r="T161" s="146" t="str">
        <f>IF(OR(ISNUMBER(SEARCH("FAIL",K161&amp;" "&amp;Q161)),ISNUMBER(SEARCH("CLEAN RETEST REQUIRED",K161&amp;" "&amp;Q161))),"Failed",IF(OR(ISNUMBER(SEARCH("NOT RUN",K161&amp;" "&amp;Q161)),ISNUMBER(SEARCH("NOT IMPLEMENTED",K161&amp;" "&amp;Q161))),"Not started",IF(OR(ISNUMBER(SEARCH("PARTIAL",K161&amp;" "&amp;Q161)),ISNUMBER(SEARCH("PENDING",K161&amp;" "&amp;Q161)),ISNUMBER(SEARCH("IN PROGRESS",K161&amp;" "&amp;Q161)),ISNUMBER(SEARCH("OPEN",K161&amp;" "&amp;Q161)),ISNUMBER(SEARCH("RETEST REQUIRED",K161&amp;" "&amp;Q161)),ISNUMBER(SEARCH("IMPLEMENTATION UPDATED",K161&amp;" "&amp;Q161)),ISNUMBER(SEARCH("REQUIRED EVERY SESSION",K161&amp;" "&amp;Q161))),"Pending",IF(OR(Q161="PASS",ISNUMBER(SEARCH("PASS",K161&amp;" "&amp;Q161))),"Done","Pending"))))</f>
        <v>Done</v>
      </c>
      <c r="U161" s="146" t="str">
        <f>IF(OR(C161="Admin optional",LEFT(A161,9)="OPERATOR-",LEFT(A161,8)="PAYMENT-",LEFT(A161,7)="DEPLOY-"),"External","Core")</f>
        <v>External</v>
      </c>
    </row>
    <row r="162" customFormat="false" ht="15" hidden="false" customHeight="false" outlineLevel="0" collapsed="false">
      <c r="A162" s="243" t="s">
        <v>1470</v>
      </c>
      <c r="B162" s="243" t="s">
        <v>1449</v>
      </c>
      <c r="C162" s="522" t="s">
        <v>37</v>
      </c>
      <c r="D162" s="243" t="s">
        <v>78</v>
      </c>
      <c r="E162" s="243" t="s">
        <v>1471</v>
      </c>
      <c r="F162" s="243" t="s">
        <v>1472</v>
      </c>
      <c r="G162" s="243" t="s">
        <v>1473</v>
      </c>
      <c r="H162" s="243" t="s">
        <v>754</v>
      </c>
      <c r="I162" s="243" t="s">
        <v>1474</v>
      </c>
      <c r="J162" s="243" t="s">
        <v>1475</v>
      </c>
      <c r="K162" s="243" t="s">
        <v>265</v>
      </c>
      <c r="L162" s="243" t="s">
        <v>1</v>
      </c>
      <c r="M162" s="243" t="s">
        <v>1</v>
      </c>
      <c r="N162" s="243" t="s">
        <v>102</v>
      </c>
      <c r="O162" s="243" t="s">
        <v>1476</v>
      </c>
      <c r="P162" s="243" t="s">
        <v>1477</v>
      </c>
      <c r="Q162" s="243" t="s">
        <v>131</v>
      </c>
      <c r="R162" s="243" t="s">
        <v>1478</v>
      </c>
      <c r="S162" s="243" t="s">
        <v>429</v>
      </c>
      <c r="T162" s="146" t="str">
        <f>IF(OR(ISNUMBER(SEARCH("FAIL",K162&amp;" "&amp;Q162)),ISNUMBER(SEARCH("CLEAN RETEST REQUIRED",K162&amp;" "&amp;Q162))),"Failed",IF(OR(ISNUMBER(SEARCH("NOT RUN",K162&amp;" "&amp;Q162)),ISNUMBER(SEARCH("NOT IMPLEMENTED",K162&amp;" "&amp;Q162))),"Not started",IF(OR(ISNUMBER(SEARCH("PARTIAL",K162&amp;" "&amp;Q162)),ISNUMBER(SEARCH("PENDING",K162&amp;" "&amp;Q162)),ISNUMBER(SEARCH("IN PROGRESS",K162&amp;" "&amp;Q162)),ISNUMBER(SEARCH("OPEN",K162&amp;" "&amp;Q162)),ISNUMBER(SEARCH("RETEST REQUIRED",K162&amp;" "&amp;Q162)),ISNUMBER(SEARCH("IMPLEMENTATION UPDATED",K162&amp;" "&amp;Q162)),ISNUMBER(SEARCH("REQUIRED EVERY SESSION",K162&amp;" "&amp;Q162))),"Pending",IF(OR(Q162="PASS",ISNUMBER(SEARCH("PASS",K162&amp;" "&amp;Q162))),"Done","Pending"))))</f>
        <v>Done</v>
      </c>
      <c r="U162" s="146" t="str">
        <f>IF(OR(C162="Admin optional",LEFT(A162,9)="OPERATOR-",LEFT(A162,8)="PAYMENT-",LEFT(A162,7)="DEPLOY-"),"External","Core")</f>
        <v>External</v>
      </c>
    </row>
    <row r="163" customFormat="false" ht="15" hidden="false" customHeight="false" outlineLevel="0" collapsed="false">
      <c r="A163" s="243" t="s">
        <v>1479</v>
      </c>
      <c r="B163" s="243" t="s">
        <v>1449</v>
      </c>
      <c r="C163" s="522" t="s">
        <v>37</v>
      </c>
      <c r="D163" s="243" t="s">
        <v>78</v>
      </c>
      <c r="E163" s="243" t="s">
        <v>1480</v>
      </c>
      <c r="F163" s="243" t="s">
        <v>1481</v>
      </c>
      <c r="G163" s="243" t="s">
        <v>1482</v>
      </c>
      <c r="H163" s="243" t="s">
        <v>4</v>
      </c>
      <c r="I163" s="243" t="s">
        <v>1454</v>
      </c>
      <c r="J163" s="243" t="s">
        <v>1483</v>
      </c>
      <c r="K163" s="243" t="s">
        <v>366</v>
      </c>
      <c r="L163" s="243" t="s">
        <v>1</v>
      </c>
      <c r="M163" s="243" t="s">
        <v>1</v>
      </c>
      <c r="N163" s="243" t="s">
        <v>1</v>
      </c>
      <c r="O163" s="243" t="s">
        <v>1484</v>
      </c>
      <c r="P163" s="243" t="s">
        <v>1485</v>
      </c>
      <c r="Q163" s="243" t="s">
        <v>1</v>
      </c>
      <c r="R163" s="243" t="s">
        <v>1</v>
      </c>
      <c r="S163" s="243" t="s">
        <v>1486</v>
      </c>
      <c r="T163" s="146" t="str">
        <f>IF(OR(ISNUMBER(SEARCH("FAIL",K163&amp;" "&amp;Q163)),ISNUMBER(SEARCH("CLEAN RETEST REQUIRED",K163&amp;" "&amp;Q163))),"Failed",IF(OR(ISNUMBER(SEARCH("NOT RUN",K163&amp;" "&amp;Q163)),ISNUMBER(SEARCH("NOT IMPLEMENTED",K163&amp;" "&amp;Q163))),"Not started",IF(OR(ISNUMBER(SEARCH("PARTIAL",K163&amp;" "&amp;Q163)),ISNUMBER(SEARCH("PENDING",K163&amp;" "&amp;Q163)),ISNUMBER(SEARCH("IN PROGRESS",K163&amp;" "&amp;Q163)),ISNUMBER(SEARCH("OPEN",K163&amp;" "&amp;Q163)),ISNUMBER(SEARCH("RETEST REQUIRED",K163&amp;" "&amp;Q163)),ISNUMBER(SEARCH("IMPLEMENTATION UPDATED",K163&amp;" "&amp;Q163)),ISNUMBER(SEARCH("REQUIRED EVERY SESSION",K163&amp;" "&amp;Q163))),"Pending",IF(OR(Q163="PASS",ISNUMBER(SEARCH("PASS",K163&amp;" "&amp;Q163))),"Done","Pending"))))</f>
        <v>Not started</v>
      </c>
      <c r="U163" s="146" t="str">
        <f>IF(OR(C163="Admin optional",LEFT(A163,9)="OPERATOR-",LEFT(A163,8)="PAYMENT-",LEFT(A163,7)="DEPLOY-"),"External","Core")</f>
        <v>External</v>
      </c>
    </row>
    <row r="164" customFormat="false" ht="15" hidden="false" customHeight="false" outlineLevel="0" collapsed="false">
      <c r="A164" s="243" t="s">
        <v>1487</v>
      </c>
      <c r="B164" s="243" t="s">
        <v>1449</v>
      </c>
      <c r="C164" s="522" t="s">
        <v>37</v>
      </c>
      <c r="D164" s="243" t="s">
        <v>78</v>
      </c>
      <c r="E164" s="243" t="s">
        <v>1488</v>
      </c>
      <c r="F164" s="243" t="s">
        <v>1489</v>
      </c>
      <c r="G164" s="243" t="s">
        <v>1490</v>
      </c>
      <c r="H164" s="243" t="s">
        <v>4</v>
      </c>
      <c r="I164" s="243" t="s">
        <v>4</v>
      </c>
      <c r="J164" s="243" t="s">
        <v>1491</v>
      </c>
      <c r="K164" s="243" t="s">
        <v>1492</v>
      </c>
      <c r="L164" s="243" t="s">
        <v>1</v>
      </c>
      <c r="M164" s="243" t="s">
        <v>1</v>
      </c>
      <c r="N164" s="243" t="s">
        <v>251</v>
      </c>
      <c r="O164" s="243" t="s">
        <v>1484</v>
      </c>
      <c r="P164" s="243" t="s">
        <v>1493</v>
      </c>
      <c r="Q164" s="243" t="s">
        <v>1</v>
      </c>
      <c r="R164" s="243" t="s">
        <v>1494</v>
      </c>
      <c r="S164" s="243" t="s">
        <v>380</v>
      </c>
      <c r="T164" s="146" t="str">
        <f>IF(OR(ISNUMBER(SEARCH("FAIL",K164&amp;" "&amp;Q164)),ISNUMBER(SEARCH("CLEAN RETEST REQUIRED",K164&amp;" "&amp;Q164))),"Failed",IF(OR(ISNUMBER(SEARCH("NOT RUN",K164&amp;" "&amp;Q164)),ISNUMBER(SEARCH("NOT IMPLEMENTED",K164&amp;" "&amp;Q164))),"Not started",IF(OR(ISNUMBER(SEARCH("PARTIAL",K164&amp;" "&amp;Q164)),ISNUMBER(SEARCH("PENDING",K164&amp;" "&amp;Q164)),ISNUMBER(SEARCH("IN PROGRESS",K164&amp;" "&amp;Q164)),ISNUMBER(SEARCH("OPEN",K164&amp;" "&amp;Q164)),ISNUMBER(SEARCH("RETEST REQUIRED",K164&amp;" "&amp;Q164)),ISNUMBER(SEARCH("IMPLEMENTATION UPDATED",K164&amp;" "&amp;Q164)),ISNUMBER(SEARCH("REQUIRED EVERY SESSION",K164&amp;" "&amp;Q164))),"Pending",IF(OR(Q164="PASS",ISNUMBER(SEARCH("PASS",K164&amp;" "&amp;Q164))),"Done","Pending"))))</f>
        <v>Pending</v>
      </c>
      <c r="U164" s="146" t="str">
        <f>IF(OR(C164="Admin optional",LEFT(A164,9)="OPERATOR-",LEFT(A164,8)="PAYMENT-",LEFT(A164,7)="DEPLOY-"),"External","Core")</f>
        <v>External</v>
      </c>
    </row>
    <row r="165" customFormat="false" ht="15" hidden="false" customHeight="false" outlineLevel="0" collapsed="false">
      <c r="A165" s="243" t="s">
        <v>1495</v>
      </c>
      <c r="B165" s="243" t="s">
        <v>1449</v>
      </c>
      <c r="C165" s="522" t="s">
        <v>37</v>
      </c>
      <c r="D165" s="243" t="s">
        <v>1496</v>
      </c>
      <c r="E165" s="243" t="s">
        <v>1497</v>
      </c>
      <c r="F165" s="243" t="s">
        <v>1498</v>
      </c>
      <c r="G165" s="243" t="s">
        <v>1499</v>
      </c>
      <c r="H165" s="243" t="s">
        <v>1500</v>
      </c>
      <c r="I165" s="243" t="s">
        <v>1501</v>
      </c>
      <c r="J165" s="243" t="s">
        <v>1502</v>
      </c>
      <c r="K165" s="243" t="s">
        <v>1503</v>
      </c>
      <c r="L165" s="243" t="s">
        <v>1</v>
      </c>
      <c r="M165" s="243" t="s">
        <v>1</v>
      </c>
      <c r="N165" s="243" t="s">
        <v>102</v>
      </c>
      <c r="O165" s="243" t="s">
        <v>1504</v>
      </c>
      <c r="P165" s="243" t="s">
        <v>1505</v>
      </c>
      <c r="Q165" s="243" t="s">
        <v>254</v>
      </c>
      <c r="R165" s="243" t="s">
        <v>1506</v>
      </c>
      <c r="S165" s="243" t="s">
        <v>380</v>
      </c>
      <c r="T165" s="146" t="str">
        <f>IF(OR(ISNUMBER(SEARCH("FAIL",K165&amp;" "&amp;Q165)),ISNUMBER(SEARCH("CLEAN RETEST REQUIRED",K165&amp;" "&amp;Q165))),"Failed",IF(OR(ISNUMBER(SEARCH("NOT RUN",K165&amp;" "&amp;Q165)),ISNUMBER(SEARCH("NOT IMPLEMENTED",K165&amp;" "&amp;Q165))),"Not started",IF(OR(ISNUMBER(SEARCH("PARTIAL",K165&amp;" "&amp;Q165)),ISNUMBER(SEARCH("PENDING",K165&amp;" "&amp;Q165)),ISNUMBER(SEARCH("IN PROGRESS",K165&amp;" "&amp;Q165)),ISNUMBER(SEARCH("OPEN",K165&amp;" "&amp;Q165)),ISNUMBER(SEARCH("RETEST REQUIRED",K165&amp;" "&amp;Q165)),ISNUMBER(SEARCH("IMPLEMENTATION UPDATED",K165&amp;" "&amp;Q165)),ISNUMBER(SEARCH("REQUIRED EVERY SESSION",K165&amp;" "&amp;Q165))),"Pending",IF(OR(Q165="PASS",ISNUMBER(SEARCH("PASS",K165&amp;" "&amp;Q165))),"Done","Pending"))))</f>
        <v>Pending</v>
      </c>
      <c r="U165" s="146" t="str">
        <f>IF(OR(C165="Admin optional",LEFT(A165,9)="OPERATOR-",LEFT(A165,8)="PAYMENT-",LEFT(A165,7)="DEPLOY-"),"External","Core")</f>
        <v>External</v>
      </c>
    </row>
    <row r="166" customFormat="false" ht="15" hidden="false" customHeight="false" outlineLevel="0" collapsed="false">
      <c r="A166" s="243" t="s">
        <v>1507</v>
      </c>
      <c r="B166" s="243" t="s">
        <v>1449</v>
      </c>
      <c r="C166" s="522" t="s">
        <v>37</v>
      </c>
      <c r="D166" s="243" t="s">
        <v>1434</v>
      </c>
      <c r="E166" s="243" t="s">
        <v>1508</v>
      </c>
      <c r="F166" s="243" t="s">
        <v>1509</v>
      </c>
      <c r="G166" s="243" t="s">
        <v>1510</v>
      </c>
      <c r="H166" s="243" t="s">
        <v>1511</v>
      </c>
      <c r="I166" s="243" t="s">
        <v>1512</v>
      </c>
      <c r="J166" s="243" t="s">
        <v>1513</v>
      </c>
      <c r="K166" s="243" t="s">
        <v>366</v>
      </c>
      <c r="L166" s="243" t="s">
        <v>1</v>
      </c>
      <c r="M166" s="243" t="s">
        <v>1</v>
      </c>
      <c r="N166" s="243" t="s">
        <v>1</v>
      </c>
      <c r="O166" s="243" t="s">
        <v>1514</v>
      </c>
      <c r="P166" s="243" t="s">
        <v>1515</v>
      </c>
      <c r="Q166" s="243" t="s">
        <v>1</v>
      </c>
      <c r="R166" s="243" t="s">
        <v>1</v>
      </c>
      <c r="S166" s="243" t="s">
        <v>290</v>
      </c>
      <c r="T166" s="146" t="str">
        <f>IF(OR(ISNUMBER(SEARCH("FAIL",K166&amp;" "&amp;Q166)),ISNUMBER(SEARCH("CLEAN RETEST REQUIRED",K166&amp;" "&amp;Q166))),"Failed",IF(OR(ISNUMBER(SEARCH("NOT RUN",K166&amp;" "&amp;Q166)),ISNUMBER(SEARCH("NOT IMPLEMENTED",K166&amp;" "&amp;Q166))),"Not started",IF(OR(ISNUMBER(SEARCH("PARTIAL",K166&amp;" "&amp;Q166)),ISNUMBER(SEARCH("PENDING",K166&amp;" "&amp;Q166)),ISNUMBER(SEARCH("IN PROGRESS",K166&amp;" "&amp;Q166)),ISNUMBER(SEARCH("OPEN",K166&amp;" "&amp;Q166)),ISNUMBER(SEARCH("RETEST REQUIRED",K166&amp;" "&amp;Q166)),ISNUMBER(SEARCH("IMPLEMENTATION UPDATED",K166&amp;" "&amp;Q166)),ISNUMBER(SEARCH("REQUIRED EVERY SESSION",K166&amp;" "&amp;Q166))),"Pending",IF(OR(Q166="PASS",ISNUMBER(SEARCH("PASS",K166&amp;" "&amp;Q166))),"Done","Pending"))))</f>
        <v>Not started</v>
      </c>
      <c r="U166" s="146" t="str">
        <f>IF(OR(C166="Admin optional",LEFT(A166,9)="OPERATOR-",LEFT(A166,8)="PAYMENT-",LEFT(A166,7)="DEPLOY-"),"External","Core")</f>
        <v>External</v>
      </c>
    </row>
    <row r="167" customFormat="false" ht="15" hidden="false" customHeight="false" outlineLevel="0" collapsed="false">
      <c r="A167" s="243" t="s">
        <v>1516</v>
      </c>
      <c r="B167" s="243" t="s">
        <v>1449</v>
      </c>
      <c r="C167" s="522" t="s">
        <v>37</v>
      </c>
      <c r="D167" s="243" t="s">
        <v>1434</v>
      </c>
      <c r="E167" s="243" t="s">
        <v>1517</v>
      </c>
      <c r="F167" s="243" t="s">
        <v>4</v>
      </c>
      <c r="G167" s="243" t="s">
        <v>1518</v>
      </c>
      <c r="H167" s="243" t="s">
        <v>4</v>
      </c>
      <c r="I167" s="243" t="s">
        <v>1519</v>
      </c>
      <c r="J167" s="243" t="s">
        <v>1520</v>
      </c>
      <c r="K167" s="243" t="s">
        <v>1521</v>
      </c>
      <c r="L167" s="243" t="s">
        <v>1</v>
      </c>
      <c r="M167" s="243" t="s">
        <v>1</v>
      </c>
      <c r="N167" s="243" t="s">
        <v>102</v>
      </c>
      <c r="O167" s="243" t="s">
        <v>1522</v>
      </c>
      <c r="P167" s="243" t="s">
        <v>1523</v>
      </c>
      <c r="Q167" s="243" t="s">
        <v>254</v>
      </c>
      <c r="R167" s="243" t="s">
        <v>1524</v>
      </c>
      <c r="S167" s="243" t="s">
        <v>390</v>
      </c>
      <c r="T167" s="146" t="str">
        <f>IF(OR(ISNUMBER(SEARCH("FAIL",K167&amp;" "&amp;Q167)),ISNUMBER(SEARCH("CLEAN RETEST REQUIRED",K167&amp;" "&amp;Q167))),"Failed",IF(OR(ISNUMBER(SEARCH("NOT RUN",K167&amp;" "&amp;Q167)),ISNUMBER(SEARCH("NOT IMPLEMENTED",K167&amp;" "&amp;Q167))),"Not started",IF(OR(ISNUMBER(SEARCH("PARTIAL",K167&amp;" "&amp;Q167)),ISNUMBER(SEARCH("PENDING",K167&amp;" "&amp;Q167)),ISNUMBER(SEARCH("IN PROGRESS",K167&amp;" "&amp;Q167)),ISNUMBER(SEARCH("OPEN",K167&amp;" "&amp;Q167)),ISNUMBER(SEARCH("RETEST REQUIRED",K167&amp;" "&amp;Q167)),ISNUMBER(SEARCH("IMPLEMENTATION UPDATED",K167&amp;" "&amp;Q167)),ISNUMBER(SEARCH("REQUIRED EVERY SESSION",K167&amp;" "&amp;Q167))),"Pending",IF(OR(Q167="PASS",ISNUMBER(SEARCH("PASS",K167&amp;" "&amp;Q167))),"Done","Pending"))))</f>
        <v>Pending</v>
      </c>
      <c r="U167" s="146" t="str">
        <f>IF(OR(C167="Admin optional",LEFT(A167,9)="OPERATOR-",LEFT(A167,8)="PAYMENT-",LEFT(A167,7)="DEPLOY-"),"External","Core")</f>
        <v>External</v>
      </c>
    </row>
    <row r="168" customFormat="false" ht="15" hidden="false" customHeight="false" outlineLevel="0" collapsed="false">
      <c r="A168" s="243" t="s">
        <v>1525</v>
      </c>
      <c r="B168" s="243" t="s">
        <v>1526</v>
      </c>
      <c r="C168" s="522" t="s">
        <v>37</v>
      </c>
      <c r="D168" s="243" t="s">
        <v>1527</v>
      </c>
      <c r="E168" s="243" t="s">
        <v>1528</v>
      </c>
      <c r="F168" s="243" t="s">
        <v>1529</v>
      </c>
      <c r="G168" s="243" t="s">
        <v>1530</v>
      </c>
      <c r="H168" s="243" t="s">
        <v>1529</v>
      </c>
      <c r="I168" s="243" t="s">
        <v>1531</v>
      </c>
      <c r="J168" s="243" t="s">
        <v>1532</v>
      </c>
      <c r="K168" s="243" t="s">
        <v>1533</v>
      </c>
      <c r="L168" s="243" t="s">
        <v>1</v>
      </c>
      <c r="M168" s="243" t="s">
        <v>1</v>
      </c>
      <c r="N168" s="243" t="s">
        <v>1</v>
      </c>
      <c r="O168" s="243" t="s">
        <v>1534</v>
      </c>
      <c r="P168" s="243" t="s">
        <v>1535</v>
      </c>
      <c r="Q168" s="243" t="s">
        <v>1</v>
      </c>
      <c r="R168" s="243" t="s">
        <v>1536</v>
      </c>
      <c r="S168" s="243" t="s">
        <v>324</v>
      </c>
      <c r="T168" s="146" t="str">
        <f>IF(OR(ISNUMBER(SEARCH("FAIL",K168&amp;" "&amp;Q168)),ISNUMBER(SEARCH("CLEAN RETEST REQUIRED",K168&amp;" "&amp;Q168))),"Failed",IF(OR(ISNUMBER(SEARCH("NOT RUN",K168&amp;" "&amp;Q168)),ISNUMBER(SEARCH("NOT IMPLEMENTED",K168&amp;" "&amp;Q168))),"Not started",IF(OR(ISNUMBER(SEARCH("PARTIAL",K168&amp;" "&amp;Q168)),ISNUMBER(SEARCH("PENDING",K168&amp;" "&amp;Q168)),ISNUMBER(SEARCH("IN PROGRESS",K168&amp;" "&amp;Q168)),ISNUMBER(SEARCH("OPEN",K168&amp;" "&amp;Q168)),ISNUMBER(SEARCH("RETEST REQUIRED",K168&amp;" "&amp;Q168)),ISNUMBER(SEARCH("IMPLEMENTATION UPDATED",K168&amp;" "&amp;Q168)),ISNUMBER(SEARCH("REQUIRED EVERY SESSION",K168&amp;" "&amp;Q168))),"Pending",IF(OR(Q168="PASS",ISNUMBER(SEARCH("PASS",K168&amp;" "&amp;Q168))),"Done","Pending"))))</f>
        <v>Not started</v>
      </c>
      <c r="U168" s="146" t="str">
        <f>IF(OR(C168="Admin optional",LEFT(A168,9)="OPERATOR-",LEFT(A168,8)="PAYMENT-",LEFT(A168,7)="DEPLOY-"),"External","Core")</f>
        <v>External</v>
      </c>
    </row>
    <row r="169" customFormat="false" ht="15" hidden="false" customHeight="false" outlineLevel="0" collapsed="false">
      <c r="A169" s="243" t="s">
        <v>1537</v>
      </c>
      <c r="B169" s="243" t="s">
        <v>1526</v>
      </c>
      <c r="C169" s="522" t="s">
        <v>37</v>
      </c>
      <c r="D169" s="243" t="s">
        <v>1527</v>
      </c>
      <c r="E169" s="243" t="s">
        <v>1538</v>
      </c>
      <c r="F169" s="243" t="s">
        <v>4</v>
      </c>
      <c r="G169" s="243" t="s">
        <v>1539</v>
      </c>
      <c r="H169" s="243" t="s">
        <v>1540</v>
      </c>
      <c r="I169" s="243" t="s">
        <v>1541</v>
      </c>
      <c r="J169" s="243" t="s">
        <v>1542</v>
      </c>
      <c r="K169" s="243" t="s">
        <v>366</v>
      </c>
      <c r="L169" s="243" t="s">
        <v>1</v>
      </c>
      <c r="M169" s="243" t="s">
        <v>1</v>
      </c>
      <c r="N169" s="243" t="s">
        <v>1</v>
      </c>
      <c r="O169" s="243" t="s">
        <v>1543</v>
      </c>
      <c r="P169" s="243" t="s">
        <v>1544</v>
      </c>
      <c r="Q169" s="243" t="s">
        <v>1</v>
      </c>
      <c r="R169" s="243" t="s">
        <v>1545</v>
      </c>
      <c r="S169" s="243" t="s">
        <v>390</v>
      </c>
      <c r="T169" s="146" t="str">
        <f>IF(OR(ISNUMBER(SEARCH("FAIL",K169&amp;" "&amp;Q169)),ISNUMBER(SEARCH("CLEAN RETEST REQUIRED",K169&amp;" "&amp;Q169))),"Failed",IF(OR(ISNUMBER(SEARCH("NOT RUN",K169&amp;" "&amp;Q169)),ISNUMBER(SEARCH("NOT IMPLEMENTED",K169&amp;" "&amp;Q169))),"Not started",IF(OR(ISNUMBER(SEARCH("PARTIAL",K169&amp;" "&amp;Q169)),ISNUMBER(SEARCH("PENDING",K169&amp;" "&amp;Q169)),ISNUMBER(SEARCH("IN PROGRESS",K169&amp;" "&amp;Q169)),ISNUMBER(SEARCH("OPEN",K169&amp;" "&amp;Q169)),ISNUMBER(SEARCH("RETEST REQUIRED",K169&amp;" "&amp;Q169)),ISNUMBER(SEARCH("IMPLEMENTATION UPDATED",K169&amp;" "&amp;Q169)),ISNUMBER(SEARCH("REQUIRED EVERY SESSION",K169&amp;" "&amp;Q169))),"Pending",IF(OR(Q169="PASS",ISNUMBER(SEARCH("PASS",K169&amp;" "&amp;Q169))),"Done","Pending"))))</f>
        <v>Not started</v>
      </c>
      <c r="U169" s="146" t="str">
        <f>IF(OR(C169="Admin optional",LEFT(A169,9)="OPERATOR-",LEFT(A169,8)="PAYMENT-",LEFT(A169,7)="DEPLOY-"),"External","Core")</f>
        <v>External</v>
      </c>
    </row>
    <row r="170" customFormat="false" ht="15" hidden="false" customHeight="false" outlineLevel="0" collapsed="false">
      <c r="A170" s="243" t="s">
        <v>1546</v>
      </c>
      <c r="B170" s="243" t="s">
        <v>1547</v>
      </c>
      <c r="C170" s="522" t="s">
        <v>37</v>
      </c>
      <c r="D170" s="243" t="s">
        <v>80</v>
      </c>
      <c r="E170" s="243" t="s">
        <v>1548</v>
      </c>
      <c r="F170" s="243" t="s">
        <v>4</v>
      </c>
      <c r="G170" s="243" t="s">
        <v>4</v>
      </c>
      <c r="H170" s="243" t="s">
        <v>1549</v>
      </c>
      <c r="I170" s="243" t="s">
        <v>4</v>
      </c>
      <c r="J170" s="243" t="s">
        <v>4</v>
      </c>
      <c r="K170" s="243" t="s">
        <v>366</v>
      </c>
      <c r="L170" s="243" t="s">
        <v>1</v>
      </c>
      <c r="M170" s="243" t="s">
        <v>1</v>
      </c>
      <c r="N170" s="243" t="s">
        <v>1</v>
      </c>
      <c r="O170" s="243" t="s">
        <v>1550</v>
      </c>
      <c r="P170" s="243" t="s">
        <v>1551</v>
      </c>
      <c r="Q170" s="243" t="s">
        <v>1</v>
      </c>
      <c r="R170" s="243" t="s">
        <v>1</v>
      </c>
      <c r="S170" s="243" t="s">
        <v>1432</v>
      </c>
      <c r="T170" s="146" t="str">
        <f>IF(OR(ISNUMBER(SEARCH("FAIL",K170&amp;" "&amp;Q170)),ISNUMBER(SEARCH("CLEAN RETEST REQUIRED",K170&amp;" "&amp;Q170))),"Failed",IF(OR(ISNUMBER(SEARCH("NOT RUN",K170&amp;" "&amp;Q170)),ISNUMBER(SEARCH("NOT IMPLEMENTED",K170&amp;" "&amp;Q170))),"Not started",IF(OR(ISNUMBER(SEARCH("PARTIAL",K170&amp;" "&amp;Q170)),ISNUMBER(SEARCH("PENDING",K170&amp;" "&amp;Q170)),ISNUMBER(SEARCH("IN PROGRESS",K170&amp;" "&amp;Q170)),ISNUMBER(SEARCH("OPEN",K170&amp;" "&amp;Q170)),ISNUMBER(SEARCH("RETEST REQUIRED",K170&amp;" "&amp;Q170)),ISNUMBER(SEARCH("IMPLEMENTATION UPDATED",K170&amp;" "&amp;Q170)),ISNUMBER(SEARCH("REQUIRED EVERY SESSION",K170&amp;" "&amp;Q170))),"Pending",IF(OR(Q170="PASS",ISNUMBER(SEARCH("PASS",K170&amp;" "&amp;Q170))),"Done","Pending"))))</f>
        <v>Not started</v>
      </c>
      <c r="U170" s="146" t="str">
        <f>IF(OR(C170="Admin optional",LEFT(A170,9)="OPERATOR-",LEFT(A170,8)="PAYMENT-",LEFT(A170,7)="DEPLOY-"),"External","Core")</f>
        <v>External</v>
      </c>
    </row>
    <row r="171" customFormat="false" ht="15" hidden="false" customHeight="false" outlineLevel="0" collapsed="false">
      <c r="A171" s="243" t="s">
        <v>1552</v>
      </c>
      <c r="B171" s="243" t="s">
        <v>1547</v>
      </c>
      <c r="C171" s="522" t="s">
        <v>37</v>
      </c>
      <c r="D171" s="243" t="s">
        <v>80</v>
      </c>
      <c r="E171" s="243" t="s">
        <v>1553</v>
      </c>
      <c r="F171" s="243" t="s">
        <v>4</v>
      </c>
      <c r="G171" s="243" t="s">
        <v>4</v>
      </c>
      <c r="H171" s="243" t="s">
        <v>1554</v>
      </c>
      <c r="I171" s="243" t="s">
        <v>4</v>
      </c>
      <c r="J171" s="243" t="s">
        <v>1555</v>
      </c>
      <c r="K171" s="243" t="s">
        <v>366</v>
      </c>
      <c r="L171" s="243" t="s">
        <v>1</v>
      </c>
      <c r="M171" s="243" t="s">
        <v>1</v>
      </c>
      <c r="N171" s="243" t="s">
        <v>1</v>
      </c>
      <c r="O171" s="243" t="s">
        <v>1556</v>
      </c>
      <c r="P171" s="243" t="s">
        <v>1557</v>
      </c>
      <c r="Q171" s="243" t="s">
        <v>1</v>
      </c>
      <c r="R171" s="243" t="s">
        <v>1</v>
      </c>
      <c r="S171" s="243" t="s">
        <v>358</v>
      </c>
      <c r="T171" s="146" t="str">
        <f>IF(OR(ISNUMBER(SEARCH("FAIL",K171&amp;" "&amp;Q171)),ISNUMBER(SEARCH("CLEAN RETEST REQUIRED",K171&amp;" "&amp;Q171))),"Failed",IF(OR(ISNUMBER(SEARCH("NOT RUN",K171&amp;" "&amp;Q171)),ISNUMBER(SEARCH("NOT IMPLEMENTED",K171&amp;" "&amp;Q171))),"Not started",IF(OR(ISNUMBER(SEARCH("PARTIAL",K171&amp;" "&amp;Q171)),ISNUMBER(SEARCH("PENDING",K171&amp;" "&amp;Q171)),ISNUMBER(SEARCH("IN PROGRESS",K171&amp;" "&amp;Q171)),ISNUMBER(SEARCH("OPEN",K171&amp;" "&amp;Q171)),ISNUMBER(SEARCH("RETEST REQUIRED",K171&amp;" "&amp;Q171)),ISNUMBER(SEARCH("IMPLEMENTATION UPDATED",K171&amp;" "&amp;Q171)),ISNUMBER(SEARCH("REQUIRED EVERY SESSION",K171&amp;" "&amp;Q171))),"Pending",IF(OR(Q171="PASS",ISNUMBER(SEARCH("PASS",K171&amp;" "&amp;Q171))),"Done","Pending"))))</f>
        <v>Not started</v>
      </c>
      <c r="U171" s="146" t="str">
        <f>IF(OR(C171="Admin optional",LEFT(A171,9)="OPERATOR-",LEFT(A171,8)="PAYMENT-",LEFT(A171,7)="DEPLOY-"),"External","Core")</f>
        <v>External</v>
      </c>
    </row>
    <row r="172" customFormat="false" ht="15" hidden="false" customHeight="false" outlineLevel="0" collapsed="false">
      <c r="A172" s="243" t="s">
        <v>1558</v>
      </c>
      <c r="B172" s="243" t="s">
        <v>1547</v>
      </c>
      <c r="C172" s="522" t="s">
        <v>37</v>
      </c>
      <c r="D172" s="243" t="s">
        <v>80</v>
      </c>
      <c r="E172" s="243" t="s">
        <v>1559</v>
      </c>
      <c r="F172" s="243" t="s">
        <v>1560</v>
      </c>
      <c r="G172" s="243" t="s">
        <v>4</v>
      </c>
      <c r="H172" s="243" t="s">
        <v>1561</v>
      </c>
      <c r="I172" s="243" t="s">
        <v>4</v>
      </c>
      <c r="J172" s="243" t="s">
        <v>4</v>
      </c>
      <c r="K172" s="243" t="s">
        <v>366</v>
      </c>
      <c r="L172" s="243" t="s">
        <v>1</v>
      </c>
      <c r="M172" s="243" t="s">
        <v>1</v>
      </c>
      <c r="N172" s="243" t="s">
        <v>1</v>
      </c>
      <c r="O172" s="243" t="s">
        <v>1562</v>
      </c>
      <c r="P172" s="243" t="s">
        <v>1563</v>
      </c>
      <c r="Q172" s="243" t="s">
        <v>1</v>
      </c>
      <c r="R172" s="243" t="s">
        <v>1</v>
      </c>
      <c r="S172" s="243" t="s">
        <v>1564</v>
      </c>
      <c r="T172" s="146" t="str">
        <f>IF(OR(ISNUMBER(SEARCH("FAIL",K172&amp;" "&amp;Q172)),ISNUMBER(SEARCH("CLEAN RETEST REQUIRED",K172&amp;" "&amp;Q172))),"Failed",IF(OR(ISNUMBER(SEARCH("NOT RUN",K172&amp;" "&amp;Q172)),ISNUMBER(SEARCH("NOT IMPLEMENTED",K172&amp;" "&amp;Q172))),"Not started",IF(OR(ISNUMBER(SEARCH("PARTIAL",K172&amp;" "&amp;Q172)),ISNUMBER(SEARCH("PENDING",K172&amp;" "&amp;Q172)),ISNUMBER(SEARCH("IN PROGRESS",K172&amp;" "&amp;Q172)),ISNUMBER(SEARCH("OPEN",K172&amp;" "&amp;Q172)),ISNUMBER(SEARCH("RETEST REQUIRED",K172&amp;" "&amp;Q172)),ISNUMBER(SEARCH("IMPLEMENTATION UPDATED",K172&amp;" "&amp;Q172)),ISNUMBER(SEARCH("REQUIRED EVERY SESSION",K172&amp;" "&amp;Q172))),"Pending",IF(OR(Q172="PASS",ISNUMBER(SEARCH("PASS",K172&amp;" "&amp;Q172))),"Done","Pending"))))</f>
        <v>Not started</v>
      </c>
      <c r="U172" s="146" t="str">
        <f>IF(OR(C172="Admin optional",LEFT(A172,9)="OPERATOR-",LEFT(A172,8)="PAYMENT-",LEFT(A172,7)="DEPLOY-"),"External","Core")</f>
        <v>External</v>
      </c>
    </row>
    <row r="173" customFormat="false" ht="15" hidden="false" customHeight="false" outlineLevel="0" collapsed="false">
      <c r="A173" s="243" t="s">
        <v>1565</v>
      </c>
      <c r="B173" s="243" t="s">
        <v>1547</v>
      </c>
      <c r="C173" s="522" t="s">
        <v>37</v>
      </c>
      <c r="D173" s="243" t="s">
        <v>80</v>
      </c>
      <c r="E173" s="243" t="s">
        <v>1566</v>
      </c>
      <c r="F173" s="243" t="s">
        <v>4</v>
      </c>
      <c r="G173" s="243" t="s">
        <v>4</v>
      </c>
      <c r="H173" s="243" t="s">
        <v>1567</v>
      </c>
      <c r="I173" s="243" t="s">
        <v>4</v>
      </c>
      <c r="J173" s="243" t="s">
        <v>1568</v>
      </c>
      <c r="K173" s="243" t="s">
        <v>366</v>
      </c>
      <c r="L173" s="243" t="s">
        <v>1</v>
      </c>
      <c r="M173" s="243" t="s">
        <v>1</v>
      </c>
      <c r="N173" s="243" t="s">
        <v>1</v>
      </c>
      <c r="O173" s="243" t="s">
        <v>1569</v>
      </c>
      <c r="P173" s="243" t="s">
        <v>1570</v>
      </c>
      <c r="Q173" s="243" t="s">
        <v>1</v>
      </c>
      <c r="R173" s="243" t="s">
        <v>1</v>
      </c>
      <c r="S173" s="243" t="s">
        <v>1571</v>
      </c>
      <c r="T173" s="146" t="str">
        <f>IF(OR(ISNUMBER(SEARCH("FAIL",K173&amp;" "&amp;Q173)),ISNUMBER(SEARCH("CLEAN RETEST REQUIRED",K173&amp;" "&amp;Q173))),"Failed",IF(OR(ISNUMBER(SEARCH("NOT RUN",K173&amp;" "&amp;Q173)),ISNUMBER(SEARCH("NOT IMPLEMENTED",K173&amp;" "&amp;Q173))),"Not started",IF(OR(ISNUMBER(SEARCH("PARTIAL",K173&amp;" "&amp;Q173)),ISNUMBER(SEARCH("PENDING",K173&amp;" "&amp;Q173)),ISNUMBER(SEARCH("IN PROGRESS",K173&amp;" "&amp;Q173)),ISNUMBER(SEARCH("OPEN",K173&amp;" "&amp;Q173)),ISNUMBER(SEARCH("RETEST REQUIRED",K173&amp;" "&amp;Q173)),ISNUMBER(SEARCH("IMPLEMENTATION UPDATED",K173&amp;" "&amp;Q173)),ISNUMBER(SEARCH("REQUIRED EVERY SESSION",K173&amp;" "&amp;Q173))),"Pending",IF(OR(Q173="PASS",ISNUMBER(SEARCH("PASS",K173&amp;" "&amp;Q173))),"Done","Pending"))))</f>
        <v>Not started</v>
      </c>
      <c r="U173" s="146" t="str">
        <f>IF(OR(C173="Admin optional",LEFT(A173,9)="OPERATOR-",LEFT(A173,8)="PAYMENT-",LEFT(A173,7)="DEPLOY-"),"External","Core")</f>
        <v>External</v>
      </c>
    </row>
    <row r="174" customFormat="false" ht="15" hidden="false" customHeight="false" outlineLevel="0" collapsed="false">
      <c r="A174" s="243" t="s">
        <v>1572</v>
      </c>
      <c r="B174" s="243" t="s">
        <v>1449</v>
      </c>
      <c r="C174" s="522" t="s">
        <v>37</v>
      </c>
      <c r="D174" s="243" t="s">
        <v>80</v>
      </c>
      <c r="E174" s="243" t="s">
        <v>1573</v>
      </c>
      <c r="F174" s="243" t="s">
        <v>1574</v>
      </c>
      <c r="G174" s="243" t="s">
        <v>1575</v>
      </c>
      <c r="H174" s="243" t="s">
        <v>1576</v>
      </c>
      <c r="I174" s="243" t="s">
        <v>1501</v>
      </c>
      <c r="J174" s="243" t="s">
        <v>1577</v>
      </c>
      <c r="K174" s="243" t="s">
        <v>366</v>
      </c>
      <c r="L174" s="243" t="s">
        <v>1</v>
      </c>
      <c r="M174" s="243" t="s">
        <v>1</v>
      </c>
      <c r="N174" s="243" t="s">
        <v>1</v>
      </c>
      <c r="O174" s="243" t="s">
        <v>1578</v>
      </c>
      <c r="P174" s="243" t="s">
        <v>1579</v>
      </c>
      <c r="Q174" s="243" t="s">
        <v>1</v>
      </c>
      <c r="R174" s="243" t="s">
        <v>1</v>
      </c>
      <c r="S174" s="243" t="s">
        <v>390</v>
      </c>
      <c r="T174" s="146" t="str">
        <f>IF(OR(ISNUMBER(SEARCH("FAIL",K174&amp;" "&amp;Q174)),ISNUMBER(SEARCH("CLEAN RETEST REQUIRED",K174&amp;" "&amp;Q174))),"Failed",IF(OR(ISNUMBER(SEARCH("NOT RUN",K174&amp;" "&amp;Q174)),ISNUMBER(SEARCH("NOT IMPLEMENTED",K174&amp;" "&amp;Q174))),"Not started",IF(OR(ISNUMBER(SEARCH("PARTIAL",K174&amp;" "&amp;Q174)),ISNUMBER(SEARCH("PENDING",K174&amp;" "&amp;Q174)),ISNUMBER(SEARCH("IN PROGRESS",K174&amp;" "&amp;Q174)),ISNUMBER(SEARCH("OPEN",K174&amp;" "&amp;Q174)),ISNUMBER(SEARCH("RETEST REQUIRED",K174&amp;" "&amp;Q174)),ISNUMBER(SEARCH("IMPLEMENTATION UPDATED",K174&amp;" "&amp;Q174)),ISNUMBER(SEARCH("REQUIRED EVERY SESSION",K174&amp;" "&amp;Q174))),"Pending",IF(OR(Q174="PASS",ISNUMBER(SEARCH("PASS",K174&amp;" "&amp;Q174))),"Done","Pending"))))</f>
        <v>Not started</v>
      </c>
      <c r="U174" s="146" t="str">
        <f>IF(OR(C174="Admin optional",LEFT(A174,9)="OPERATOR-",LEFT(A174,8)="PAYMENT-",LEFT(A174,7)="DEPLOY-"),"External","Core")</f>
        <v>External</v>
      </c>
    </row>
    <row r="175" customFormat="false" ht="15" hidden="false" customHeight="false" outlineLevel="0" collapsed="false">
      <c r="A175" s="243" t="s">
        <v>1580</v>
      </c>
      <c r="B175" s="243" t="s">
        <v>1581</v>
      </c>
      <c r="C175" s="522" t="s">
        <v>37</v>
      </c>
      <c r="D175" s="243" t="s">
        <v>80</v>
      </c>
      <c r="E175" s="243" t="s">
        <v>1582</v>
      </c>
      <c r="F175" s="243" t="s">
        <v>4</v>
      </c>
      <c r="G175" s="243" t="s">
        <v>4</v>
      </c>
      <c r="H175" s="243" t="s">
        <v>1583</v>
      </c>
      <c r="I175" s="243" t="s">
        <v>4</v>
      </c>
      <c r="J175" s="243" t="s">
        <v>1584</v>
      </c>
      <c r="K175" s="243" t="s">
        <v>366</v>
      </c>
      <c r="L175" s="243" t="s">
        <v>1</v>
      </c>
      <c r="M175" s="243" t="s">
        <v>1</v>
      </c>
      <c r="N175" s="243" t="s">
        <v>1</v>
      </c>
      <c r="O175" s="243" t="s">
        <v>1585</v>
      </c>
      <c r="P175" s="243" t="s">
        <v>1586</v>
      </c>
      <c r="Q175" s="243" t="s">
        <v>1</v>
      </c>
      <c r="R175" s="243" t="s">
        <v>1</v>
      </c>
      <c r="S175" s="243" t="s">
        <v>336</v>
      </c>
      <c r="T175" s="146" t="str">
        <f>IF(OR(ISNUMBER(SEARCH("FAIL",K175&amp;" "&amp;Q175)),ISNUMBER(SEARCH("CLEAN RETEST REQUIRED",K175&amp;" "&amp;Q175))),"Failed",IF(OR(ISNUMBER(SEARCH("NOT RUN",K175&amp;" "&amp;Q175)),ISNUMBER(SEARCH("NOT IMPLEMENTED",K175&amp;" "&amp;Q175))),"Not started",IF(OR(ISNUMBER(SEARCH("PARTIAL",K175&amp;" "&amp;Q175)),ISNUMBER(SEARCH("PENDING",K175&amp;" "&amp;Q175)),ISNUMBER(SEARCH("IN PROGRESS",K175&amp;" "&amp;Q175)),ISNUMBER(SEARCH("OPEN",K175&amp;" "&amp;Q175)),ISNUMBER(SEARCH("RETEST REQUIRED",K175&amp;" "&amp;Q175)),ISNUMBER(SEARCH("IMPLEMENTATION UPDATED",K175&amp;" "&amp;Q175)),ISNUMBER(SEARCH("REQUIRED EVERY SESSION",K175&amp;" "&amp;Q175))),"Pending",IF(OR(Q175="PASS",ISNUMBER(SEARCH("PASS",K175&amp;" "&amp;Q175))),"Done","Pending"))))</f>
        <v>Not started</v>
      </c>
      <c r="U175" s="146" t="str">
        <f>IF(OR(C175="Admin optional",LEFT(A175,9)="OPERATOR-",LEFT(A175,8)="PAYMENT-",LEFT(A175,7)="DEPLOY-"),"External","Core")</f>
        <v>External</v>
      </c>
    </row>
    <row r="176" customFormat="false" ht="15" hidden="false" customHeight="false" outlineLevel="0" collapsed="false">
      <c r="A176" s="243" t="s">
        <v>1587</v>
      </c>
      <c r="B176" s="243" t="s">
        <v>1588</v>
      </c>
      <c r="C176" s="522" t="s">
        <v>37</v>
      </c>
      <c r="D176" s="243" t="s">
        <v>1589</v>
      </c>
      <c r="E176" s="243" t="s">
        <v>1590</v>
      </c>
      <c r="F176" s="243" t="s">
        <v>4</v>
      </c>
      <c r="G176" s="243" t="s">
        <v>1591</v>
      </c>
      <c r="H176" s="243" t="s">
        <v>1540</v>
      </c>
      <c r="I176" s="243" t="s">
        <v>1541</v>
      </c>
      <c r="J176" s="243" t="s">
        <v>1592</v>
      </c>
      <c r="K176" s="243" t="s">
        <v>366</v>
      </c>
      <c r="L176" s="243" t="s">
        <v>1</v>
      </c>
      <c r="M176" s="243" t="s">
        <v>1</v>
      </c>
      <c r="N176" s="243" t="s">
        <v>1</v>
      </c>
      <c r="O176" s="243" t="s">
        <v>1593</v>
      </c>
      <c r="P176" s="243" t="s">
        <v>1594</v>
      </c>
      <c r="Q176" s="243" t="s">
        <v>1</v>
      </c>
      <c r="R176" s="243" t="s">
        <v>1</v>
      </c>
      <c r="S176" s="243" t="s">
        <v>118</v>
      </c>
      <c r="T176" s="146" t="str">
        <f>IF(OR(ISNUMBER(SEARCH("FAIL",K176&amp;" "&amp;Q176)),ISNUMBER(SEARCH("CLEAN RETEST REQUIRED",K176&amp;" "&amp;Q176))),"Failed",IF(OR(ISNUMBER(SEARCH("NOT RUN",K176&amp;" "&amp;Q176)),ISNUMBER(SEARCH("NOT IMPLEMENTED",K176&amp;" "&amp;Q176))),"Not started",IF(OR(ISNUMBER(SEARCH("PARTIAL",K176&amp;" "&amp;Q176)),ISNUMBER(SEARCH("PENDING",K176&amp;" "&amp;Q176)),ISNUMBER(SEARCH("IN PROGRESS",K176&amp;" "&amp;Q176)),ISNUMBER(SEARCH("OPEN",K176&amp;" "&amp;Q176)),ISNUMBER(SEARCH("RETEST REQUIRED",K176&amp;" "&amp;Q176)),ISNUMBER(SEARCH("IMPLEMENTATION UPDATED",K176&amp;" "&amp;Q176)),ISNUMBER(SEARCH("REQUIRED EVERY SESSION",K176&amp;" "&amp;Q176))),"Pending",IF(OR(Q176="PASS",ISNUMBER(SEARCH("PASS",K176&amp;" "&amp;Q176))),"Done","Pending"))))</f>
        <v>Not started</v>
      </c>
      <c r="U176" s="146" t="str">
        <f>IF(OR(C176="Admin optional",LEFT(A176,9)="OPERATOR-",LEFT(A176,8)="PAYMENT-",LEFT(A176,7)="DEPLOY-"),"External","Core")</f>
        <v>External</v>
      </c>
    </row>
    <row r="177" customFormat="false" ht="15" hidden="false" customHeight="false" outlineLevel="0" collapsed="false">
      <c r="A177" s="243" t="s">
        <v>1595</v>
      </c>
      <c r="B177" s="243" t="s">
        <v>1596</v>
      </c>
      <c r="C177" s="522" t="s">
        <v>37</v>
      </c>
      <c r="D177" s="243" t="s">
        <v>1597</v>
      </c>
      <c r="E177" s="243" t="s">
        <v>1598</v>
      </c>
      <c r="F177" s="243" t="s">
        <v>1599</v>
      </c>
      <c r="G177" s="243" t="s">
        <v>1600</v>
      </c>
      <c r="H177" s="243" t="s">
        <v>1601</v>
      </c>
      <c r="I177" s="243" t="s">
        <v>1501</v>
      </c>
      <c r="J177" s="243" t="s">
        <v>1602</v>
      </c>
      <c r="K177" s="243" t="s">
        <v>366</v>
      </c>
      <c r="L177" s="243" t="s">
        <v>1</v>
      </c>
      <c r="M177" s="243" t="s">
        <v>1</v>
      </c>
      <c r="N177" s="243" t="s">
        <v>1</v>
      </c>
      <c r="O177" s="243" t="s">
        <v>1603</v>
      </c>
      <c r="P177" s="243" t="s">
        <v>1604</v>
      </c>
      <c r="Q177" s="243" t="s">
        <v>1</v>
      </c>
      <c r="R177" s="243" t="s">
        <v>1</v>
      </c>
      <c r="S177" s="243" t="s">
        <v>290</v>
      </c>
      <c r="T177" s="146" t="str">
        <f>IF(OR(ISNUMBER(SEARCH("FAIL",K177&amp;" "&amp;Q177)),ISNUMBER(SEARCH("CLEAN RETEST REQUIRED",K177&amp;" "&amp;Q177))),"Failed",IF(OR(ISNUMBER(SEARCH("NOT RUN",K177&amp;" "&amp;Q177)),ISNUMBER(SEARCH("NOT IMPLEMENTED",K177&amp;" "&amp;Q177))),"Not started",IF(OR(ISNUMBER(SEARCH("PARTIAL",K177&amp;" "&amp;Q177)),ISNUMBER(SEARCH("PENDING",K177&amp;" "&amp;Q177)),ISNUMBER(SEARCH("IN PROGRESS",K177&amp;" "&amp;Q177)),ISNUMBER(SEARCH("OPEN",K177&amp;" "&amp;Q177)),ISNUMBER(SEARCH("RETEST REQUIRED",K177&amp;" "&amp;Q177)),ISNUMBER(SEARCH("IMPLEMENTATION UPDATED",K177&amp;" "&amp;Q177)),ISNUMBER(SEARCH("REQUIRED EVERY SESSION",K177&amp;" "&amp;Q177))),"Pending",IF(OR(Q177="PASS",ISNUMBER(SEARCH("PASS",K177&amp;" "&amp;Q177))),"Done","Pending"))))</f>
        <v>Not started</v>
      </c>
      <c r="U177" s="146" t="str">
        <f>IF(OR(C177="Admin optional",LEFT(A177,9)="OPERATOR-",LEFT(A177,8)="PAYMENT-",LEFT(A177,7)="DEPLOY-"),"External","Core")</f>
        <v>External</v>
      </c>
    </row>
    <row r="178" customFormat="false" ht="15" hidden="false" customHeight="false" outlineLevel="0" collapsed="false">
      <c r="A178" s="243" t="s">
        <v>1605</v>
      </c>
      <c r="B178" s="243" t="s">
        <v>1596</v>
      </c>
      <c r="C178" s="522" t="s">
        <v>37</v>
      </c>
      <c r="D178" s="243" t="s">
        <v>1606</v>
      </c>
      <c r="E178" s="243" t="s">
        <v>1607</v>
      </c>
      <c r="F178" s="243" t="s">
        <v>1608</v>
      </c>
      <c r="G178" s="243" t="s">
        <v>1600</v>
      </c>
      <c r="H178" s="243" t="s">
        <v>1609</v>
      </c>
      <c r="I178" s="243" t="s">
        <v>1501</v>
      </c>
      <c r="J178" s="243" t="s">
        <v>1610</v>
      </c>
      <c r="K178" s="243" t="s">
        <v>366</v>
      </c>
      <c r="L178" s="243" t="s">
        <v>1</v>
      </c>
      <c r="M178" s="243" t="s">
        <v>1</v>
      </c>
      <c r="N178" s="243" t="s">
        <v>1</v>
      </c>
      <c r="O178" s="243" t="s">
        <v>1611</v>
      </c>
      <c r="P178" s="243" t="s">
        <v>1612</v>
      </c>
      <c r="Q178" s="243" t="s">
        <v>1</v>
      </c>
      <c r="R178" s="243" t="s">
        <v>1</v>
      </c>
      <c r="S178" s="243" t="s">
        <v>380</v>
      </c>
      <c r="T178" s="146" t="str">
        <f>IF(OR(ISNUMBER(SEARCH("FAIL",K178&amp;" "&amp;Q178)),ISNUMBER(SEARCH("CLEAN RETEST REQUIRED",K178&amp;" "&amp;Q178))),"Failed",IF(OR(ISNUMBER(SEARCH("NOT RUN",K178&amp;" "&amp;Q178)),ISNUMBER(SEARCH("NOT IMPLEMENTED",K178&amp;" "&amp;Q178))),"Not started",IF(OR(ISNUMBER(SEARCH("PARTIAL",K178&amp;" "&amp;Q178)),ISNUMBER(SEARCH("PENDING",K178&amp;" "&amp;Q178)),ISNUMBER(SEARCH("IN PROGRESS",K178&amp;" "&amp;Q178)),ISNUMBER(SEARCH("OPEN",K178&amp;" "&amp;Q178)),ISNUMBER(SEARCH("RETEST REQUIRED",K178&amp;" "&amp;Q178)),ISNUMBER(SEARCH("IMPLEMENTATION UPDATED",K178&amp;" "&amp;Q178)),ISNUMBER(SEARCH("REQUIRED EVERY SESSION",K178&amp;" "&amp;Q178))),"Pending",IF(OR(Q178="PASS",ISNUMBER(SEARCH("PASS",K178&amp;" "&amp;Q178))),"Done","Pending"))))</f>
        <v>Not started</v>
      </c>
      <c r="U178" s="146" t="str">
        <f>IF(OR(C178="Admin optional",LEFT(A178,9)="OPERATOR-",LEFT(A178,8)="PAYMENT-",LEFT(A178,7)="DEPLOY-"),"External","Core")</f>
        <v>External</v>
      </c>
    </row>
    <row r="179" customFormat="false" ht="15" hidden="false" customHeight="false" outlineLevel="0" collapsed="false">
      <c r="A179" s="243" t="s">
        <v>1613</v>
      </c>
      <c r="B179" s="243" t="s">
        <v>1596</v>
      </c>
      <c r="C179" s="522" t="s">
        <v>37</v>
      </c>
      <c r="D179" s="243" t="s">
        <v>1614</v>
      </c>
      <c r="E179" s="243" t="s">
        <v>1615</v>
      </c>
      <c r="F179" s="243" t="s">
        <v>4</v>
      </c>
      <c r="G179" s="243" t="s">
        <v>1616</v>
      </c>
      <c r="H179" s="243" t="s">
        <v>4</v>
      </c>
      <c r="I179" s="243" t="s">
        <v>1617</v>
      </c>
      <c r="J179" s="243" t="s">
        <v>1618</v>
      </c>
      <c r="K179" s="243" t="s">
        <v>366</v>
      </c>
      <c r="L179" s="243" t="s">
        <v>1</v>
      </c>
      <c r="M179" s="243" t="s">
        <v>1</v>
      </c>
      <c r="N179" s="243" t="s">
        <v>1</v>
      </c>
      <c r="O179" s="243" t="s">
        <v>1619</v>
      </c>
      <c r="P179" s="243" t="s">
        <v>1620</v>
      </c>
      <c r="Q179" s="243" t="s">
        <v>1</v>
      </c>
      <c r="R179" s="243" t="s">
        <v>1621</v>
      </c>
      <c r="S179" s="243" t="s">
        <v>336</v>
      </c>
      <c r="T179" s="146" t="str">
        <f>IF(OR(ISNUMBER(SEARCH("FAIL",K179&amp;" "&amp;Q179)),ISNUMBER(SEARCH("CLEAN RETEST REQUIRED",K179&amp;" "&amp;Q179))),"Failed",IF(OR(ISNUMBER(SEARCH("NOT RUN",K179&amp;" "&amp;Q179)),ISNUMBER(SEARCH("NOT IMPLEMENTED",K179&amp;" "&amp;Q179))),"Not started",IF(OR(ISNUMBER(SEARCH("PARTIAL",K179&amp;" "&amp;Q179)),ISNUMBER(SEARCH("PENDING",K179&amp;" "&amp;Q179)),ISNUMBER(SEARCH("IN PROGRESS",K179&amp;" "&amp;Q179)),ISNUMBER(SEARCH("OPEN",K179&amp;" "&amp;Q179)),ISNUMBER(SEARCH("RETEST REQUIRED",K179&amp;" "&amp;Q179)),ISNUMBER(SEARCH("IMPLEMENTATION UPDATED",K179&amp;" "&amp;Q179)),ISNUMBER(SEARCH("REQUIRED EVERY SESSION",K179&amp;" "&amp;Q179))),"Pending",IF(OR(Q179="PASS",ISNUMBER(SEARCH("PASS",K179&amp;" "&amp;Q179))),"Done","Pending"))))</f>
        <v>Not started</v>
      </c>
      <c r="U179" s="146" t="str">
        <f>IF(OR(C179="Admin optional",LEFT(A179,9)="OPERATOR-",LEFT(A179,8)="PAYMENT-",LEFT(A179,7)="DEPLOY-"),"External","Core")</f>
        <v>External</v>
      </c>
    </row>
    <row r="180" customFormat="false" ht="15" hidden="false" customHeight="false" outlineLevel="0" collapsed="false">
      <c r="A180" s="243" t="s">
        <v>1622</v>
      </c>
      <c r="B180" s="243" t="s">
        <v>1596</v>
      </c>
      <c r="C180" s="522" t="s">
        <v>37</v>
      </c>
      <c r="D180" s="243" t="s">
        <v>1623</v>
      </c>
      <c r="E180" s="243" t="s">
        <v>1624</v>
      </c>
      <c r="F180" s="243" t="s">
        <v>4</v>
      </c>
      <c r="G180" s="243" t="s">
        <v>1616</v>
      </c>
      <c r="H180" s="243" t="s">
        <v>4</v>
      </c>
      <c r="I180" s="243" t="s">
        <v>1617</v>
      </c>
      <c r="J180" s="243" t="s">
        <v>1625</v>
      </c>
      <c r="K180" s="243" t="s">
        <v>366</v>
      </c>
      <c r="L180" s="243" t="s">
        <v>1</v>
      </c>
      <c r="M180" s="243" t="s">
        <v>1</v>
      </c>
      <c r="N180" s="243" t="s">
        <v>1</v>
      </c>
      <c r="O180" s="243" t="s">
        <v>1626</v>
      </c>
      <c r="P180" s="243" t="s">
        <v>1627</v>
      </c>
      <c r="Q180" s="243" t="s">
        <v>1</v>
      </c>
      <c r="R180" s="243" t="s">
        <v>1628</v>
      </c>
      <c r="S180" s="243" t="s">
        <v>429</v>
      </c>
      <c r="T180" s="146" t="str">
        <f>IF(OR(ISNUMBER(SEARCH("FAIL",K180&amp;" "&amp;Q180)),ISNUMBER(SEARCH("CLEAN RETEST REQUIRED",K180&amp;" "&amp;Q180))),"Failed",IF(OR(ISNUMBER(SEARCH("NOT RUN",K180&amp;" "&amp;Q180)),ISNUMBER(SEARCH("NOT IMPLEMENTED",K180&amp;" "&amp;Q180))),"Not started",IF(OR(ISNUMBER(SEARCH("PARTIAL",K180&amp;" "&amp;Q180)),ISNUMBER(SEARCH("PENDING",K180&amp;" "&amp;Q180)),ISNUMBER(SEARCH("IN PROGRESS",K180&amp;" "&amp;Q180)),ISNUMBER(SEARCH("OPEN",K180&amp;" "&amp;Q180)),ISNUMBER(SEARCH("RETEST REQUIRED",K180&amp;" "&amp;Q180)),ISNUMBER(SEARCH("IMPLEMENTATION UPDATED",K180&amp;" "&amp;Q180)),ISNUMBER(SEARCH("REQUIRED EVERY SESSION",K180&amp;" "&amp;Q180))),"Pending",IF(OR(Q180="PASS",ISNUMBER(SEARCH("PASS",K180&amp;" "&amp;Q180))),"Done","Pending"))))</f>
        <v>Not started</v>
      </c>
      <c r="U180" s="146" t="str">
        <f>IF(OR(C180="Admin optional",LEFT(A180,9)="OPERATOR-",LEFT(A180,8)="PAYMENT-",LEFT(A180,7)="DEPLOY-"),"External","Core")</f>
        <v>External</v>
      </c>
    </row>
    <row r="181" customFormat="false" ht="15" hidden="false" customHeight="false" outlineLevel="0" collapsed="false">
      <c r="A181" s="243" t="s">
        <v>1629</v>
      </c>
      <c r="B181" s="243" t="s">
        <v>1596</v>
      </c>
      <c r="C181" s="522" t="s">
        <v>37</v>
      </c>
      <c r="D181" s="243" t="s">
        <v>1630</v>
      </c>
      <c r="E181" s="243" t="s">
        <v>1631</v>
      </c>
      <c r="F181" s="243" t="s">
        <v>1608</v>
      </c>
      <c r="G181" s="243" t="s">
        <v>1600</v>
      </c>
      <c r="H181" s="243" t="s">
        <v>1632</v>
      </c>
      <c r="I181" s="243" t="s">
        <v>1501</v>
      </c>
      <c r="J181" s="243" t="s">
        <v>1633</v>
      </c>
      <c r="K181" s="243" t="s">
        <v>366</v>
      </c>
      <c r="L181" s="243" t="s">
        <v>1</v>
      </c>
      <c r="M181" s="243" t="s">
        <v>1</v>
      </c>
      <c r="N181" s="243" t="s">
        <v>1</v>
      </c>
      <c r="O181" s="243" t="s">
        <v>1634</v>
      </c>
      <c r="P181" s="243" t="s">
        <v>1635</v>
      </c>
      <c r="Q181" s="243" t="s">
        <v>1</v>
      </c>
      <c r="R181" s="243" t="s">
        <v>1</v>
      </c>
      <c r="S181" s="243" t="s">
        <v>759</v>
      </c>
      <c r="T181" s="146" t="str">
        <f>IF(OR(ISNUMBER(SEARCH("FAIL",K181&amp;" "&amp;Q181)),ISNUMBER(SEARCH("CLEAN RETEST REQUIRED",K181&amp;" "&amp;Q181))),"Failed",IF(OR(ISNUMBER(SEARCH("NOT RUN",K181&amp;" "&amp;Q181)),ISNUMBER(SEARCH("NOT IMPLEMENTED",K181&amp;" "&amp;Q181))),"Not started",IF(OR(ISNUMBER(SEARCH("PARTIAL",K181&amp;" "&amp;Q181)),ISNUMBER(SEARCH("PENDING",K181&amp;" "&amp;Q181)),ISNUMBER(SEARCH("IN PROGRESS",K181&amp;" "&amp;Q181)),ISNUMBER(SEARCH("OPEN",K181&amp;" "&amp;Q181)),ISNUMBER(SEARCH("RETEST REQUIRED",K181&amp;" "&amp;Q181)),ISNUMBER(SEARCH("IMPLEMENTATION UPDATED",K181&amp;" "&amp;Q181)),ISNUMBER(SEARCH("REQUIRED EVERY SESSION",K181&amp;" "&amp;Q181))),"Pending",IF(OR(Q181="PASS",ISNUMBER(SEARCH("PASS",K181&amp;" "&amp;Q181))),"Done","Pending"))))</f>
        <v>Not started</v>
      </c>
      <c r="U181" s="146" t="str">
        <f>IF(OR(C181="Admin optional",LEFT(A181,9)="OPERATOR-",LEFT(A181,8)="PAYMENT-",LEFT(A181,7)="DEPLOY-"),"External","Core")</f>
        <v>External</v>
      </c>
    </row>
    <row r="182" customFormat="false" ht="15" hidden="false" customHeight="false" outlineLevel="0" collapsed="false">
      <c r="A182" s="243" t="s">
        <v>1636</v>
      </c>
      <c r="B182" s="243" t="s">
        <v>1596</v>
      </c>
      <c r="C182" s="522" t="s">
        <v>37</v>
      </c>
      <c r="D182" s="243" t="s">
        <v>1637</v>
      </c>
      <c r="E182" s="243" t="s">
        <v>1638</v>
      </c>
      <c r="F182" s="243" t="s">
        <v>4</v>
      </c>
      <c r="G182" s="243" t="s">
        <v>1639</v>
      </c>
      <c r="H182" s="243" t="s">
        <v>4</v>
      </c>
      <c r="I182" s="243" t="s">
        <v>1617</v>
      </c>
      <c r="J182" s="243" t="s">
        <v>1640</v>
      </c>
      <c r="K182" s="243" t="s">
        <v>1641</v>
      </c>
      <c r="L182" s="243" t="s">
        <v>1</v>
      </c>
      <c r="M182" s="243" t="s">
        <v>1</v>
      </c>
      <c r="N182" s="243" t="s">
        <v>1</v>
      </c>
      <c r="O182" s="243" t="s">
        <v>1642</v>
      </c>
      <c r="P182" s="243" t="s">
        <v>1643</v>
      </c>
      <c r="Q182" s="243" t="s">
        <v>1</v>
      </c>
      <c r="R182" s="243" t="s">
        <v>1644</v>
      </c>
      <c r="S182" s="243" t="s">
        <v>118</v>
      </c>
      <c r="T182" s="146" t="str">
        <f>IF(OR(ISNUMBER(SEARCH("FAIL",K182&amp;" "&amp;Q182)),ISNUMBER(SEARCH("CLEAN RETEST REQUIRED",K182&amp;" "&amp;Q182))),"Failed",IF(OR(ISNUMBER(SEARCH("NOT RUN",K182&amp;" "&amp;Q182)),ISNUMBER(SEARCH("NOT IMPLEMENTED",K182&amp;" "&amp;Q182))),"Not started",IF(OR(ISNUMBER(SEARCH("PARTIAL",K182&amp;" "&amp;Q182)),ISNUMBER(SEARCH("PENDING",K182&amp;" "&amp;Q182)),ISNUMBER(SEARCH("IN PROGRESS",K182&amp;" "&amp;Q182)),ISNUMBER(SEARCH("OPEN",K182&amp;" "&amp;Q182)),ISNUMBER(SEARCH("RETEST REQUIRED",K182&amp;" "&amp;Q182)),ISNUMBER(SEARCH("IMPLEMENTATION UPDATED",K182&amp;" "&amp;Q182)),ISNUMBER(SEARCH("REQUIRED EVERY SESSION",K182&amp;" "&amp;Q182))),"Pending",IF(OR(Q182="PASS",ISNUMBER(SEARCH("PASS",K182&amp;" "&amp;Q182))),"Done","Pending"))))</f>
        <v>Not started</v>
      </c>
      <c r="U182" s="146" t="str">
        <f>IF(OR(C182="Admin optional",LEFT(A182,9)="OPERATOR-",LEFT(A182,8)="PAYMENT-",LEFT(A182,7)="DEPLOY-"),"External","Core")</f>
        <v>External</v>
      </c>
    </row>
    <row r="183" customFormat="false" ht="15" hidden="false" customHeight="false" outlineLevel="0" collapsed="false">
      <c r="A183" s="243" t="s">
        <v>1645</v>
      </c>
      <c r="B183" s="243" t="s">
        <v>1596</v>
      </c>
      <c r="C183" s="522" t="s">
        <v>37</v>
      </c>
      <c r="D183" s="243" t="s">
        <v>1646</v>
      </c>
      <c r="E183" s="243" t="s">
        <v>1647</v>
      </c>
      <c r="F183" s="243" t="s">
        <v>4</v>
      </c>
      <c r="G183" s="243" t="s">
        <v>1648</v>
      </c>
      <c r="H183" s="243" t="s">
        <v>4</v>
      </c>
      <c r="I183" s="243" t="s">
        <v>1649</v>
      </c>
      <c r="J183" s="243" t="s">
        <v>1650</v>
      </c>
      <c r="K183" s="243" t="s">
        <v>366</v>
      </c>
      <c r="L183" s="243" t="s">
        <v>1</v>
      </c>
      <c r="M183" s="243" t="s">
        <v>1</v>
      </c>
      <c r="N183" s="243" t="s">
        <v>1</v>
      </c>
      <c r="O183" s="243" t="s">
        <v>1651</v>
      </c>
      <c r="P183" s="243" t="s">
        <v>1652</v>
      </c>
      <c r="Q183" s="243" t="s">
        <v>1</v>
      </c>
      <c r="R183" s="243" t="s">
        <v>1</v>
      </c>
      <c r="S183" s="243" t="s">
        <v>324</v>
      </c>
      <c r="T183" s="146" t="str">
        <f>IF(OR(ISNUMBER(SEARCH("FAIL",K183&amp;" "&amp;Q183)),ISNUMBER(SEARCH("CLEAN RETEST REQUIRED",K183&amp;" "&amp;Q183))),"Failed",IF(OR(ISNUMBER(SEARCH("NOT RUN",K183&amp;" "&amp;Q183)),ISNUMBER(SEARCH("NOT IMPLEMENTED",K183&amp;" "&amp;Q183))),"Not started",IF(OR(ISNUMBER(SEARCH("PARTIAL",K183&amp;" "&amp;Q183)),ISNUMBER(SEARCH("PENDING",K183&amp;" "&amp;Q183)),ISNUMBER(SEARCH("IN PROGRESS",K183&amp;" "&amp;Q183)),ISNUMBER(SEARCH("OPEN",K183&amp;" "&amp;Q183)),ISNUMBER(SEARCH("RETEST REQUIRED",K183&amp;" "&amp;Q183)),ISNUMBER(SEARCH("IMPLEMENTATION UPDATED",K183&amp;" "&amp;Q183)),ISNUMBER(SEARCH("REQUIRED EVERY SESSION",K183&amp;" "&amp;Q183))),"Pending",IF(OR(Q183="PASS",ISNUMBER(SEARCH("PASS",K183&amp;" "&amp;Q183))),"Done","Pending"))))</f>
        <v>Not started</v>
      </c>
      <c r="U183" s="146" t="str">
        <f>IF(OR(C183="Admin optional",LEFT(A183,9)="OPERATOR-",LEFT(A183,8)="PAYMENT-",LEFT(A183,7)="DEPLOY-"),"External","Core")</f>
        <v>External</v>
      </c>
    </row>
    <row r="184" customFormat="false" ht="15" hidden="false" customHeight="false" outlineLevel="0" collapsed="false">
      <c r="A184" s="243" t="s">
        <v>1653</v>
      </c>
      <c r="B184" s="243" t="s">
        <v>1654</v>
      </c>
      <c r="C184" s="522" t="s">
        <v>37</v>
      </c>
      <c r="D184" s="243" t="s">
        <v>1589</v>
      </c>
      <c r="E184" s="243" t="s">
        <v>1655</v>
      </c>
      <c r="F184" s="243" t="s">
        <v>4</v>
      </c>
      <c r="G184" s="243" t="s">
        <v>4</v>
      </c>
      <c r="H184" s="243" t="s">
        <v>4</v>
      </c>
      <c r="I184" s="243" t="s">
        <v>1656</v>
      </c>
      <c r="J184" s="243" t="s">
        <v>1657</v>
      </c>
      <c r="K184" s="243" t="s">
        <v>366</v>
      </c>
      <c r="L184" s="243" t="s">
        <v>1</v>
      </c>
      <c r="M184" s="243" t="s">
        <v>1</v>
      </c>
      <c r="N184" s="243" t="s">
        <v>1</v>
      </c>
      <c r="O184" s="243" t="s">
        <v>1658</v>
      </c>
      <c r="P184" s="243" t="s">
        <v>1659</v>
      </c>
      <c r="Q184" s="243" t="s">
        <v>1</v>
      </c>
      <c r="R184" s="243" t="s">
        <v>1</v>
      </c>
      <c r="S184" s="243" t="s">
        <v>748</v>
      </c>
      <c r="T184" s="146" t="str">
        <f>IF(OR(ISNUMBER(SEARCH("FAIL",K184&amp;" "&amp;Q184)),ISNUMBER(SEARCH("CLEAN RETEST REQUIRED",K184&amp;" "&amp;Q184))),"Failed",IF(OR(ISNUMBER(SEARCH("NOT RUN",K184&amp;" "&amp;Q184)),ISNUMBER(SEARCH("NOT IMPLEMENTED",K184&amp;" "&amp;Q184))),"Not started",IF(OR(ISNUMBER(SEARCH("PARTIAL",K184&amp;" "&amp;Q184)),ISNUMBER(SEARCH("PENDING",K184&amp;" "&amp;Q184)),ISNUMBER(SEARCH("IN PROGRESS",K184&amp;" "&amp;Q184)),ISNUMBER(SEARCH("OPEN",K184&amp;" "&amp;Q184)),ISNUMBER(SEARCH("RETEST REQUIRED",K184&amp;" "&amp;Q184)),ISNUMBER(SEARCH("IMPLEMENTATION UPDATED",K184&amp;" "&amp;Q184)),ISNUMBER(SEARCH("REQUIRED EVERY SESSION",K184&amp;" "&amp;Q184))),"Pending",IF(OR(Q184="PASS",ISNUMBER(SEARCH("PASS",K184&amp;" "&amp;Q184))),"Done","Pending"))))</f>
        <v>Not started</v>
      </c>
      <c r="U184" s="146" t="str">
        <f>IF(OR(C184="Admin optional",LEFT(A184,9)="OPERATOR-",LEFT(A184,8)="PAYMENT-",LEFT(A184,7)="DEPLOY-"),"External","Core")</f>
        <v>External</v>
      </c>
    </row>
    <row r="185" customFormat="false" ht="15" hidden="false" customHeight="false" outlineLevel="0" collapsed="false">
      <c r="A185" s="243" t="s">
        <v>1660</v>
      </c>
      <c r="B185" s="243" t="s">
        <v>243</v>
      </c>
      <c r="C185" s="522" t="s">
        <v>37</v>
      </c>
      <c r="D185" s="243" t="s">
        <v>1661</v>
      </c>
      <c r="E185" s="243" t="s">
        <v>1662</v>
      </c>
      <c r="F185" s="243" t="s">
        <v>4</v>
      </c>
      <c r="G185" s="243" t="s">
        <v>770</v>
      </c>
      <c r="H185" s="243" t="s">
        <v>1663</v>
      </c>
      <c r="I185" s="243" t="s">
        <v>8</v>
      </c>
      <c r="J185" s="243" t="s">
        <v>4</v>
      </c>
      <c r="K185" s="243" t="s">
        <v>366</v>
      </c>
      <c r="L185" s="243" t="s">
        <v>1</v>
      </c>
      <c r="M185" s="243" t="s">
        <v>1</v>
      </c>
      <c r="N185" s="243" t="s">
        <v>1</v>
      </c>
      <c r="O185" s="243" t="s">
        <v>1664</v>
      </c>
      <c r="P185" s="243" t="s">
        <v>1665</v>
      </c>
      <c r="Q185" s="243" t="s">
        <v>1</v>
      </c>
      <c r="R185" s="243" t="s">
        <v>1666</v>
      </c>
      <c r="S185" s="243" t="s">
        <v>401</v>
      </c>
      <c r="T185" s="146" t="str">
        <f>IF(OR(ISNUMBER(SEARCH("FAIL",K185&amp;" "&amp;Q185)),ISNUMBER(SEARCH("CLEAN RETEST REQUIRED",K185&amp;" "&amp;Q185))),"Failed",IF(OR(ISNUMBER(SEARCH("NOT RUN",K185&amp;" "&amp;Q185)),ISNUMBER(SEARCH("NOT IMPLEMENTED",K185&amp;" "&amp;Q185))),"Not started",IF(OR(ISNUMBER(SEARCH("PARTIAL",K185&amp;" "&amp;Q185)),ISNUMBER(SEARCH("PENDING",K185&amp;" "&amp;Q185)),ISNUMBER(SEARCH("IN PROGRESS",K185&amp;" "&amp;Q185)),ISNUMBER(SEARCH("OPEN",K185&amp;" "&amp;Q185)),ISNUMBER(SEARCH("RETEST REQUIRED",K185&amp;" "&amp;Q185)),ISNUMBER(SEARCH("IMPLEMENTATION UPDATED",K185&amp;" "&amp;Q185)),ISNUMBER(SEARCH("REQUIRED EVERY SESSION",K185&amp;" "&amp;Q185))),"Pending",IF(OR(Q185="PASS",ISNUMBER(SEARCH("PASS",K185&amp;" "&amp;Q185))),"Done","Pending"))))</f>
        <v>Not started</v>
      </c>
      <c r="U185" s="146" t="str">
        <f>IF(OR(C185="Admin optional",LEFT(A185,9)="OPERATOR-",LEFT(A185,8)="PAYMENT-",LEFT(A185,7)="DEPLOY-"),"External","Core")</f>
        <v>External</v>
      </c>
    </row>
    <row r="186" customFormat="false" ht="15" hidden="false" customHeight="false" outlineLevel="0" collapsed="false">
      <c r="A186" s="243" t="s">
        <v>1667</v>
      </c>
      <c r="B186" s="243" t="s">
        <v>1668</v>
      </c>
      <c r="C186" s="522" t="s">
        <v>37</v>
      </c>
      <c r="D186" s="243" t="s">
        <v>1669</v>
      </c>
      <c r="E186" s="243" t="s">
        <v>1670</v>
      </c>
      <c r="F186" s="243" t="s">
        <v>1671</v>
      </c>
      <c r="G186" s="243" t="s">
        <v>1672</v>
      </c>
      <c r="H186" s="243" t="s">
        <v>4</v>
      </c>
      <c r="I186" s="243" t="s">
        <v>1673</v>
      </c>
      <c r="J186" s="243" t="s">
        <v>1674</v>
      </c>
      <c r="K186" s="243" t="s">
        <v>1675</v>
      </c>
      <c r="L186" s="243" t="s">
        <v>1</v>
      </c>
      <c r="M186" s="243" t="s">
        <v>1</v>
      </c>
      <c r="N186" s="243" t="s">
        <v>1</v>
      </c>
      <c r="O186" s="243" t="s">
        <v>1676</v>
      </c>
      <c r="P186" s="243" t="s">
        <v>1677</v>
      </c>
      <c r="Q186" s="243" t="s">
        <v>1</v>
      </c>
      <c r="R186" s="243" t="s">
        <v>1678</v>
      </c>
      <c r="S186" s="243" t="s">
        <v>1679</v>
      </c>
      <c r="T186" s="146" t="str">
        <f>IF(OR(ISNUMBER(SEARCH("FAIL",K186&amp;" "&amp;Q186)),ISNUMBER(SEARCH("CLEAN RETEST REQUIRED",K186&amp;" "&amp;Q186))),"Failed",IF(OR(ISNUMBER(SEARCH("NOT RUN",K186&amp;" "&amp;Q186)),ISNUMBER(SEARCH("NOT IMPLEMENTED",K186&amp;" "&amp;Q186))),"Not started",IF(OR(ISNUMBER(SEARCH("PARTIAL",K186&amp;" "&amp;Q186)),ISNUMBER(SEARCH("PENDING",K186&amp;" "&amp;Q186)),ISNUMBER(SEARCH("IN PROGRESS",K186&amp;" "&amp;Q186)),ISNUMBER(SEARCH("OPEN",K186&amp;" "&amp;Q186)),ISNUMBER(SEARCH("RETEST REQUIRED",K186&amp;" "&amp;Q186)),ISNUMBER(SEARCH("IMPLEMENTATION UPDATED",K186&amp;" "&amp;Q186)),ISNUMBER(SEARCH("REQUIRED EVERY SESSION",K186&amp;" "&amp;Q186))),"Pending",IF(OR(Q186="PASS",ISNUMBER(SEARCH("PASS",K186&amp;" "&amp;Q186))),"Done","Pending"))))</f>
        <v>Not started</v>
      </c>
      <c r="U186" s="146" t="str">
        <f>IF(OR(C186="Admin optional",LEFT(A186,9)="OPERATOR-",LEFT(A186,8)="PAYMENT-",LEFT(A186,7)="DEPLOY-"),"External","Core")</f>
        <v>External</v>
      </c>
    </row>
    <row r="187" customFormat="false" ht="15" hidden="false" customHeight="false" outlineLevel="0" collapsed="false">
      <c r="A187" s="243" t="s">
        <v>1680</v>
      </c>
      <c r="B187" s="243" t="s">
        <v>257</v>
      </c>
      <c r="C187" s="243" t="s">
        <v>46</v>
      </c>
      <c r="D187" s="243" t="s">
        <v>1681</v>
      </c>
      <c r="E187" s="243" t="s">
        <v>1682</v>
      </c>
      <c r="F187" s="243" t="s">
        <v>4</v>
      </c>
      <c r="G187" s="243" t="s">
        <v>1683</v>
      </c>
      <c r="H187" s="243" t="s">
        <v>4</v>
      </c>
      <c r="I187" s="243" t="s">
        <v>1684</v>
      </c>
      <c r="J187" s="243" t="s">
        <v>1685</v>
      </c>
      <c r="K187" s="243" t="s">
        <v>366</v>
      </c>
      <c r="L187" s="243" t="s">
        <v>1</v>
      </c>
      <c r="M187" s="243" t="s">
        <v>1</v>
      </c>
      <c r="N187" s="243" t="s">
        <v>1</v>
      </c>
      <c r="O187" s="243" t="s">
        <v>1686</v>
      </c>
      <c r="P187" s="243" t="s">
        <v>1687</v>
      </c>
      <c r="Q187" s="243" t="s">
        <v>1</v>
      </c>
      <c r="R187" s="243" t="s">
        <v>1688</v>
      </c>
      <c r="S187" s="243" t="s">
        <v>107</v>
      </c>
      <c r="T187" s="146" t="str">
        <f>IF(OR(ISNUMBER(SEARCH("FAIL",K187&amp;" "&amp;Q187)),ISNUMBER(SEARCH("CLEAN RETEST REQUIRED",K187&amp;" "&amp;Q187))),"Failed",IF(OR(ISNUMBER(SEARCH("NOT RUN",K187&amp;" "&amp;Q187)),ISNUMBER(SEARCH("NOT IMPLEMENTED",K187&amp;" "&amp;Q187))),"Not started",IF(OR(ISNUMBER(SEARCH("PARTIAL",K187&amp;" "&amp;Q187)),ISNUMBER(SEARCH("PENDING",K187&amp;" "&amp;Q187)),ISNUMBER(SEARCH("IN PROGRESS",K187&amp;" "&amp;Q187)),ISNUMBER(SEARCH("OPEN",K187&amp;" "&amp;Q187)),ISNUMBER(SEARCH("RETEST REQUIRED",K187&amp;" "&amp;Q187)),ISNUMBER(SEARCH("IMPLEMENTATION UPDATED",K187&amp;" "&amp;Q187)),ISNUMBER(SEARCH("REQUIRED EVERY SESSION",K187&amp;" "&amp;Q187))),"Pending",IF(OR(Q187="PASS",ISNUMBER(SEARCH("PASS",K187&amp;" "&amp;Q187))),"Done","Pending"))))</f>
        <v>Not started</v>
      </c>
      <c r="U187" s="146" t="str">
        <f>IF(OR(C187="Admin optional",LEFT(A187,9)="OPERATOR-",LEFT(A187,8)="PAYMENT-",LEFT(A187,7)="DEPLOY-"),"External","Core")</f>
        <v>External</v>
      </c>
    </row>
    <row r="188" customFormat="false" ht="15" hidden="false" customHeight="false" outlineLevel="0" collapsed="false">
      <c r="A188" s="243" t="s">
        <v>1689</v>
      </c>
      <c r="B188" s="243" t="s">
        <v>166</v>
      </c>
      <c r="C188" s="243" t="s">
        <v>46</v>
      </c>
      <c r="D188" s="243" t="s">
        <v>1690</v>
      </c>
      <c r="E188" s="243" t="s">
        <v>1691</v>
      </c>
      <c r="F188" s="243" t="s">
        <v>4</v>
      </c>
      <c r="G188" s="243" t="s">
        <v>1692</v>
      </c>
      <c r="H188" s="243" t="s">
        <v>4</v>
      </c>
      <c r="I188" s="243" t="s">
        <v>1693</v>
      </c>
      <c r="J188" s="243" t="s">
        <v>1694</v>
      </c>
      <c r="K188" s="243" t="s">
        <v>1695</v>
      </c>
      <c r="L188" s="243" t="s">
        <v>1</v>
      </c>
      <c r="M188" s="243" t="s">
        <v>1</v>
      </c>
      <c r="N188" s="243" t="s">
        <v>1</v>
      </c>
      <c r="O188" s="243" t="s">
        <v>1696</v>
      </c>
      <c r="P188" s="243" t="s">
        <v>1697</v>
      </c>
      <c r="Q188" s="243" t="s">
        <v>1</v>
      </c>
      <c r="R188" s="243" t="s">
        <v>1698</v>
      </c>
      <c r="S188" s="243" t="s">
        <v>107</v>
      </c>
      <c r="T188" s="146" t="str">
        <f>IF(OR(ISNUMBER(SEARCH("FAIL",K188&amp;" "&amp;Q188)),ISNUMBER(SEARCH("CLEAN RETEST REQUIRED",K188&amp;" "&amp;Q188))),"Failed",IF(OR(ISNUMBER(SEARCH("NOT RUN",K188&amp;" "&amp;Q188)),ISNUMBER(SEARCH("NOT IMPLEMENTED",K188&amp;" "&amp;Q188))),"Not started",IF(OR(ISNUMBER(SEARCH("PARTIAL",K188&amp;" "&amp;Q188)),ISNUMBER(SEARCH("PENDING",K188&amp;" "&amp;Q188)),ISNUMBER(SEARCH("IN PROGRESS",K188&amp;" "&amp;Q188)),ISNUMBER(SEARCH("OPEN",K188&amp;" "&amp;Q188)),ISNUMBER(SEARCH("RETEST REQUIRED",K188&amp;" "&amp;Q188)),ISNUMBER(SEARCH("IMPLEMENTATION UPDATED",K188&amp;" "&amp;Q188)),ISNUMBER(SEARCH("REQUIRED EVERY SESSION",K188&amp;" "&amp;Q188))),"Pending",IF(OR(Q188="PASS",ISNUMBER(SEARCH("PASS",K188&amp;" "&amp;Q188))),"Done","Pending"))))</f>
        <v>Not started</v>
      </c>
      <c r="U188" s="146" t="str">
        <f>IF(OR(C188="Admin optional",LEFT(A188,9)="OPERATOR-",LEFT(A188,8)="PAYMENT-",LEFT(A188,7)="DEPLOY-"),"External","Core")</f>
        <v>External</v>
      </c>
    </row>
    <row r="189" customFormat="false" ht="15" hidden="false" customHeight="false" outlineLevel="0" collapsed="false">
      <c r="A189" s="243" t="s">
        <v>1699</v>
      </c>
      <c r="B189" s="243" t="s">
        <v>166</v>
      </c>
      <c r="C189" s="243" t="s">
        <v>46</v>
      </c>
      <c r="D189" s="243" t="s">
        <v>1700</v>
      </c>
      <c r="E189" s="243" t="s">
        <v>1701</v>
      </c>
      <c r="F189" s="243" t="s">
        <v>4</v>
      </c>
      <c r="G189" s="243" t="s">
        <v>1702</v>
      </c>
      <c r="H189" s="243" t="s">
        <v>4</v>
      </c>
      <c r="I189" s="243" t="s">
        <v>4</v>
      </c>
      <c r="J189" s="243" t="s">
        <v>1703</v>
      </c>
      <c r="K189" s="243" t="s">
        <v>1695</v>
      </c>
      <c r="L189" s="243" t="s">
        <v>1</v>
      </c>
      <c r="M189" s="243" t="s">
        <v>1</v>
      </c>
      <c r="N189" s="243" t="s">
        <v>1</v>
      </c>
      <c r="O189" s="243" t="s">
        <v>1704</v>
      </c>
      <c r="P189" s="243" t="s">
        <v>1705</v>
      </c>
      <c r="Q189" s="243" t="s">
        <v>1</v>
      </c>
      <c r="R189" s="243" t="s">
        <v>1706</v>
      </c>
      <c r="S189" s="243" t="s">
        <v>107</v>
      </c>
      <c r="T189" s="146" t="str">
        <f>IF(OR(ISNUMBER(SEARCH("FAIL",K189&amp;" "&amp;Q189)),ISNUMBER(SEARCH("CLEAN RETEST REQUIRED",K189&amp;" "&amp;Q189))),"Failed",IF(OR(ISNUMBER(SEARCH("NOT RUN",K189&amp;" "&amp;Q189)),ISNUMBER(SEARCH("NOT IMPLEMENTED",K189&amp;" "&amp;Q189))),"Not started",IF(OR(ISNUMBER(SEARCH("PARTIAL",K189&amp;" "&amp;Q189)),ISNUMBER(SEARCH("PENDING",K189&amp;" "&amp;Q189)),ISNUMBER(SEARCH("IN PROGRESS",K189&amp;" "&amp;Q189)),ISNUMBER(SEARCH("OPEN",K189&amp;" "&amp;Q189)),ISNUMBER(SEARCH("RETEST REQUIRED",K189&amp;" "&amp;Q189)),ISNUMBER(SEARCH("IMPLEMENTATION UPDATED",K189&amp;" "&amp;Q189)),ISNUMBER(SEARCH("REQUIRED EVERY SESSION",K189&amp;" "&amp;Q189))),"Pending",IF(OR(Q189="PASS",ISNUMBER(SEARCH("PASS",K189&amp;" "&amp;Q189))),"Done","Pending"))))</f>
        <v>Not started</v>
      </c>
      <c r="U189" s="146" t="str">
        <f>IF(OR(C189="Admin optional",LEFT(A189,9)="OPERATOR-",LEFT(A189,8)="PAYMENT-",LEFT(A189,7)="DEPLOY-"),"External","Core")</f>
        <v>External</v>
      </c>
    </row>
    <row r="190" customFormat="false" ht="15" hidden="false" customHeight="false" outlineLevel="0" collapsed="false">
      <c r="A190" s="243" t="s">
        <v>1707</v>
      </c>
      <c r="B190" s="243" t="s">
        <v>120</v>
      </c>
      <c r="C190" s="243" t="s">
        <v>46</v>
      </c>
      <c r="D190" s="243" t="s">
        <v>1708</v>
      </c>
      <c r="E190" s="243" t="s">
        <v>1709</v>
      </c>
      <c r="F190" s="243" t="s">
        <v>4</v>
      </c>
      <c r="G190" s="243" t="s">
        <v>1710</v>
      </c>
      <c r="H190" s="243" t="s">
        <v>4</v>
      </c>
      <c r="I190" s="243" t="s">
        <v>4</v>
      </c>
      <c r="J190" s="243" t="s">
        <v>1711</v>
      </c>
      <c r="K190" s="243" t="s">
        <v>138</v>
      </c>
      <c r="L190" s="243" t="s">
        <v>1</v>
      </c>
      <c r="M190" s="243" t="s">
        <v>1</v>
      </c>
      <c r="N190" s="243" t="s">
        <v>1</v>
      </c>
      <c r="O190" s="243" t="s">
        <v>1712</v>
      </c>
      <c r="P190" s="243" t="s">
        <v>1713</v>
      </c>
      <c r="Q190" s="243" t="s">
        <v>1</v>
      </c>
      <c r="R190" s="243" t="s">
        <v>1714</v>
      </c>
      <c r="S190" s="243" t="s">
        <v>107</v>
      </c>
      <c r="T190" s="146" t="str">
        <f>IF(OR(ISNUMBER(SEARCH("FAIL",K190&amp;" "&amp;Q190)),ISNUMBER(SEARCH("CLEAN RETEST REQUIRED",K190&amp;" "&amp;Q190))),"Failed",IF(OR(ISNUMBER(SEARCH("NOT RUN",K190&amp;" "&amp;Q190)),ISNUMBER(SEARCH("NOT IMPLEMENTED",K190&amp;" "&amp;Q190))),"Not started",IF(OR(ISNUMBER(SEARCH("PARTIAL",K190&amp;" "&amp;Q190)),ISNUMBER(SEARCH("PENDING",K190&amp;" "&amp;Q190)),ISNUMBER(SEARCH("IN PROGRESS",K190&amp;" "&amp;Q190)),ISNUMBER(SEARCH("OPEN",K190&amp;" "&amp;Q190)),ISNUMBER(SEARCH("RETEST REQUIRED",K190&amp;" "&amp;Q190)),ISNUMBER(SEARCH("IMPLEMENTATION UPDATED",K190&amp;" "&amp;Q190)),ISNUMBER(SEARCH("REQUIRED EVERY SESSION",K190&amp;" "&amp;Q190))),"Pending",IF(OR(Q190="PASS",ISNUMBER(SEARCH("PASS",K190&amp;" "&amp;Q190))),"Done","Pending"))))</f>
        <v>Not started</v>
      </c>
      <c r="U190" s="146" t="str">
        <f>IF(OR(C190="Admin optional",LEFT(A190,9)="OPERATOR-",LEFT(A190,8)="PAYMENT-",LEFT(A190,7)="DEPLOY-"),"External","Core")</f>
        <v>External</v>
      </c>
    </row>
    <row r="191" customFormat="false" ht="15" hidden="false" customHeight="false" outlineLevel="0" collapsed="false">
      <c r="A191" s="243" t="s">
        <v>1715</v>
      </c>
      <c r="B191" s="243" t="s">
        <v>120</v>
      </c>
      <c r="C191" s="243" t="s">
        <v>46</v>
      </c>
      <c r="D191" s="243" t="s">
        <v>1716</v>
      </c>
      <c r="E191" s="243" t="s">
        <v>1717</v>
      </c>
      <c r="F191" s="243" t="s">
        <v>4</v>
      </c>
      <c r="G191" s="243" t="s">
        <v>1718</v>
      </c>
      <c r="H191" s="243" t="s">
        <v>4</v>
      </c>
      <c r="I191" s="243" t="s">
        <v>4</v>
      </c>
      <c r="J191" s="243" t="s">
        <v>1719</v>
      </c>
      <c r="K191" s="243" t="s">
        <v>138</v>
      </c>
      <c r="L191" s="243" t="s">
        <v>1</v>
      </c>
      <c r="M191" s="243" t="s">
        <v>1</v>
      </c>
      <c r="N191" s="243" t="s">
        <v>1</v>
      </c>
      <c r="O191" s="243" t="s">
        <v>1720</v>
      </c>
      <c r="P191" s="243" t="s">
        <v>1721</v>
      </c>
      <c r="Q191" s="243" t="s">
        <v>1</v>
      </c>
      <c r="R191" s="243" t="s">
        <v>1722</v>
      </c>
      <c r="S191" s="243" t="s">
        <v>133</v>
      </c>
      <c r="T191" s="146" t="str">
        <f>IF(OR(ISNUMBER(SEARCH("FAIL",K191&amp;" "&amp;Q191)),ISNUMBER(SEARCH("CLEAN RETEST REQUIRED",K191&amp;" "&amp;Q191))),"Failed",IF(OR(ISNUMBER(SEARCH("NOT RUN",K191&amp;" "&amp;Q191)),ISNUMBER(SEARCH("NOT IMPLEMENTED",K191&amp;" "&amp;Q191))),"Not started",IF(OR(ISNUMBER(SEARCH("PARTIAL",K191&amp;" "&amp;Q191)),ISNUMBER(SEARCH("PENDING",K191&amp;" "&amp;Q191)),ISNUMBER(SEARCH("IN PROGRESS",K191&amp;" "&amp;Q191)),ISNUMBER(SEARCH("OPEN",K191&amp;" "&amp;Q191)),ISNUMBER(SEARCH("RETEST REQUIRED",K191&amp;" "&amp;Q191)),ISNUMBER(SEARCH("IMPLEMENTATION UPDATED",K191&amp;" "&amp;Q191)),ISNUMBER(SEARCH("REQUIRED EVERY SESSION",K191&amp;" "&amp;Q191))),"Pending",IF(OR(Q191="PASS",ISNUMBER(SEARCH("PASS",K191&amp;" "&amp;Q191))),"Done","Pending"))))</f>
        <v>Not started</v>
      </c>
      <c r="U191" s="146" t="str">
        <f>IF(OR(C191="Admin optional",LEFT(A191,9)="OPERATOR-",LEFT(A191,8)="PAYMENT-",LEFT(A191,7)="DEPLOY-"),"External","Core")</f>
        <v>External</v>
      </c>
    </row>
    <row r="192" customFormat="false" ht="15" hidden="false" customHeight="false" outlineLevel="0" collapsed="false">
      <c r="A192" s="243" t="s">
        <v>1723</v>
      </c>
      <c r="B192" s="243" t="s">
        <v>120</v>
      </c>
      <c r="C192" s="243" t="s">
        <v>46</v>
      </c>
      <c r="D192" s="243" t="s">
        <v>1724</v>
      </c>
      <c r="E192" s="243" t="s">
        <v>1725</v>
      </c>
      <c r="F192" s="243" t="s">
        <v>4</v>
      </c>
      <c r="G192" s="243" t="s">
        <v>1726</v>
      </c>
      <c r="H192" s="243" t="s">
        <v>4</v>
      </c>
      <c r="I192" s="243" t="s">
        <v>4</v>
      </c>
      <c r="J192" s="243" t="s">
        <v>1727</v>
      </c>
      <c r="K192" s="243" t="s">
        <v>138</v>
      </c>
      <c r="L192" s="243" t="s">
        <v>1</v>
      </c>
      <c r="M192" s="243" t="s">
        <v>1</v>
      </c>
      <c r="N192" s="243" t="s">
        <v>1</v>
      </c>
      <c r="O192" s="243" t="s">
        <v>1728</v>
      </c>
      <c r="P192" s="243" t="s">
        <v>1729</v>
      </c>
      <c r="Q192" s="243" t="s">
        <v>1</v>
      </c>
      <c r="R192" s="243" t="s">
        <v>1730</v>
      </c>
      <c r="S192" s="243" t="s">
        <v>324</v>
      </c>
      <c r="T192" s="146" t="str">
        <f>IF(OR(ISNUMBER(SEARCH("FAIL",K192&amp;" "&amp;Q192)),ISNUMBER(SEARCH("CLEAN RETEST REQUIRED",K192&amp;" "&amp;Q192))),"Failed",IF(OR(ISNUMBER(SEARCH("NOT RUN",K192&amp;" "&amp;Q192)),ISNUMBER(SEARCH("NOT IMPLEMENTED",K192&amp;" "&amp;Q192))),"Not started",IF(OR(ISNUMBER(SEARCH("PARTIAL",K192&amp;" "&amp;Q192)),ISNUMBER(SEARCH("PENDING",K192&amp;" "&amp;Q192)),ISNUMBER(SEARCH("IN PROGRESS",K192&amp;" "&amp;Q192)),ISNUMBER(SEARCH("OPEN",K192&amp;" "&amp;Q192)),ISNUMBER(SEARCH("RETEST REQUIRED",K192&amp;" "&amp;Q192)),ISNUMBER(SEARCH("IMPLEMENTATION UPDATED",K192&amp;" "&amp;Q192)),ISNUMBER(SEARCH("REQUIRED EVERY SESSION",K192&amp;" "&amp;Q192))),"Pending",IF(OR(Q192="PASS",ISNUMBER(SEARCH("PASS",K192&amp;" "&amp;Q192))),"Done","Pending"))))</f>
        <v>Not started</v>
      </c>
      <c r="U192" s="146" t="str">
        <f>IF(OR(C192="Admin optional",LEFT(A192,9)="OPERATOR-",LEFT(A192,8)="PAYMENT-",LEFT(A192,7)="DEPLOY-"),"External","Core")</f>
        <v>External</v>
      </c>
    </row>
    <row r="193" customFormat="false" ht="15" hidden="false" customHeight="false" outlineLevel="0" collapsed="false">
      <c r="A193" s="243" t="s">
        <v>1731</v>
      </c>
      <c r="B193" s="243" t="s">
        <v>120</v>
      </c>
      <c r="C193" s="243" t="s">
        <v>46</v>
      </c>
      <c r="D193" s="243" t="s">
        <v>1732</v>
      </c>
      <c r="E193" s="243" t="s">
        <v>1733</v>
      </c>
      <c r="F193" s="243" t="s">
        <v>4</v>
      </c>
      <c r="G193" s="243" t="s">
        <v>1734</v>
      </c>
      <c r="H193" s="243" t="s">
        <v>4</v>
      </c>
      <c r="I193" s="243" t="s">
        <v>4</v>
      </c>
      <c r="J193" s="243" t="s">
        <v>1735</v>
      </c>
      <c r="K193" s="243" t="s">
        <v>138</v>
      </c>
      <c r="L193" s="243" t="s">
        <v>1</v>
      </c>
      <c r="M193" s="243" t="s">
        <v>1</v>
      </c>
      <c r="N193" s="243" t="s">
        <v>1</v>
      </c>
      <c r="O193" s="243" t="s">
        <v>1736</v>
      </c>
      <c r="P193" s="243" t="s">
        <v>1737</v>
      </c>
      <c r="Q193" s="243" t="s">
        <v>1</v>
      </c>
      <c r="R193" s="243" t="s">
        <v>1738</v>
      </c>
      <c r="S193" s="243" t="s">
        <v>133</v>
      </c>
      <c r="T193" s="146" t="str">
        <f>IF(OR(ISNUMBER(SEARCH("FAIL",K193&amp;" "&amp;Q193)),ISNUMBER(SEARCH("CLEAN RETEST REQUIRED",K193&amp;" "&amp;Q193))),"Failed",IF(OR(ISNUMBER(SEARCH("NOT RUN",K193&amp;" "&amp;Q193)),ISNUMBER(SEARCH("NOT IMPLEMENTED",K193&amp;" "&amp;Q193))),"Not started",IF(OR(ISNUMBER(SEARCH("PARTIAL",K193&amp;" "&amp;Q193)),ISNUMBER(SEARCH("PENDING",K193&amp;" "&amp;Q193)),ISNUMBER(SEARCH("IN PROGRESS",K193&amp;" "&amp;Q193)),ISNUMBER(SEARCH("OPEN",K193&amp;" "&amp;Q193)),ISNUMBER(SEARCH("RETEST REQUIRED",K193&amp;" "&amp;Q193)),ISNUMBER(SEARCH("IMPLEMENTATION UPDATED",K193&amp;" "&amp;Q193)),ISNUMBER(SEARCH("REQUIRED EVERY SESSION",K193&amp;" "&amp;Q193))),"Pending",IF(OR(Q193="PASS",ISNUMBER(SEARCH("PASS",K193&amp;" "&amp;Q193))),"Done","Pending"))))</f>
        <v>Not started</v>
      </c>
      <c r="U193" s="146" t="str">
        <f>IF(OR(C193="Admin optional",LEFT(A193,9)="OPERATOR-",LEFT(A193,8)="PAYMENT-",LEFT(A193,7)="DEPLOY-"),"External","Core")</f>
        <v>External</v>
      </c>
    </row>
    <row r="194" customFormat="false" ht="15" hidden="false" customHeight="false" outlineLevel="0" collapsed="false">
      <c r="A194" s="243" t="s">
        <v>1739</v>
      </c>
      <c r="B194" s="243" t="s">
        <v>120</v>
      </c>
      <c r="C194" s="243" t="s">
        <v>46</v>
      </c>
      <c r="D194" s="243" t="s">
        <v>1732</v>
      </c>
      <c r="E194" s="243" t="s">
        <v>1740</v>
      </c>
      <c r="F194" s="243" t="s">
        <v>4</v>
      </c>
      <c r="G194" s="243" t="s">
        <v>1741</v>
      </c>
      <c r="H194" s="243" t="s">
        <v>4</v>
      </c>
      <c r="I194" s="243" t="s">
        <v>4</v>
      </c>
      <c r="J194" s="243" t="s">
        <v>1742</v>
      </c>
      <c r="K194" s="243" t="s">
        <v>138</v>
      </c>
      <c r="L194" s="243" t="s">
        <v>1</v>
      </c>
      <c r="M194" s="243" t="s">
        <v>1</v>
      </c>
      <c r="N194" s="243" t="s">
        <v>1</v>
      </c>
      <c r="O194" s="243" t="s">
        <v>1743</v>
      </c>
      <c r="P194" s="243" t="s">
        <v>1744</v>
      </c>
      <c r="Q194" s="243" t="s">
        <v>1</v>
      </c>
      <c r="R194" s="243" t="s">
        <v>1745</v>
      </c>
      <c r="S194" s="243" t="s">
        <v>401</v>
      </c>
      <c r="T194" s="146" t="str">
        <f>IF(OR(ISNUMBER(SEARCH("FAIL",K194&amp;" "&amp;Q194)),ISNUMBER(SEARCH("CLEAN RETEST REQUIRED",K194&amp;" "&amp;Q194))),"Failed",IF(OR(ISNUMBER(SEARCH("NOT RUN",K194&amp;" "&amp;Q194)),ISNUMBER(SEARCH("NOT IMPLEMENTED",K194&amp;" "&amp;Q194))),"Not started",IF(OR(ISNUMBER(SEARCH("PARTIAL",K194&amp;" "&amp;Q194)),ISNUMBER(SEARCH("PENDING",K194&amp;" "&amp;Q194)),ISNUMBER(SEARCH("IN PROGRESS",K194&amp;" "&amp;Q194)),ISNUMBER(SEARCH("OPEN",K194&amp;" "&amp;Q194)),ISNUMBER(SEARCH("RETEST REQUIRED",K194&amp;" "&amp;Q194)),ISNUMBER(SEARCH("IMPLEMENTATION UPDATED",K194&amp;" "&amp;Q194)),ISNUMBER(SEARCH("REQUIRED EVERY SESSION",K194&amp;" "&amp;Q194))),"Pending",IF(OR(Q194="PASS",ISNUMBER(SEARCH("PASS",K194&amp;" "&amp;Q194))),"Done","Pending"))))</f>
        <v>Not started</v>
      </c>
      <c r="U194" s="146" t="str">
        <f>IF(OR(C194="Admin optional",LEFT(A194,9)="OPERATOR-",LEFT(A194,8)="PAYMENT-",LEFT(A194,7)="DEPLOY-"),"External","Core")</f>
        <v>External</v>
      </c>
    </row>
    <row r="195" customFormat="false" ht="15" hidden="false" customHeight="false" outlineLevel="0" collapsed="false">
      <c r="A195" s="243" t="s">
        <v>1746</v>
      </c>
      <c r="B195" s="243" t="s">
        <v>1197</v>
      </c>
      <c r="C195" s="243" t="s">
        <v>46</v>
      </c>
      <c r="D195" s="243" t="s">
        <v>1747</v>
      </c>
      <c r="E195" s="243" t="s">
        <v>1748</v>
      </c>
      <c r="F195" s="243" t="s">
        <v>4</v>
      </c>
      <c r="G195" s="243" t="s">
        <v>1749</v>
      </c>
      <c r="H195" s="243" t="s">
        <v>4</v>
      </c>
      <c r="I195" s="243" t="s">
        <v>1750</v>
      </c>
      <c r="J195" s="243" t="s">
        <v>1751</v>
      </c>
      <c r="K195" s="243" t="s">
        <v>138</v>
      </c>
      <c r="L195" s="243" t="s">
        <v>1</v>
      </c>
      <c r="M195" s="243" t="s">
        <v>1</v>
      </c>
      <c r="N195" s="243" t="s">
        <v>1</v>
      </c>
      <c r="O195" s="243" t="s">
        <v>1752</v>
      </c>
      <c r="P195" s="243" t="s">
        <v>1753</v>
      </c>
      <c r="Q195" s="243" t="s">
        <v>1</v>
      </c>
      <c r="R195" s="243" t="s">
        <v>1754</v>
      </c>
      <c r="S195" s="243" t="s">
        <v>107</v>
      </c>
      <c r="T195" s="146" t="str">
        <f>IF(OR(ISNUMBER(SEARCH("FAIL",K195&amp;" "&amp;Q195)),ISNUMBER(SEARCH("CLEAN RETEST REQUIRED",K195&amp;" "&amp;Q195))),"Failed",IF(OR(ISNUMBER(SEARCH("NOT RUN",K195&amp;" "&amp;Q195)),ISNUMBER(SEARCH("NOT IMPLEMENTED",K195&amp;" "&amp;Q195))),"Not started",IF(OR(ISNUMBER(SEARCH("PARTIAL",K195&amp;" "&amp;Q195)),ISNUMBER(SEARCH("PENDING",K195&amp;" "&amp;Q195)),ISNUMBER(SEARCH("IN PROGRESS",K195&amp;" "&amp;Q195)),ISNUMBER(SEARCH("OPEN",K195&amp;" "&amp;Q195)),ISNUMBER(SEARCH("RETEST REQUIRED",K195&amp;" "&amp;Q195)),ISNUMBER(SEARCH("IMPLEMENTATION UPDATED",K195&amp;" "&amp;Q195)),ISNUMBER(SEARCH("REQUIRED EVERY SESSION",K195&amp;" "&amp;Q195))),"Pending",IF(OR(Q195="PASS",ISNUMBER(SEARCH("PASS",K195&amp;" "&amp;Q195))),"Done","Pending"))))</f>
        <v>Not started</v>
      </c>
      <c r="U195" s="146" t="str">
        <f>IF(OR(C195="Admin optional",LEFT(A195,9)="OPERATOR-",LEFT(A195,8)="PAYMENT-",LEFT(A195,7)="DEPLOY-"),"External","Core")</f>
        <v>External</v>
      </c>
    </row>
    <row r="196" customFormat="false" ht="15" hidden="false" customHeight="false" outlineLevel="0" collapsed="false">
      <c r="A196" s="243" t="s">
        <v>1755</v>
      </c>
      <c r="B196" s="243" t="s">
        <v>1197</v>
      </c>
      <c r="C196" s="243" t="s">
        <v>46</v>
      </c>
      <c r="D196" s="243" t="s">
        <v>1747</v>
      </c>
      <c r="E196" s="243" t="s">
        <v>1756</v>
      </c>
      <c r="F196" s="243" t="s">
        <v>4</v>
      </c>
      <c r="G196" s="243" t="s">
        <v>1757</v>
      </c>
      <c r="H196" s="243" t="s">
        <v>4</v>
      </c>
      <c r="I196" s="243" t="s">
        <v>1758</v>
      </c>
      <c r="J196" s="243" t="s">
        <v>1759</v>
      </c>
      <c r="K196" s="243" t="s">
        <v>1204</v>
      </c>
      <c r="L196" s="243" t="s">
        <v>1</v>
      </c>
      <c r="M196" s="243" t="s">
        <v>1</v>
      </c>
      <c r="N196" s="243" t="s">
        <v>1</v>
      </c>
      <c r="O196" s="243" t="s">
        <v>1760</v>
      </c>
      <c r="P196" s="243" t="s">
        <v>1761</v>
      </c>
      <c r="Q196" s="243" t="s">
        <v>1</v>
      </c>
      <c r="R196" s="243" t="s">
        <v>1762</v>
      </c>
      <c r="S196" s="243" t="s">
        <v>107</v>
      </c>
      <c r="T196" s="146" t="str">
        <f>IF(OR(ISNUMBER(SEARCH("FAIL",K196&amp;" "&amp;Q196)),ISNUMBER(SEARCH("CLEAN RETEST REQUIRED",K196&amp;" "&amp;Q196))),"Failed",IF(OR(ISNUMBER(SEARCH("NOT RUN",K196&amp;" "&amp;Q196)),ISNUMBER(SEARCH("NOT IMPLEMENTED",K196&amp;" "&amp;Q196))),"Not started",IF(OR(ISNUMBER(SEARCH("PARTIAL",K196&amp;" "&amp;Q196)),ISNUMBER(SEARCH("PENDING",K196&amp;" "&amp;Q196)),ISNUMBER(SEARCH("IN PROGRESS",K196&amp;" "&amp;Q196)),ISNUMBER(SEARCH("OPEN",K196&amp;" "&amp;Q196)),ISNUMBER(SEARCH("RETEST REQUIRED",K196&amp;" "&amp;Q196)),ISNUMBER(SEARCH("IMPLEMENTATION UPDATED",K196&amp;" "&amp;Q196)),ISNUMBER(SEARCH("REQUIRED EVERY SESSION",K196&amp;" "&amp;Q196))),"Pending",IF(OR(Q196="PASS",ISNUMBER(SEARCH("PASS",K196&amp;" "&amp;Q196))),"Done","Pending"))))</f>
        <v>Not started</v>
      </c>
      <c r="U196" s="146" t="str">
        <f>IF(OR(C196="Admin optional",LEFT(A196,9)="OPERATOR-",LEFT(A196,8)="PAYMENT-",LEFT(A196,7)="DEPLOY-"),"External","Core")</f>
        <v>External</v>
      </c>
    </row>
    <row r="197" customFormat="false" ht="15" hidden="false" customHeight="false" outlineLevel="0" collapsed="false">
      <c r="A197" s="243" t="s">
        <v>1763</v>
      </c>
      <c r="B197" s="243" t="s">
        <v>1764</v>
      </c>
      <c r="C197" s="243" t="s">
        <v>46</v>
      </c>
      <c r="D197" s="243" t="s">
        <v>1765</v>
      </c>
      <c r="E197" s="243" t="s">
        <v>1766</v>
      </c>
      <c r="F197" s="243" t="s">
        <v>4</v>
      </c>
      <c r="G197" s="243" t="s">
        <v>1767</v>
      </c>
      <c r="H197" s="243" t="s">
        <v>4</v>
      </c>
      <c r="I197" s="243" t="s">
        <v>4</v>
      </c>
      <c r="J197" s="243" t="s">
        <v>1768</v>
      </c>
      <c r="K197" s="243" t="s">
        <v>138</v>
      </c>
      <c r="L197" s="243" t="s">
        <v>1</v>
      </c>
      <c r="M197" s="243" t="s">
        <v>1</v>
      </c>
      <c r="N197" s="243" t="s">
        <v>1</v>
      </c>
      <c r="O197" s="243" t="s">
        <v>1769</v>
      </c>
      <c r="P197" s="243" t="s">
        <v>1770</v>
      </c>
      <c r="Q197" s="243" t="s">
        <v>1</v>
      </c>
      <c r="R197" s="243" t="s">
        <v>1771</v>
      </c>
      <c r="S197" s="243" t="s">
        <v>107</v>
      </c>
      <c r="T197" s="146" t="str">
        <f>IF(OR(ISNUMBER(SEARCH("FAIL",K197&amp;" "&amp;Q197)),ISNUMBER(SEARCH("CLEAN RETEST REQUIRED",K197&amp;" "&amp;Q197))),"Failed",IF(OR(ISNUMBER(SEARCH("NOT RUN",K197&amp;" "&amp;Q197)),ISNUMBER(SEARCH("NOT IMPLEMENTED",K197&amp;" "&amp;Q197))),"Not started",IF(OR(ISNUMBER(SEARCH("PARTIAL",K197&amp;" "&amp;Q197)),ISNUMBER(SEARCH("PENDING",K197&amp;" "&amp;Q197)),ISNUMBER(SEARCH("IN PROGRESS",K197&amp;" "&amp;Q197)),ISNUMBER(SEARCH("OPEN",K197&amp;" "&amp;Q197)),ISNUMBER(SEARCH("RETEST REQUIRED",K197&amp;" "&amp;Q197)),ISNUMBER(SEARCH("IMPLEMENTATION UPDATED",K197&amp;" "&amp;Q197)),ISNUMBER(SEARCH("REQUIRED EVERY SESSION",K197&amp;" "&amp;Q197))),"Pending",IF(OR(Q197="PASS",ISNUMBER(SEARCH("PASS",K197&amp;" "&amp;Q197))),"Done","Pending"))))</f>
        <v>Not started</v>
      </c>
      <c r="U197" s="146" t="str">
        <f>IF(OR(C197="Admin optional",LEFT(A197,9)="OPERATOR-",LEFT(A197,8)="PAYMENT-",LEFT(A197,7)="DEPLOY-"),"External","Core")</f>
        <v>External</v>
      </c>
    </row>
    <row r="198" customFormat="false" ht="15" hidden="false" customHeight="false" outlineLevel="0" collapsed="false">
      <c r="A198" s="243" t="s">
        <v>1772</v>
      </c>
      <c r="B198" s="243" t="s">
        <v>1764</v>
      </c>
      <c r="C198" s="243" t="s">
        <v>46</v>
      </c>
      <c r="D198" s="243" t="s">
        <v>1765</v>
      </c>
      <c r="E198" s="243" t="s">
        <v>1773</v>
      </c>
      <c r="F198" s="243" t="s">
        <v>4</v>
      </c>
      <c r="G198" s="243" t="s">
        <v>1774</v>
      </c>
      <c r="H198" s="243" t="s">
        <v>4</v>
      </c>
      <c r="I198" s="243" t="s">
        <v>1775</v>
      </c>
      <c r="J198" s="243" t="s">
        <v>1776</v>
      </c>
      <c r="K198" s="243" t="s">
        <v>138</v>
      </c>
      <c r="L198" s="243" t="s">
        <v>1</v>
      </c>
      <c r="M198" s="243" t="s">
        <v>1</v>
      </c>
      <c r="N198" s="243" t="s">
        <v>1</v>
      </c>
      <c r="O198" s="243" t="s">
        <v>1777</v>
      </c>
      <c r="P198" s="243" t="s">
        <v>1778</v>
      </c>
      <c r="Q198" s="243" t="s">
        <v>1</v>
      </c>
      <c r="R198" s="243" t="s">
        <v>1779</v>
      </c>
      <c r="S198" s="243" t="s">
        <v>107</v>
      </c>
      <c r="T198" s="146" t="str">
        <f>IF(OR(ISNUMBER(SEARCH("FAIL",K198&amp;" "&amp;Q198)),ISNUMBER(SEARCH("CLEAN RETEST REQUIRED",K198&amp;" "&amp;Q198))),"Failed",IF(OR(ISNUMBER(SEARCH("NOT RUN",K198&amp;" "&amp;Q198)),ISNUMBER(SEARCH("NOT IMPLEMENTED",K198&amp;" "&amp;Q198))),"Not started",IF(OR(ISNUMBER(SEARCH("PARTIAL",K198&amp;" "&amp;Q198)),ISNUMBER(SEARCH("PENDING",K198&amp;" "&amp;Q198)),ISNUMBER(SEARCH("IN PROGRESS",K198&amp;" "&amp;Q198)),ISNUMBER(SEARCH("OPEN",K198&amp;" "&amp;Q198)),ISNUMBER(SEARCH("RETEST REQUIRED",K198&amp;" "&amp;Q198)),ISNUMBER(SEARCH("IMPLEMENTATION UPDATED",K198&amp;" "&amp;Q198)),ISNUMBER(SEARCH("REQUIRED EVERY SESSION",K198&amp;" "&amp;Q198))),"Pending",IF(OR(Q198="PASS",ISNUMBER(SEARCH("PASS",K198&amp;" "&amp;Q198))),"Done","Pending"))))</f>
        <v>Not started</v>
      </c>
      <c r="U198" s="146" t="str">
        <f>IF(OR(C198="Admin optional",LEFT(A198,9)="OPERATOR-",LEFT(A198,8)="PAYMENT-",LEFT(A198,7)="DEPLOY-"),"External","Core")</f>
        <v>External</v>
      </c>
    </row>
    <row r="199" customFormat="false" ht="15" hidden="false" customHeight="false" outlineLevel="0" collapsed="false">
      <c r="A199" s="243" t="s">
        <v>1780</v>
      </c>
      <c r="B199" s="243" t="s">
        <v>1764</v>
      </c>
      <c r="C199" s="243" t="s">
        <v>46</v>
      </c>
      <c r="D199" s="243" t="s">
        <v>1781</v>
      </c>
      <c r="E199" s="243" t="s">
        <v>1782</v>
      </c>
      <c r="F199" s="243" t="s">
        <v>4</v>
      </c>
      <c r="G199" s="243" t="s">
        <v>1783</v>
      </c>
      <c r="H199" s="243" t="s">
        <v>4</v>
      </c>
      <c r="I199" s="243" t="s">
        <v>1784</v>
      </c>
      <c r="J199" s="243" t="s">
        <v>1785</v>
      </c>
      <c r="K199" s="243" t="s">
        <v>138</v>
      </c>
      <c r="L199" s="243" t="s">
        <v>1</v>
      </c>
      <c r="M199" s="243" t="s">
        <v>1</v>
      </c>
      <c r="N199" s="243" t="s">
        <v>1</v>
      </c>
      <c r="O199" s="243" t="s">
        <v>1786</v>
      </c>
      <c r="P199" s="243" t="s">
        <v>1787</v>
      </c>
      <c r="Q199" s="243" t="s">
        <v>1</v>
      </c>
      <c r="R199" s="243" t="s">
        <v>1788</v>
      </c>
      <c r="S199" s="243" t="s">
        <v>107</v>
      </c>
      <c r="T199" s="146" t="str">
        <f>IF(OR(ISNUMBER(SEARCH("FAIL",K199&amp;" "&amp;Q199)),ISNUMBER(SEARCH("CLEAN RETEST REQUIRED",K199&amp;" "&amp;Q199))),"Failed",IF(OR(ISNUMBER(SEARCH("NOT RUN",K199&amp;" "&amp;Q199)),ISNUMBER(SEARCH("NOT IMPLEMENTED",K199&amp;" "&amp;Q199))),"Not started",IF(OR(ISNUMBER(SEARCH("PARTIAL",K199&amp;" "&amp;Q199)),ISNUMBER(SEARCH("PENDING",K199&amp;" "&amp;Q199)),ISNUMBER(SEARCH("IN PROGRESS",K199&amp;" "&amp;Q199)),ISNUMBER(SEARCH("OPEN",K199&amp;" "&amp;Q199)),ISNUMBER(SEARCH("RETEST REQUIRED",K199&amp;" "&amp;Q199)),ISNUMBER(SEARCH("IMPLEMENTATION UPDATED",K199&amp;" "&amp;Q199)),ISNUMBER(SEARCH("REQUIRED EVERY SESSION",K199&amp;" "&amp;Q199))),"Pending",IF(OR(Q199="PASS",ISNUMBER(SEARCH("PASS",K199&amp;" "&amp;Q199))),"Done","Pending"))))</f>
        <v>Not started</v>
      </c>
      <c r="U199" s="146" t="str">
        <f>IF(OR(C199="Admin optional",LEFT(A199,9)="OPERATOR-",LEFT(A199,8)="PAYMENT-",LEFT(A199,7)="DEPLOY-"),"External","Core")</f>
        <v>External</v>
      </c>
    </row>
    <row r="200" customFormat="false" ht="15" hidden="false" customHeight="false" outlineLevel="0" collapsed="false">
      <c r="A200" s="243" t="s">
        <v>1789</v>
      </c>
      <c r="B200" s="243" t="s">
        <v>1764</v>
      </c>
      <c r="C200" s="243" t="s">
        <v>46</v>
      </c>
      <c r="D200" s="243" t="s">
        <v>1790</v>
      </c>
      <c r="E200" s="243" t="s">
        <v>1791</v>
      </c>
      <c r="F200" s="243" t="s">
        <v>4</v>
      </c>
      <c r="G200" s="243" t="s">
        <v>1792</v>
      </c>
      <c r="H200" s="243" t="s">
        <v>4</v>
      </c>
      <c r="I200" s="243" t="s">
        <v>1793</v>
      </c>
      <c r="J200" s="243" t="s">
        <v>1794</v>
      </c>
      <c r="K200" s="243" t="s">
        <v>138</v>
      </c>
      <c r="L200" s="243" t="s">
        <v>1</v>
      </c>
      <c r="M200" s="243" t="s">
        <v>1</v>
      </c>
      <c r="N200" s="243" t="s">
        <v>1</v>
      </c>
      <c r="O200" s="243" t="s">
        <v>1795</v>
      </c>
      <c r="P200" s="243" t="s">
        <v>1796</v>
      </c>
      <c r="Q200" s="243" t="s">
        <v>1</v>
      </c>
      <c r="R200" s="243" t="s">
        <v>1797</v>
      </c>
      <c r="S200" s="243" t="s">
        <v>107</v>
      </c>
      <c r="T200" s="146" t="str">
        <f>IF(OR(ISNUMBER(SEARCH("FAIL",K200&amp;" "&amp;Q200)),ISNUMBER(SEARCH("CLEAN RETEST REQUIRED",K200&amp;" "&amp;Q200))),"Failed",IF(OR(ISNUMBER(SEARCH("NOT RUN",K200&amp;" "&amp;Q200)),ISNUMBER(SEARCH("NOT IMPLEMENTED",K200&amp;" "&amp;Q200))),"Not started",IF(OR(ISNUMBER(SEARCH("PARTIAL",K200&amp;" "&amp;Q200)),ISNUMBER(SEARCH("PENDING",K200&amp;" "&amp;Q200)),ISNUMBER(SEARCH("IN PROGRESS",K200&amp;" "&amp;Q200)),ISNUMBER(SEARCH("OPEN",K200&amp;" "&amp;Q200)),ISNUMBER(SEARCH("RETEST REQUIRED",K200&amp;" "&amp;Q200)),ISNUMBER(SEARCH("IMPLEMENTATION UPDATED",K200&amp;" "&amp;Q200)),ISNUMBER(SEARCH("REQUIRED EVERY SESSION",K200&amp;" "&amp;Q200))),"Pending",IF(OR(Q200="PASS",ISNUMBER(SEARCH("PASS",K200&amp;" "&amp;Q200))),"Done","Pending"))))</f>
        <v>Not started</v>
      </c>
      <c r="U200" s="146" t="str">
        <f>IF(OR(C200="Admin optional",LEFT(A200,9)="OPERATOR-",LEFT(A200,8)="PAYMENT-",LEFT(A200,7)="DEPLOY-"),"External","Core")</f>
        <v>External</v>
      </c>
    </row>
    <row r="201" customFormat="false" ht="15" hidden="false" customHeight="false" outlineLevel="0" collapsed="false">
      <c r="A201" s="243" t="s">
        <v>1798</v>
      </c>
      <c r="B201" s="243" t="s">
        <v>1764</v>
      </c>
      <c r="C201" s="243" t="s">
        <v>46</v>
      </c>
      <c r="D201" s="243" t="s">
        <v>1799</v>
      </c>
      <c r="E201" s="243" t="s">
        <v>1800</v>
      </c>
      <c r="F201" s="243" t="s">
        <v>4</v>
      </c>
      <c r="G201" s="243" t="s">
        <v>1801</v>
      </c>
      <c r="H201" s="243" t="s">
        <v>4</v>
      </c>
      <c r="I201" s="243" t="s">
        <v>4</v>
      </c>
      <c r="J201" s="243" t="s">
        <v>1802</v>
      </c>
      <c r="K201" s="243" t="s">
        <v>138</v>
      </c>
      <c r="L201" s="243" t="s">
        <v>1</v>
      </c>
      <c r="M201" s="243" t="s">
        <v>1</v>
      </c>
      <c r="N201" s="243" t="s">
        <v>1</v>
      </c>
      <c r="O201" s="243" t="s">
        <v>1803</v>
      </c>
      <c r="P201" s="243" t="s">
        <v>1804</v>
      </c>
      <c r="Q201" s="243" t="s">
        <v>1</v>
      </c>
      <c r="R201" s="243" t="s">
        <v>1805</v>
      </c>
      <c r="S201" s="243" t="s">
        <v>401</v>
      </c>
      <c r="T201" s="146" t="str">
        <f>IF(OR(ISNUMBER(SEARCH("FAIL",K201&amp;" "&amp;Q201)),ISNUMBER(SEARCH("CLEAN RETEST REQUIRED",K201&amp;" "&amp;Q201))),"Failed",IF(OR(ISNUMBER(SEARCH("NOT RUN",K201&amp;" "&amp;Q201)),ISNUMBER(SEARCH("NOT IMPLEMENTED",K201&amp;" "&amp;Q201))),"Not started",IF(OR(ISNUMBER(SEARCH("PARTIAL",K201&amp;" "&amp;Q201)),ISNUMBER(SEARCH("PENDING",K201&amp;" "&amp;Q201)),ISNUMBER(SEARCH("IN PROGRESS",K201&amp;" "&amp;Q201)),ISNUMBER(SEARCH("OPEN",K201&amp;" "&amp;Q201)),ISNUMBER(SEARCH("RETEST REQUIRED",K201&amp;" "&amp;Q201)),ISNUMBER(SEARCH("IMPLEMENTATION UPDATED",K201&amp;" "&amp;Q201)),ISNUMBER(SEARCH("REQUIRED EVERY SESSION",K201&amp;" "&amp;Q201))),"Pending",IF(OR(Q201="PASS",ISNUMBER(SEARCH("PASS",K201&amp;" "&amp;Q201))),"Done","Pending"))))</f>
        <v>Not started</v>
      </c>
      <c r="U201" s="146" t="str">
        <f>IF(OR(C201="Admin optional",LEFT(A201,9)="OPERATOR-",LEFT(A201,8)="PAYMENT-",LEFT(A201,7)="DEPLOY-"),"External","Core")</f>
        <v>External</v>
      </c>
    </row>
    <row r="202" customFormat="false" ht="15" hidden="false" customHeight="false" outlineLevel="0" collapsed="false">
      <c r="A202" s="243" t="s">
        <v>1806</v>
      </c>
      <c r="B202" s="243" t="s">
        <v>1764</v>
      </c>
      <c r="C202" s="243" t="s">
        <v>46</v>
      </c>
      <c r="D202" s="243" t="s">
        <v>1807</v>
      </c>
      <c r="E202" s="243" t="s">
        <v>1808</v>
      </c>
      <c r="F202" s="243" t="s">
        <v>4</v>
      </c>
      <c r="G202" s="243" t="s">
        <v>1809</v>
      </c>
      <c r="H202" s="243" t="s">
        <v>4</v>
      </c>
      <c r="I202" s="243" t="s">
        <v>4</v>
      </c>
      <c r="J202" s="243" t="s">
        <v>1810</v>
      </c>
      <c r="K202" s="243" t="s">
        <v>138</v>
      </c>
      <c r="L202" s="243" t="s">
        <v>1</v>
      </c>
      <c r="M202" s="243" t="s">
        <v>1</v>
      </c>
      <c r="N202" s="243" t="s">
        <v>1</v>
      </c>
      <c r="O202" s="243" t="s">
        <v>1811</v>
      </c>
      <c r="P202" s="243" t="s">
        <v>1812</v>
      </c>
      <c r="Q202" s="243" t="s">
        <v>1</v>
      </c>
      <c r="R202" s="243" t="s">
        <v>1813</v>
      </c>
      <c r="S202" s="243" t="s">
        <v>107</v>
      </c>
      <c r="T202" s="146" t="str">
        <f>IF(OR(ISNUMBER(SEARCH("FAIL",K202&amp;" "&amp;Q202)),ISNUMBER(SEARCH("CLEAN RETEST REQUIRED",K202&amp;" "&amp;Q202))),"Failed",IF(OR(ISNUMBER(SEARCH("NOT RUN",K202&amp;" "&amp;Q202)),ISNUMBER(SEARCH("NOT IMPLEMENTED",K202&amp;" "&amp;Q202))),"Not started",IF(OR(ISNUMBER(SEARCH("PARTIAL",K202&amp;" "&amp;Q202)),ISNUMBER(SEARCH("PENDING",K202&amp;" "&amp;Q202)),ISNUMBER(SEARCH("IN PROGRESS",K202&amp;" "&amp;Q202)),ISNUMBER(SEARCH("OPEN",K202&amp;" "&amp;Q202)),ISNUMBER(SEARCH("RETEST REQUIRED",K202&amp;" "&amp;Q202)),ISNUMBER(SEARCH("IMPLEMENTATION UPDATED",K202&amp;" "&amp;Q202)),ISNUMBER(SEARCH("REQUIRED EVERY SESSION",K202&amp;" "&amp;Q202))),"Pending",IF(OR(Q202="PASS",ISNUMBER(SEARCH("PASS",K202&amp;" "&amp;Q202))),"Done","Pending"))))</f>
        <v>Not started</v>
      </c>
      <c r="U202" s="146" t="str">
        <f>IF(OR(C202="Admin optional",LEFT(A202,9)="OPERATOR-",LEFT(A202,8)="PAYMENT-",LEFT(A202,7)="DEPLOY-"),"External","Core")</f>
        <v>External</v>
      </c>
    </row>
    <row r="203" customFormat="false" ht="15" hidden="false" customHeight="false" outlineLevel="0" collapsed="false">
      <c r="A203" s="243" t="s">
        <v>1814</v>
      </c>
      <c r="B203" s="243" t="s">
        <v>1764</v>
      </c>
      <c r="C203" s="243" t="s">
        <v>46</v>
      </c>
      <c r="D203" s="243" t="s">
        <v>1815</v>
      </c>
      <c r="E203" s="243" t="s">
        <v>1816</v>
      </c>
      <c r="F203" s="243" t="s">
        <v>4</v>
      </c>
      <c r="G203" s="243" t="s">
        <v>1817</v>
      </c>
      <c r="H203" s="243" t="s">
        <v>4</v>
      </c>
      <c r="I203" s="243" t="s">
        <v>1818</v>
      </c>
      <c r="J203" s="243" t="s">
        <v>1819</v>
      </c>
      <c r="K203" s="243" t="s">
        <v>138</v>
      </c>
      <c r="L203" s="243" t="s">
        <v>1</v>
      </c>
      <c r="M203" s="243" t="s">
        <v>1</v>
      </c>
      <c r="N203" s="243" t="s">
        <v>1</v>
      </c>
      <c r="O203" s="243" t="s">
        <v>1820</v>
      </c>
      <c r="P203" s="243" t="s">
        <v>1821</v>
      </c>
      <c r="Q203" s="243" t="s">
        <v>1</v>
      </c>
      <c r="R203" s="243" t="s">
        <v>1822</v>
      </c>
      <c r="S203" s="243" t="s">
        <v>133</v>
      </c>
      <c r="T203" s="146" t="str">
        <f>IF(OR(ISNUMBER(SEARCH("FAIL",K203&amp;" "&amp;Q203)),ISNUMBER(SEARCH("CLEAN RETEST REQUIRED",K203&amp;" "&amp;Q203))),"Failed",IF(OR(ISNUMBER(SEARCH("NOT RUN",K203&amp;" "&amp;Q203)),ISNUMBER(SEARCH("NOT IMPLEMENTED",K203&amp;" "&amp;Q203))),"Not started",IF(OR(ISNUMBER(SEARCH("PARTIAL",K203&amp;" "&amp;Q203)),ISNUMBER(SEARCH("PENDING",K203&amp;" "&amp;Q203)),ISNUMBER(SEARCH("IN PROGRESS",K203&amp;" "&amp;Q203)),ISNUMBER(SEARCH("OPEN",K203&amp;" "&amp;Q203)),ISNUMBER(SEARCH("RETEST REQUIRED",K203&amp;" "&amp;Q203)),ISNUMBER(SEARCH("IMPLEMENTATION UPDATED",K203&amp;" "&amp;Q203)),ISNUMBER(SEARCH("REQUIRED EVERY SESSION",K203&amp;" "&amp;Q203))),"Pending",IF(OR(Q203="PASS",ISNUMBER(SEARCH("PASS",K203&amp;" "&amp;Q203))),"Done","Pending"))))</f>
        <v>Not started</v>
      </c>
      <c r="U203" s="146" t="str">
        <f>IF(OR(C203="Admin optional",LEFT(A203,9)="OPERATOR-",LEFT(A203,8)="PAYMENT-",LEFT(A203,7)="DEPLOY-"),"External","Core")</f>
        <v>External</v>
      </c>
    </row>
    <row r="204" customFormat="false" ht="15" hidden="false" customHeight="false" outlineLevel="0" collapsed="false">
      <c r="A204" s="243" t="s">
        <v>1823</v>
      </c>
      <c r="B204" s="243" t="s">
        <v>1764</v>
      </c>
      <c r="C204" s="243" t="s">
        <v>46</v>
      </c>
      <c r="D204" s="243" t="s">
        <v>1824</v>
      </c>
      <c r="E204" s="243" t="s">
        <v>1825</v>
      </c>
      <c r="F204" s="243" t="s">
        <v>226</v>
      </c>
      <c r="G204" s="243" t="s">
        <v>1826</v>
      </c>
      <c r="H204" s="243" t="s">
        <v>4</v>
      </c>
      <c r="I204" s="243" t="s">
        <v>1827</v>
      </c>
      <c r="J204" s="243" t="s">
        <v>1828</v>
      </c>
      <c r="K204" s="243" t="s">
        <v>138</v>
      </c>
      <c r="L204" s="243" t="s">
        <v>1</v>
      </c>
      <c r="M204" s="243" t="s">
        <v>1</v>
      </c>
      <c r="N204" s="243" t="s">
        <v>1</v>
      </c>
      <c r="O204" s="243" t="s">
        <v>1829</v>
      </c>
      <c r="P204" s="243" t="s">
        <v>1830</v>
      </c>
      <c r="Q204" s="243" t="s">
        <v>1</v>
      </c>
      <c r="R204" s="243" t="s">
        <v>1831</v>
      </c>
      <c r="S204" s="243" t="s">
        <v>107</v>
      </c>
      <c r="T204" s="146" t="str">
        <f>IF(OR(ISNUMBER(SEARCH("FAIL",K204&amp;" "&amp;Q204)),ISNUMBER(SEARCH("CLEAN RETEST REQUIRED",K204&amp;" "&amp;Q204))),"Failed",IF(OR(ISNUMBER(SEARCH("NOT RUN",K204&amp;" "&amp;Q204)),ISNUMBER(SEARCH("NOT IMPLEMENTED",K204&amp;" "&amp;Q204))),"Not started",IF(OR(ISNUMBER(SEARCH("PARTIAL",K204&amp;" "&amp;Q204)),ISNUMBER(SEARCH("PENDING",K204&amp;" "&amp;Q204)),ISNUMBER(SEARCH("IN PROGRESS",K204&amp;" "&amp;Q204)),ISNUMBER(SEARCH("OPEN",K204&amp;" "&amp;Q204)),ISNUMBER(SEARCH("RETEST REQUIRED",K204&amp;" "&amp;Q204)),ISNUMBER(SEARCH("IMPLEMENTATION UPDATED",K204&amp;" "&amp;Q204)),ISNUMBER(SEARCH("REQUIRED EVERY SESSION",K204&amp;" "&amp;Q204))),"Pending",IF(OR(Q204="PASS",ISNUMBER(SEARCH("PASS",K204&amp;" "&amp;Q204))),"Done","Pending"))))</f>
        <v>Not started</v>
      </c>
      <c r="U204" s="146" t="str">
        <f>IF(OR(C204="Admin optional",LEFT(A204,9)="OPERATOR-",LEFT(A204,8)="PAYMENT-",LEFT(A204,7)="DEPLOY-"),"External","Core")</f>
        <v>External</v>
      </c>
    </row>
    <row r="205" customFormat="false" ht="15" hidden="false" customHeight="false" outlineLevel="0" collapsed="false">
      <c r="A205" s="243" t="s">
        <v>1832</v>
      </c>
      <c r="B205" s="243" t="s">
        <v>1764</v>
      </c>
      <c r="C205" s="243" t="s">
        <v>46</v>
      </c>
      <c r="D205" s="243" t="s">
        <v>1833</v>
      </c>
      <c r="E205" s="243" t="s">
        <v>1834</v>
      </c>
      <c r="F205" s="243" t="s">
        <v>1835</v>
      </c>
      <c r="G205" s="243" t="s">
        <v>4</v>
      </c>
      <c r="H205" s="243" t="s">
        <v>1836</v>
      </c>
      <c r="I205" s="243" t="s">
        <v>4</v>
      </c>
      <c r="J205" s="243" t="s">
        <v>1837</v>
      </c>
      <c r="K205" s="243" t="s">
        <v>138</v>
      </c>
      <c r="L205" s="243" t="s">
        <v>1</v>
      </c>
      <c r="M205" s="243" t="s">
        <v>1</v>
      </c>
      <c r="N205" s="243" t="s">
        <v>1</v>
      </c>
      <c r="O205" s="243" t="s">
        <v>1838</v>
      </c>
      <c r="P205" s="243" t="s">
        <v>1839</v>
      </c>
      <c r="Q205" s="243" t="s">
        <v>1</v>
      </c>
      <c r="R205" s="243" t="s">
        <v>1840</v>
      </c>
      <c r="S205" s="243" t="s">
        <v>832</v>
      </c>
      <c r="T205" s="146" t="str">
        <f>IF(OR(ISNUMBER(SEARCH("FAIL",K205&amp;" "&amp;Q205)),ISNUMBER(SEARCH("CLEAN RETEST REQUIRED",K205&amp;" "&amp;Q205))),"Failed",IF(OR(ISNUMBER(SEARCH("NOT RUN",K205&amp;" "&amp;Q205)),ISNUMBER(SEARCH("NOT IMPLEMENTED",K205&amp;" "&amp;Q205))),"Not started",IF(OR(ISNUMBER(SEARCH("PARTIAL",K205&amp;" "&amp;Q205)),ISNUMBER(SEARCH("PENDING",K205&amp;" "&amp;Q205)),ISNUMBER(SEARCH("IN PROGRESS",K205&amp;" "&amp;Q205)),ISNUMBER(SEARCH("OPEN",K205&amp;" "&amp;Q205)),ISNUMBER(SEARCH("RETEST REQUIRED",K205&amp;" "&amp;Q205)),ISNUMBER(SEARCH("IMPLEMENTATION UPDATED",K205&amp;" "&amp;Q205)),ISNUMBER(SEARCH("REQUIRED EVERY SESSION",K205&amp;" "&amp;Q205))),"Pending",IF(OR(Q205="PASS",ISNUMBER(SEARCH("PASS",K205&amp;" "&amp;Q205))),"Done","Pending"))))</f>
        <v>Not started</v>
      </c>
      <c r="U205" s="146" t="str">
        <f>IF(OR(C205="Admin optional",LEFT(A205,9)="OPERATOR-",LEFT(A205,8)="PAYMENT-",LEFT(A205,7)="DEPLOY-"),"External","Core")</f>
        <v>External</v>
      </c>
    </row>
    <row r="206" customFormat="false" ht="15" hidden="false" customHeight="false" outlineLevel="0" collapsed="false">
      <c r="A206" s="243" t="s">
        <v>1841</v>
      </c>
      <c r="B206" s="243" t="s">
        <v>1764</v>
      </c>
      <c r="C206" s="243" t="s">
        <v>46</v>
      </c>
      <c r="D206" s="243" t="s">
        <v>1842</v>
      </c>
      <c r="E206" s="243" t="s">
        <v>1843</v>
      </c>
      <c r="F206" s="243" t="s">
        <v>1844</v>
      </c>
      <c r="G206" s="243" t="s">
        <v>1845</v>
      </c>
      <c r="H206" s="243" t="s">
        <v>4</v>
      </c>
      <c r="I206" s="243" t="s">
        <v>1846</v>
      </c>
      <c r="J206" s="243" t="s">
        <v>1847</v>
      </c>
      <c r="K206" s="243" t="s">
        <v>138</v>
      </c>
      <c r="L206" s="243" t="s">
        <v>1</v>
      </c>
      <c r="M206" s="243" t="s">
        <v>1</v>
      </c>
      <c r="N206" s="243" t="s">
        <v>1</v>
      </c>
      <c r="O206" s="243" t="s">
        <v>1848</v>
      </c>
      <c r="P206" s="243" t="s">
        <v>1849</v>
      </c>
      <c r="Q206" s="243" t="s">
        <v>1</v>
      </c>
      <c r="R206" s="243" t="s">
        <v>1850</v>
      </c>
      <c r="S206" s="243" t="s">
        <v>832</v>
      </c>
      <c r="T206" s="146" t="str">
        <f>IF(OR(ISNUMBER(SEARCH("FAIL",K206&amp;" "&amp;Q206)),ISNUMBER(SEARCH("CLEAN RETEST REQUIRED",K206&amp;" "&amp;Q206))),"Failed",IF(OR(ISNUMBER(SEARCH("NOT RUN",K206&amp;" "&amp;Q206)),ISNUMBER(SEARCH("NOT IMPLEMENTED",K206&amp;" "&amp;Q206))),"Not started",IF(OR(ISNUMBER(SEARCH("PARTIAL",K206&amp;" "&amp;Q206)),ISNUMBER(SEARCH("PENDING",K206&amp;" "&amp;Q206)),ISNUMBER(SEARCH("IN PROGRESS",K206&amp;" "&amp;Q206)),ISNUMBER(SEARCH("OPEN",K206&amp;" "&amp;Q206)),ISNUMBER(SEARCH("RETEST REQUIRED",K206&amp;" "&amp;Q206)),ISNUMBER(SEARCH("IMPLEMENTATION UPDATED",K206&amp;" "&amp;Q206)),ISNUMBER(SEARCH("REQUIRED EVERY SESSION",K206&amp;" "&amp;Q206))),"Pending",IF(OR(Q206="PASS",ISNUMBER(SEARCH("PASS",K206&amp;" "&amp;Q206))),"Done","Pending"))))</f>
        <v>Not started</v>
      </c>
      <c r="U206" s="146" t="str">
        <f>IF(OR(C206="Admin optional",LEFT(A206,9)="OPERATOR-",LEFT(A206,8)="PAYMENT-",LEFT(A206,7)="DEPLOY-"),"External","Core")</f>
        <v>External</v>
      </c>
    </row>
    <row r="207" customFormat="false" ht="15" hidden="false" customHeight="false" outlineLevel="0" collapsed="false">
      <c r="A207" s="243" t="s">
        <v>1851</v>
      </c>
      <c r="B207" s="243" t="s">
        <v>1764</v>
      </c>
      <c r="C207" s="243" t="s">
        <v>46</v>
      </c>
      <c r="D207" s="243" t="s">
        <v>1852</v>
      </c>
      <c r="E207" s="243" t="s">
        <v>1853</v>
      </c>
      <c r="F207" s="243" t="s">
        <v>4</v>
      </c>
      <c r="G207" s="243" t="s">
        <v>1854</v>
      </c>
      <c r="H207" s="243" t="s">
        <v>4</v>
      </c>
      <c r="I207" s="243" t="s">
        <v>4</v>
      </c>
      <c r="J207" s="243" t="s">
        <v>1855</v>
      </c>
      <c r="K207" s="243" t="s">
        <v>138</v>
      </c>
      <c r="L207" s="243" t="s">
        <v>1</v>
      </c>
      <c r="M207" s="243" t="s">
        <v>1</v>
      </c>
      <c r="N207" s="243" t="s">
        <v>1</v>
      </c>
      <c r="O207" s="243" t="s">
        <v>1856</v>
      </c>
      <c r="P207" s="243" t="s">
        <v>1857</v>
      </c>
      <c r="Q207" s="243" t="s">
        <v>1</v>
      </c>
      <c r="R207" s="243" t="s">
        <v>1858</v>
      </c>
      <c r="S207" s="243" t="s">
        <v>1028</v>
      </c>
      <c r="T207" s="146" t="str">
        <f>IF(OR(ISNUMBER(SEARCH("FAIL",K207&amp;" "&amp;Q207)),ISNUMBER(SEARCH("CLEAN RETEST REQUIRED",K207&amp;" "&amp;Q207))),"Failed",IF(OR(ISNUMBER(SEARCH("NOT RUN",K207&amp;" "&amp;Q207)),ISNUMBER(SEARCH("NOT IMPLEMENTED",K207&amp;" "&amp;Q207))),"Not started",IF(OR(ISNUMBER(SEARCH("PARTIAL",K207&amp;" "&amp;Q207)),ISNUMBER(SEARCH("PENDING",K207&amp;" "&amp;Q207)),ISNUMBER(SEARCH("IN PROGRESS",K207&amp;" "&amp;Q207)),ISNUMBER(SEARCH("OPEN",K207&amp;" "&amp;Q207)),ISNUMBER(SEARCH("RETEST REQUIRED",K207&amp;" "&amp;Q207)),ISNUMBER(SEARCH("IMPLEMENTATION UPDATED",K207&amp;" "&amp;Q207)),ISNUMBER(SEARCH("REQUIRED EVERY SESSION",K207&amp;" "&amp;Q207))),"Pending",IF(OR(Q207="PASS",ISNUMBER(SEARCH("PASS",K207&amp;" "&amp;Q207))),"Done","Pending"))))</f>
        <v>Not started</v>
      </c>
      <c r="U207" s="146" t="str">
        <f>IF(OR(C207="Admin optional",LEFT(A207,9)="OPERATOR-",LEFT(A207,8)="PAYMENT-",LEFT(A207,7)="DEPLOY-"),"External","Core")</f>
        <v>External</v>
      </c>
    </row>
    <row r="208" customFormat="false" ht="15" hidden="false" customHeight="false" outlineLevel="0" collapsed="false">
      <c r="A208" s="243" t="s">
        <v>1859</v>
      </c>
      <c r="B208" s="243" t="s">
        <v>1860</v>
      </c>
      <c r="C208" s="243" t="s">
        <v>46</v>
      </c>
      <c r="D208" s="243" t="s">
        <v>1861</v>
      </c>
      <c r="E208" s="243" t="s">
        <v>1862</v>
      </c>
      <c r="F208" s="243" t="s">
        <v>4</v>
      </c>
      <c r="G208" s="243" t="s">
        <v>1863</v>
      </c>
      <c r="H208" s="243" t="s">
        <v>4</v>
      </c>
      <c r="I208" s="243" t="s">
        <v>1864</v>
      </c>
      <c r="J208" s="243" t="s">
        <v>1865</v>
      </c>
      <c r="K208" s="243" t="s">
        <v>138</v>
      </c>
      <c r="L208" s="243" t="s">
        <v>1</v>
      </c>
      <c r="M208" s="243" t="s">
        <v>1</v>
      </c>
      <c r="N208" s="243" t="s">
        <v>1</v>
      </c>
      <c r="O208" s="243" t="s">
        <v>1866</v>
      </c>
      <c r="P208" s="243" t="s">
        <v>1867</v>
      </c>
      <c r="Q208" s="243" t="s">
        <v>1</v>
      </c>
      <c r="R208" s="243" t="s">
        <v>1868</v>
      </c>
      <c r="S208" s="243" t="s">
        <v>107</v>
      </c>
      <c r="T208" s="146" t="str">
        <f>IF(OR(ISNUMBER(SEARCH("FAIL",K208&amp;" "&amp;Q208)),ISNUMBER(SEARCH("CLEAN RETEST REQUIRED",K208&amp;" "&amp;Q208))),"Failed",IF(OR(ISNUMBER(SEARCH("NOT RUN",K208&amp;" "&amp;Q208)),ISNUMBER(SEARCH("NOT IMPLEMENTED",K208&amp;" "&amp;Q208))),"Not started",IF(OR(ISNUMBER(SEARCH("PARTIAL",K208&amp;" "&amp;Q208)),ISNUMBER(SEARCH("PENDING",K208&amp;" "&amp;Q208)),ISNUMBER(SEARCH("IN PROGRESS",K208&amp;" "&amp;Q208)),ISNUMBER(SEARCH("OPEN",K208&amp;" "&amp;Q208)),ISNUMBER(SEARCH("RETEST REQUIRED",K208&amp;" "&amp;Q208)),ISNUMBER(SEARCH("IMPLEMENTATION UPDATED",K208&amp;" "&amp;Q208)),ISNUMBER(SEARCH("REQUIRED EVERY SESSION",K208&amp;" "&amp;Q208))),"Pending",IF(OR(Q208="PASS",ISNUMBER(SEARCH("PASS",K208&amp;" "&amp;Q208))),"Done","Pending"))))</f>
        <v>Not started</v>
      </c>
      <c r="U208" s="146" t="str">
        <f>IF(OR(C208="Admin optional",LEFT(A208,9)="OPERATOR-",LEFT(A208,8)="PAYMENT-",LEFT(A208,7)="DEPLOY-"),"External","Core")</f>
        <v>External</v>
      </c>
    </row>
    <row r="209" customFormat="false" ht="15" hidden="false" customHeight="false" outlineLevel="0" collapsed="false">
      <c r="A209" s="243" t="s">
        <v>1869</v>
      </c>
      <c r="B209" s="243" t="s">
        <v>1860</v>
      </c>
      <c r="C209" s="243" t="s">
        <v>46</v>
      </c>
      <c r="D209" s="243" t="s">
        <v>1861</v>
      </c>
      <c r="E209" s="243" t="s">
        <v>1870</v>
      </c>
      <c r="F209" s="243" t="s">
        <v>4</v>
      </c>
      <c r="G209" s="243" t="s">
        <v>1871</v>
      </c>
      <c r="H209" s="243" t="s">
        <v>4</v>
      </c>
      <c r="I209" s="243" t="s">
        <v>1872</v>
      </c>
      <c r="J209" s="243" t="s">
        <v>1873</v>
      </c>
      <c r="K209" s="243" t="s">
        <v>138</v>
      </c>
      <c r="L209" s="243" t="s">
        <v>1</v>
      </c>
      <c r="M209" s="243" t="s">
        <v>1</v>
      </c>
      <c r="N209" s="243" t="s">
        <v>1</v>
      </c>
      <c r="O209" s="243" t="s">
        <v>1874</v>
      </c>
      <c r="P209" s="243" t="s">
        <v>1875</v>
      </c>
      <c r="Q209" s="243" t="s">
        <v>1</v>
      </c>
      <c r="R209" s="243" t="s">
        <v>1876</v>
      </c>
      <c r="S209" s="243" t="s">
        <v>107</v>
      </c>
      <c r="T209" s="146" t="str">
        <f>IF(OR(ISNUMBER(SEARCH("FAIL",K209&amp;" "&amp;Q209)),ISNUMBER(SEARCH("CLEAN RETEST REQUIRED",K209&amp;" "&amp;Q209))),"Failed",IF(OR(ISNUMBER(SEARCH("NOT RUN",K209&amp;" "&amp;Q209)),ISNUMBER(SEARCH("NOT IMPLEMENTED",K209&amp;" "&amp;Q209))),"Not started",IF(OR(ISNUMBER(SEARCH("PARTIAL",K209&amp;" "&amp;Q209)),ISNUMBER(SEARCH("PENDING",K209&amp;" "&amp;Q209)),ISNUMBER(SEARCH("IN PROGRESS",K209&amp;" "&amp;Q209)),ISNUMBER(SEARCH("OPEN",K209&amp;" "&amp;Q209)),ISNUMBER(SEARCH("RETEST REQUIRED",K209&amp;" "&amp;Q209)),ISNUMBER(SEARCH("IMPLEMENTATION UPDATED",K209&amp;" "&amp;Q209)),ISNUMBER(SEARCH("REQUIRED EVERY SESSION",K209&amp;" "&amp;Q209))),"Pending",IF(OR(Q209="PASS",ISNUMBER(SEARCH("PASS",K209&amp;" "&amp;Q209))),"Done","Pending"))))</f>
        <v>Not started</v>
      </c>
      <c r="U209" s="146" t="str">
        <f>IF(OR(C209="Admin optional",LEFT(A209,9)="OPERATOR-",LEFT(A209,8)="PAYMENT-",LEFT(A209,7)="DEPLOY-"),"External","Core")</f>
        <v>External</v>
      </c>
    </row>
    <row r="210" customFormat="false" ht="15" hidden="false" customHeight="false" outlineLevel="0" collapsed="false">
      <c r="A210" s="243" t="s">
        <v>1877</v>
      </c>
      <c r="B210" s="243" t="s">
        <v>1860</v>
      </c>
      <c r="C210" s="243" t="s">
        <v>46</v>
      </c>
      <c r="D210" s="243" t="s">
        <v>1878</v>
      </c>
      <c r="E210" s="243" t="s">
        <v>1879</v>
      </c>
      <c r="F210" s="243" t="s">
        <v>4</v>
      </c>
      <c r="G210" s="243" t="s">
        <v>1880</v>
      </c>
      <c r="H210" s="243" t="s">
        <v>4</v>
      </c>
      <c r="I210" s="243" t="s">
        <v>1881</v>
      </c>
      <c r="J210" s="243" t="s">
        <v>1882</v>
      </c>
      <c r="K210" s="243" t="s">
        <v>138</v>
      </c>
      <c r="L210" s="243" t="s">
        <v>1</v>
      </c>
      <c r="M210" s="243" t="s">
        <v>1</v>
      </c>
      <c r="N210" s="243" t="s">
        <v>1</v>
      </c>
      <c r="O210" s="243" t="s">
        <v>1883</v>
      </c>
      <c r="P210" s="243" t="s">
        <v>1884</v>
      </c>
      <c r="Q210" s="243" t="s">
        <v>1</v>
      </c>
      <c r="R210" s="243" t="s">
        <v>1885</v>
      </c>
      <c r="S210" s="243" t="s">
        <v>107</v>
      </c>
      <c r="T210" s="146" t="str">
        <f>IF(OR(ISNUMBER(SEARCH("FAIL",K210&amp;" "&amp;Q210)),ISNUMBER(SEARCH("CLEAN RETEST REQUIRED",K210&amp;" "&amp;Q210))),"Failed",IF(OR(ISNUMBER(SEARCH("NOT RUN",K210&amp;" "&amp;Q210)),ISNUMBER(SEARCH("NOT IMPLEMENTED",K210&amp;" "&amp;Q210))),"Not started",IF(OR(ISNUMBER(SEARCH("PARTIAL",K210&amp;" "&amp;Q210)),ISNUMBER(SEARCH("PENDING",K210&amp;" "&amp;Q210)),ISNUMBER(SEARCH("IN PROGRESS",K210&amp;" "&amp;Q210)),ISNUMBER(SEARCH("OPEN",K210&amp;" "&amp;Q210)),ISNUMBER(SEARCH("RETEST REQUIRED",K210&amp;" "&amp;Q210)),ISNUMBER(SEARCH("IMPLEMENTATION UPDATED",K210&amp;" "&amp;Q210)),ISNUMBER(SEARCH("REQUIRED EVERY SESSION",K210&amp;" "&amp;Q210))),"Pending",IF(OR(Q210="PASS",ISNUMBER(SEARCH("PASS",K210&amp;" "&amp;Q210))),"Done","Pending"))))</f>
        <v>Not started</v>
      </c>
      <c r="U210" s="146" t="str">
        <f>IF(OR(C210="Admin optional",LEFT(A210,9)="OPERATOR-",LEFT(A210,8)="PAYMENT-",LEFT(A210,7)="DEPLOY-"),"External","Core")</f>
        <v>External</v>
      </c>
    </row>
    <row r="211" customFormat="false" ht="15" hidden="false" customHeight="false" outlineLevel="0" collapsed="false">
      <c r="A211" s="243" t="s">
        <v>1886</v>
      </c>
      <c r="B211" s="243" t="s">
        <v>1860</v>
      </c>
      <c r="C211" s="243" t="s">
        <v>46</v>
      </c>
      <c r="D211" s="243" t="s">
        <v>1887</v>
      </c>
      <c r="E211" s="243" t="s">
        <v>1888</v>
      </c>
      <c r="F211" s="243" t="s">
        <v>4</v>
      </c>
      <c r="G211" s="243" t="s">
        <v>1889</v>
      </c>
      <c r="H211" s="243" t="s">
        <v>4</v>
      </c>
      <c r="I211" s="243" t="s">
        <v>1890</v>
      </c>
      <c r="J211" s="243" t="s">
        <v>1891</v>
      </c>
      <c r="K211" s="243" t="s">
        <v>138</v>
      </c>
      <c r="L211" s="243" t="s">
        <v>1</v>
      </c>
      <c r="M211" s="243" t="s">
        <v>1</v>
      </c>
      <c r="N211" s="243" t="s">
        <v>1</v>
      </c>
      <c r="O211" s="243" t="s">
        <v>1892</v>
      </c>
      <c r="P211" s="243" t="s">
        <v>1893</v>
      </c>
      <c r="Q211" s="243" t="s">
        <v>1</v>
      </c>
      <c r="R211" s="243" t="s">
        <v>1894</v>
      </c>
      <c r="S211" s="243" t="s">
        <v>107</v>
      </c>
      <c r="T211" s="146" t="str">
        <f>IF(OR(ISNUMBER(SEARCH("FAIL",K211&amp;" "&amp;Q211)),ISNUMBER(SEARCH("CLEAN RETEST REQUIRED",K211&amp;" "&amp;Q211))),"Failed",IF(OR(ISNUMBER(SEARCH("NOT RUN",K211&amp;" "&amp;Q211)),ISNUMBER(SEARCH("NOT IMPLEMENTED",K211&amp;" "&amp;Q211))),"Not started",IF(OR(ISNUMBER(SEARCH("PARTIAL",K211&amp;" "&amp;Q211)),ISNUMBER(SEARCH("PENDING",K211&amp;" "&amp;Q211)),ISNUMBER(SEARCH("IN PROGRESS",K211&amp;" "&amp;Q211)),ISNUMBER(SEARCH("OPEN",K211&amp;" "&amp;Q211)),ISNUMBER(SEARCH("RETEST REQUIRED",K211&amp;" "&amp;Q211)),ISNUMBER(SEARCH("IMPLEMENTATION UPDATED",K211&amp;" "&amp;Q211)),ISNUMBER(SEARCH("REQUIRED EVERY SESSION",K211&amp;" "&amp;Q211))),"Pending",IF(OR(Q211="PASS",ISNUMBER(SEARCH("PASS",K211&amp;" "&amp;Q211))),"Done","Pending"))))</f>
        <v>Not started</v>
      </c>
      <c r="U211" s="146" t="str">
        <f>IF(OR(C211="Admin optional",LEFT(A211,9)="OPERATOR-",LEFT(A211,8)="PAYMENT-",LEFT(A211,7)="DEPLOY-"),"External","Core")</f>
        <v>External</v>
      </c>
    </row>
    <row r="212" customFormat="false" ht="15" hidden="false" customHeight="false" outlineLevel="0" collapsed="false">
      <c r="A212" s="243" t="s">
        <v>1895</v>
      </c>
      <c r="B212" s="243" t="s">
        <v>1860</v>
      </c>
      <c r="C212" s="243" t="s">
        <v>46</v>
      </c>
      <c r="D212" s="243" t="s">
        <v>1896</v>
      </c>
      <c r="E212" s="243" t="s">
        <v>1897</v>
      </c>
      <c r="F212" s="243" t="s">
        <v>4</v>
      </c>
      <c r="G212" s="243" t="s">
        <v>1898</v>
      </c>
      <c r="H212" s="243" t="s">
        <v>4</v>
      </c>
      <c r="I212" s="243" t="s">
        <v>1899</v>
      </c>
      <c r="J212" s="243" t="s">
        <v>1900</v>
      </c>
      <c r="K212" s="243" t="s">
        <v>138</v>
      </c>
      <c r="L212" s="243" t="s">
        <v>1</v>
      </c>
      <c r="M212" s="243" t="s">
        <v>1</v>
      </c>
      <c r="N212" s="243" t="s">
        <v>1</v>
      </c>
      <c r="O212" s="243" t="s">
        <v>1901</v>
      </c>
      <c r="P212" s="243" t="s">
        <v>1902</v>
      </c>
      <c r="Q212" s="243" t="s">
        <v>1</v>
      </c>
      <c r="R212" s="243" t="s">
        <v>1903</v>
      </c>
      <c r="S212" s="243" t="s">
        <v>107</v>
      </c>
      <c r="T212" s="146" t="str">
        <f>IF(OR(ISNUMBER(SEARCH("FAIL",K212&amp;" "&amp;Q212)),ISNUMBER(SEARCH("CLEAN RETEST REQUIRED",K212&amp;" "&amp;Q212))),"Failed",IF(OR(ISNUMBER(SEARCH("NOT RUN",K212&amp;" "&amp;Q212)),ISNUMBER(SEARCH("NOT IMPLEMENTED",K212&amp;" "&amp;Q212))),"Not started",IF(OR(ISNUMBER(SEARCH("PARTIAL",K212&amp;" "&amp;Q212)),ISNUMBER(SEARCH("PENDING",K212&amp;" "&amp;Q212)),ISNUMBER(SEARCH("IN PROGRESS",K212&amp;" "&amp;Q212)),ISNUMBER(SEARCH("OPEN",K212&amp;" "&amp;Q212)),ISNUMBER(SEARCH("RETEST REQUIRED",K212&amp;" "&amp;Q212)),ISNUMBER(SEARCH("IMPLEMENTATION UPDATED",K212&amp;" "&amp;Q212)),ISNUMBER(SEARCH("REQUIRED EVERY SESSION",K212&amp;" "&amp;Q212))),"Pending",IF(OR(Q212="PASS",ISNUMBER(SEARCH("PASS",K212&amp;" "&amp;Q212))),"Done","Pending"))))</f>
        <v>Not started</v>
      </c>
      <c r="U212" s="146" t="str">
        <f>IF(OR(C212="Admin optional",LEFT(A212,9)="OPERATOR-",LEFT(A212,8)="PAYMENT-",LEFT(A212,7)="DEPLOY-"),"External","Core")</f>
        <v>External</v>
      </c>
    </row>
    <row r="213" customFormat="false" ht="15" hidden="false" customHeight="false" outlineLevel="0" collapsed="false">
      <c r="A213" s="243" t="s">
        <v>1904</v>
      </c>
      <c r="B213" s="243" t="s">
        <v>1860</v>
      </c>
      <c r="C213" s="243" t="s">
        <v>46</v>
      </c>
      <c r="D213" s="243" t="s">
        <v>1905</v>
      </c>
      <c r="E213" s="243" t="s">
        <v>1906</v>
      </c>
      <c r="F213" s="243" t="s">
        <v>4</v>
      </c>
      <c r="G213" s="243" t="s">
        <v>1907</v>
      </c>
      <c r="H213" s="243" t="s">
        <v>4</v>
      </c>
      <c r="I213" s="243" t="s">
        <v>1908</v>
      </c>
      <c r="J213" s="243" t="s">
        <v>1909</v>
      </c>
      <c r="K213" s="243" t="s">
        <v>138</v>
      </c>
      <c r="L213" s="243" t="s">
        <v>1</v>
      </c>
      <c r="M213" s="243" t="s">
        <v>1</v>
      </c>
      <c r="N213" s="243" t="s">
        <v>1</v>
      </c>
      <c r="O213" s="243" t="s">
        <v>1910</v>
      </c>
      <c r="P213" s="243" t="s">
        <v>1911</v>
      </c>
      <c r="Q213" s="243" t="s">
        <v>1</v>
      </c>
      <c r="R213" s="243" t="s">
        <v>1912</v>
      </c>
      <c r="S213" s="243" t="s">
        <v>133</v>
      </c>
      <c r="T213" s="146" t="str">
        <f>IF(OR(ISNUMBER(SEARCH("FAIL",K213&amp;" "&amp;Q213)),ISNUMBER(SEARCH("CLEAN RETEST REQUIRED",K213&amp;" "&amp;Q213))),"Failed",IF(OR(ISNUMBER(SEARCH("NOT RUN",K213&amp;" "&amp;Q213)),ISNUMBER(SEARCH("NOT IMPLEMENTED",K213&amp;" "&amp;Q213))),"Not started",IF(OR(ISNUMBER(SEARCH("PARTIAL",K213&amp;" "&amp;Q213)),ISNUMBER(SEARCH("PENDING",K213&amp;" "&amp;Q213)),ISNUMBER(SEARCH("IN PROGRESS",K213&amp;" "&amp;Q213)),ISNUMBER(SEARCH("OPEN",K213&amp;" "&amp;Q213)),ISNUMBER(SEARCH("RETEST REQUIRED",K213&amp;" "&amp;Q213)),ISNUMBER(SEARCH("IMPLEMENTATION UPDATED",K213&amp;" "&amp;Q213)),ISNUMBER(SEARCH("REQUIRED EVERY SESSION",K213&amp;" "&amp;Q213))),"Pending",IF(OR(Q213="PASS",ISNUMBER(SEARCH("PASS",K213&amp;" "&amp;Q213))),"Done","Pending"))))</f>
        <v>Not started</v>
      </c>
      <c r="U213" s="146" t="str">
        <f>IF(OR(C213="Admin optional",LEFT(A213,9)="OPERATOR-",LEFT(A213,8)="PAYMENT-",LEFT(A213,7)="DEPLOY-"),"External","Core")</f>
        <v>External</v>
      </c>
    </row>
    <row r="214" customFormat="false" ht="15" hidden="false" customHeight="false" outlineLevel="0" collapsed="false">
      <c r="A214" s="243" t="s">
        <v>1913</v>
      </c>
      <c r="B214" s="243" t="s">
        <v>1914</v>
      </c>
      <c r="C214" s="243" t="s">
        <v>46</v>
      </c>
      <c r="D214" s="243" t="s">
        <v>1915</v>
      </c>
      <c r="E214" s="243" t="s">
        <v>1916</v>
      </c>
      <c r="F214" s="243" t="s">
        <v>1917</v>
      </c>
      <c r="G214" s="243" t="s">
        <v>1918</v>
      </c>
      <c r="H214" s="243" t="s">
        <v>4</v>
      </c>
      <c r="I214" s="243" t="s">
        <v>1919</v>
      </c>
      <c r="J214" s="243" t="s">
        <v>1920</v>
      </c>
      <c r="K214" s="243" t="s">
        <v>138</v>
      </c>
      <c r="L214" s="243" t="s">
        <v>1</v>
      </c>
      <c r="M214" s="243" t="s">
        <v>1</v>
      </c>
      <c r="N214" s="243" t="s">
        <v>1</v>
      </c>
      <c r="O214" s="243" t="s">
        <v>1921</v>
      </c>
      <c r="P214" s="243" t="s">
        <v>1922</v>
      </c>
      <c r="Q214" s="243" t="s">
        <v>1</v>
      </c>
      <c r="R214" s="243" t="s">
        <v>1923</v>
      </c>
      <c r="S214" s="243" t="s">
        <v>133</v>
      </c>
      <c r="T214" s="146" t="str">
        <f>IF(OR(ISNUMBER(SEARCH("FAIL",K214&amp;" "&amp;Q214)),ISNUMBER(SEARCH("CLEAN RETEST REQUIRED",K214&amp;" "&amp;Q214))),"Failed",IF(OR(ISNUMBER(SEARCH("NOT RUN",K214&amp;" "&amp;Q214)),ISNUMBER(SEARCH("NOT IMPLEMENTED",K214&amp;" "&amp;Q214))),"Not started",IF(OR(ISNUMBER(SEARCH("PARTIAL",K214&amp;" "&amp;Q214)),ISNUMBER(SEARCH("PENDING",K214&amp;" "&amp;Q214)),ISNUMBER(SEARCH("IN PROGRESS",K214&amp;" "&amp;Q214)),ISNUMBER(SEARCH("OPEN",K214&amp;" "&amp;Q214)),ISNUMBER(SEARCH("RETEST REQUIRED",K214&amp;" "&amp;Q214)),ISNUMBER(SEARCH("IMPLEMENTATION UPDATED",K214&amp;" "&amp;Q214)),ISNUMBER(SEARCH("REQUIRED EVERY SESSION",K214&amp;" "&amp;Q214))),"Pending",IF(OR(Q214="PASS",ISNUMBER(SEARCH("PASS",K214&amp;" "&amp;Q214))),"Done","Pending"))))</f>
        <v>Not started</v>
      </c>
      <c r="U214" s="146" t="str">
        <f>IF(OR(C214="Admin optional",LEFT(A214,9)="OPERATOR-",LEFT(A214,8)="PAYMENT-",LEFT(A214,7)="DEPLOY-"),"External","Core")</f>
        <v>External</v>
      </c>
    </row>
    <row r="215" customFormat="false" ht="15" hidden="false" customHeight="false" outlineLevel="0" collapsed="false">
      <c r="A215" s="243" t="s">
        <v>1924</v>
      </c>
      <c r="B215" s="243" t="s">
        <v>1914</v>
      </c>
      <c r="C215" s="243" t="s">
        <v>46</v>
      </c>
      <c r="D215" s="243" t="s">
        <v>1925</v>
      </c>
      <c r="E215" s="243" t="s">
        <v>1926</v>
      </c>
      <c r="F215" s="243" t="s">
        <v>4</v>
      </c>
      <c r="G215" s="243" t="s">
        <v>1927</v>
      </c>
      <c r="H215" s="243" t="s">
        <v>4</v>
      </c>
      <c r="I215" s="243" t="s">
        <v>1928</v>
      </c>
      <c r="J215" s="243" t="s">
        <v>1929</v>
      </c>
      <c r="K215" s="243" t="s">
        <v>138</v>
      </c>
      <c r="L215" s="243" t="s">
        <v>1</v>
      </c>
      <c r="M215" s="243" t="s">
        <v>1</v>
      </c>
      <c r="N215" s="243" t="s">
        <v>1</v>
      </c>
      <c r="O215" s="243" t="s">
        <v>1930</v>
      </c>
      <c r="P215" s="243" t="s">
        <v>1931</v>
      </c>
      <c r="Q215" s="243" t="s">
        <v>1</v>
      </c>
      <c r="R215" s="243" t="s">
        <v>1932</v>
      </c>
      <c r="S215" s="243" t="s">
        <v>1363</v>
      </c>
      <c r="T215" s="146" t="str">
        <f>IF(OR(ISNUMBER(SEARCH("FAIL",K215&amp;" "&amp;Q215)),ISNUMBER(SEARCH("CLEAN RETEST REQUIRED",K215&amp;" "&amp;Q215))),"Failed",IF(OR(ISNUMBER(SEARCH("NOT RUN",K215&amp;" "&amp;Q215)),ISNUMBER(SEARCH("NOT IMPLEMENTED",K215&amp;" "&amp;Q215))),"Not started",IF(OR(ISNUMBER(SEARCH("PARTIAL",K215&amp;" "&amp;Q215)),ISNUMBER(SEARCH("PENDING",K215&amp;" "&amp;Q215)),ISNUMBER(SEARCH("IN PROGRESS",K215&amp;" "&amp;Q215)),ISNUMBER(SEARCH("OPEN",K215&amp;" "&amp;Q215)),ISNUMBER(SEARCH("RETEST REQUIRED",K215&amp;" "&amp;Q215)),ISNUMBER(SEARCH("IMPLEMENTATION UPDATED",K215&amp;" "&amp;Q215)),ISNUMBER(SEARCH("REQUIRED EVERY SESSION",K215&amp;" "&amp;Q215))),"Pending",IF(OR(Q215="PASS",ISNUMBER(SEARCH("PASS",K215&amp;" "&amp;Q215))),"Done","Pending"))))</f>
        <v>Not started</v>
      </c>
      <c r="U215" s="146" t="str">
        <f>IF(OR(C215="Admin optional",LEFT(A215,9)="OPERATOR-",LEFT(A215,8)="PAYMENT-",LEFT(A215,7)="DEPLOY-"),"External","Core")</f>
        <v>External</v>
      </c>
    </row>
    <row r="216" customFormat="false" ht="15" hidden="false" customHeight="false" outlineLevel="0" collapsed="false">
      <c r="A216" s="243" t="s">
        <v>1933</v>
      </c>
      <c r="B216" s="243" t="s">
        <v>1914</v>
      </c>
      <c r="C216" s="243" t="s">
        <v>46</v>
      </c>
      <c r="D216" s="243" t="s">
        <v>1934</v>
      </c>
      <c r="E216" s="243" t="s">
        <v>1935</v>
      </c>
      <c r="F216" s="243" t="s">
        <v>1936</v>
      </c>
      <c r="G216" s="243" t="s">
        <v>1937</v>
      </c>
      <c r="H216" s="243" t="s">
        <v>4</v>
      </c>
      <c r="I216" s="243" t="s">
        <v>4</v>
      </c>
      <c r="J216" s="243" t="s">
        <v>1938</v>
      </c>
      <c r="K216" s="243" t="s">
        <v>138</v>
      </c>
      <c r="L216" s="243" t="s">
        <v>1</v>
      </c>
      <c r="M216" s="243" t="s">
        <v>1</v>
      </c>
      <c r="N216" s="243" t="s">
        <v>1</v>
      </c>
      <c r="O216" s="243" t="s">
        <v>1939</v>
      </c>
      <c r="P216" s="243" t="s">
        <v>1940</v>
      </c>
      <c r="Q216" s="243" t="s">
        <v>1</v>
      </c>
      <c r="R216" s="243" t="s">
        <v>1941</v>
      </c>
      <c r="S216" s="243" t="s">
        <v>133</v>
      </c>
      <c r="T216" s="146" t="str">
        <f>IF(OR(ISNUMBER(SEARCH("FAIL",K216&amp;" "&amp;Q216)),ISNUMBER(SEARCH("CLEAN RETEST REQUIRED",K216&amp;" "&amp;Q216))),"Failed",IF(OR(ISNUMBER(SEARCH("NOT RUN",K216&amp;" "&amp;Q216)),ISNUMBER(SEARCH("NOT IMPLEMENTED",K216&amp;" "&amp;Q216))),"Not started",IF(OR(ISNUMBER(SEARCH("PARTIAL",K216&amp;" "&amp;Q216)),ISNUMBER(SEARCH("PENDING",K216&amp;" "&amp;Q216)),ISNUMBER(SEARCH("IN PROGRESS",K216&amp;" "&amp;Q216)),ISNUMBER(SEARCH("OPEN",K216&amp;" "&amp;Q216)),ISNUMBER(SEARCH("RETEST REQUIRED",K216&amp;" "&amp;Q216)),ISNUMBER(SEARCH("IMPLEMENTATION UPDATED",K216&amp;" "&amp;Q216)),ISNUMBER(SEARCH("REQUIRED EVERY SESSION",K216&amp;" "&amp;Q216))),"Pending",IF(OR(Q216="PASS",ISNUMBER(SEARCH("PASS",K216&amp;" "&amp;Q216))),"Done","Pending"))))</f>
        <v>Not started</v>
      </c>
      <c r="U216" s="146" t="str">
        <f>IF(OR(C216="Admin optional",LEFT(A216,9)="OPERATOR-",LEFT(A216,8)="PAYMENT-",LEFT(A216,7)="DEPLOY-"),"External","Core")</f>
        <v>External</v>
      </c>
    </row>
    <row r="217" customFormat="false" ht="15" hidden="false" customHeight="false" outlineLevel="0" collapsed="false">
      <c r="A217" s="243" t="s">
        <v>1942</v>
      </c>
      <c r="B217" s="243" t="s">
        <v>1914</v>
      </c>
      <c r="C217" s="243" t="s">
        <v>46</v>
      </c>
      <c r="D217" s="243" t="s">
        <v>1943</v>
      </c>
      <c r="E217" s="243" t="s">
        <v>1944</v>
      </c>
      <c r="F217" s="243" t="s">
        <v>1945</v>
      </c>
      <c r="G217" s="243" t="s">
        <v>1946</v>
      </c>
      <c r="H217" s="243" t="s">
        <v>1947</v>
      </c>
      <c r="I217" s="243" t="s">
        <v>1948</v>
      </c>
      <c r="J217" s="243" t="s">
        <v>1949</v>
      </c>
      <c r="K217" s="243" t="s">
        <v>138</v>
      </c>
      <c r="L217" s="243" t="s">
        <v>1</v>
      </c>
      <c r="M217" s="243" t="s">
        <v>1</v>
      </c>
      <c r="N217" s="243" t="s">
        <v>1</v>
      </c>
      <c r="O217" s="243" t="s">
        <v>1950</v>
      </c>
      <c r="P217" s="243" t="s">
        <v>1951</v>
      </c>
      <c r="Q217" s="243" t="s">
        <v>1</v>
      </c>
      <c r="R217" s="243" t="s">
        <v>1952</v>
      </c>
      <c r="S217" s="243" t="s">
        <v>832</v>
      </c>
      <c r="T217" s="146" t="str">
        <f>IF(OR(ISNUMBER(SEARCH("FAIL",K217&amp;" "&amp;Q217)),ISNUMBER(SEARCH("CLEAN RETEST REQUIRED",K217&amp;" "&amp;Q217))),"Failed",IF(OR(ISNUMBER(SEARCH("NOT RUN",K217&amp;" "&amp;Q217)),ISNUMBER(SEARCH("NOT IMPLEMENTED",K217&amp;" "&amp;Q217))),"Not started",IF(OR(ISNUMBER(SEARCH("PARTIAL",K217&amp;" "&amp;Q217)),ISNUMBER(SEARCH("PENDING",K217&amp;" "&amp;Q217)),ISNUMBER(SEARCH("IN PROGRESS",K217&amp;" "&amp;Q217)),ISNUMBER(SEARCH("OPEN",K217&amp;" "&amp;Q217)),ISNUMBER(SEARCH("RETEST REQUIRED",K217&amp;" "&amp;Q217)),ISNUMBER(SEARCH("IMPLEMENTATION UPDATED",K217&amp;" "&amp;Q217)),ISNUMBER(SEARCH("REQUIRED EVERY SESSION",K217&amp;" "&amp;Q217))),"Pending",IF(OR(Q217="PASS",ISNUMBER(SEARCH("PASS",K217&amp;" "&amp;Q217))),"Done","Pending"))))</f>
        <v>Not started</v>
      </c>
      <c r="U217" s="146" t="str">
        <f>IF(OR(C217="Admin optional",LEFT(A217,9)="OPERATOR-",LEFT(A217,8)="PAYMENT-",LEFT(A217,7)="DEPLOY-"),"External","Core")</f>
        <v>External</v>
      </c>
    </row>
    <row r="218" customFormat="false" ht="15" hidden="false" customHeight="false" outlineLevel="0" collapsed="false">
      <c r="A218" s="243" t="s">
        <v>1953</v>
      </c>
      <c r="B218" s="243" t="s">
        <v>1914</v>
      </c>
      <c r="C218" s="243" t="s">
        <v>46</v>
      </c>
      <c r="D218" s="243" t="s">
        <v>1954</v>
      </c>
      <c r="E218" s="243" t="s">
        <v>1955</v>
      </c>
      <c r="F218" s="243" t="s">
        <v>4</v>
      </c>
      <c r="G218" s="243" t="s">
        <v>1956</v>
      </c>
      <c r="H218" s="243" t="s">
        <v>4</v>
      </c>
      <c r="I218" s="243" t="s">
        <v>1928</v>
      </c>
      <c r="J218" s="243" t="s">
        <v>1957</v>
      </c>
      <c r="K218" s="243" t="s">
        <v>138</v>
      </c>
      <c r="L218" s="243" t="s">
        <v>1</v>
      </c>
      <c r="M218" s="243" t="s">
        <v>1</v>
      </c>
      <c r="N218" s="243" t="s">
        <v>1</v>
      </c>
      <c r="O218" s="243" t="s">
        <v>1958</v>
      </c>
      <c r="P218" s="243" t="s">
        <v>1959</v>
      </c>
      <c r="Q218" s="243" t="s">
        <v>1</v>
      </c>
      <c r="R218" s="243" t="s">
        <v>1960</v>
      </c>
      <c r="S218" s="243" t="s">
        <v>832</v>
      </c>
      <c r="T218" s="146" t="str">
        <f>IF(OR(ISNUMBER(SEARCH("FAIL",K218&amp;" "&amp;Q218)),ISNUMBER(SEARCH("CLEAN RETEST REQUIRED",K218&amp;" "&amp;Q218))),"Failed",IF(OR(ISNUMBER(SEARCH("NOT RUN",K218&amp;" "&amp;Q218)),ISNUMBER(SEARCH("NOT IMPLEMENTED",K218&amp;" "&amp;Q218))),"Not started",IF(OR(ISNUMBER(SEARCH("PARTIAL",K218&amp;" "&amp;Q218)),ISNUMBER(SEARCH("PENDING",K218&amp;" "&amp;Q218)),ISNUMBER(SEARCH("IN PROGRESS",K218&amp;" "&amp;Q218)),ISNUMBER(SEARCH("OPEN",K218&amp;" "&amp;Q218)),ISNUMBER(SEARCH("RETEST REQUIRED",K218&amp;" "&amp;Q218)),ISNUMBER(SEARCH("IMPLEMENTATION UPDATED",K218&amp;" "&amp;Q218)),ISNUMBER(SEARCH("REQUIRED EVERY SESSION",K218&amp;" "&amp;Q218))),"Pending",IF(OR(Q218="PASS",ISNUMBER(SEARCH("PASS",K218&amp;" "&amp;Q218))),"Done","Pending"))))</f>
        <v>Not started</v>
      </c>
      <c r="U218" s="146" t="str">
        <f>IF(OR(C218="Admin optional",LEFT(A218,9)="OPERATOR-",LEFT(A218,8)="PAYMENT-",LEFT(A218,7)="DEPLOY-"),"External","Core")</f>
        <v>External</v>
      </c>
    </row>
    <row r="219" customFormat="false" ht="15" hidden="false" customHeight="false" outlineLevel="0" collapsed="false">
      <c r="A219" s="243" t="s">
        <v>1961</v>
      </c>
      <c r="B219" s="243" t="s">
        <v>1962</v>
      </c>
      <c r="C219" s="272" t="s">
        <v>55</v>
      </c>
      <c r="D219" s="243" t="s">
        <v>1963</v>
      </c>
      <c r="E219" s="243" t="s">
        <v>1964</v>
      </c>
      <c r="F219" s="243" t="s">
        <v>4</v>
      </c>
      <c r="G219" s="243" t="s">
        <v>1965</v>
      </c>
      <c r="H219" s="243" t="s">
        <v>4</v>
      </c>
      <c r="I219" s="243" t="s">
        <v>4</v>
      </c>
      <c r="J219" s="243" t="s">
        <v>1966</v>
      </c>
      <c r="K219" s="243" t="s">
        <v>1967</v>
      </c>
      <c r="L219" s="243" t="s">
        <v>1</v>
      </c>
      <c r="M219" s="243" t="s">
        <v>1</v>
      </c>
      <c r="N219" s="243" t="s">
        <v>1</v>
      </c>
      <c r="O219" s="243" t="s">
        <v>1968</v>
      </c>
      <c r="P219" s="243" t="s">
        <v>1969</v>
      </c>
      <c r="Q219" s="243" t="s">
        <v>1</v>
      </c>
      <c r="R219" s="243" t="s">
        <v>1970</v>
      </c>
      <c r="S219" s="243" t="s">
        <v>107</v>
      </c>
      <c r="T219" s="146" t="str">
        <f>IF(OR(ISNUMBER(SEARCH("FAIL",K219&amp;" "&amp;Q219)),ISNUMBER(SEARCH("CLEAN RETEST REQUIRED",K219&amp;" "&amp;Q219))),"Failed",IF(OR(ISNUMBER(SEARCH("NOT RUN",K219&amp;" "&amp;Q219)),ISNUMBER(SEARCH("NOT IMPLEMENTED",K219&amp;" "&amp;Q219))),"Not started",IF(OR(ISNUMBER(SEARCH("PARTIAL",K219&amp;" "&amp;Q219)),ISNUMBER(SEARCH("PENDING",K219&amp;" "&amp;Q219)),ISNUMBER(SEARCH("IN PROGRESS",K219&amp;" "&amp;Q219)),ISNUMBER(SEARCH("OPEN",K219&amp;" "&amp;Q219)),ISNUMBER(SEARCH("RETEST REQUIRED",K219&amp;" "&amp;Q219)),ISNUMBER(SEARCH("IMPLEMENTATION UPDATED",K219&amp;" "&amp;Q219)),ISNUMBER(SEARCH("REQUIRED EVERY SESSION",K219&amp;" "&amp;Q219))),"Pending",IF(OR(Q219="PASS",ISNUMBER(SEARCH("PASS",K219&amp;" "&amp;Q219))),"Done","Pending"))))</f>
        <v>Not started</v>
      </c>
      <c r="U219" s="146" t="str">
        <f>IF(OR(C219="Admin optional",LEFT(A219,9)="OPERATOR-",LEFT(A219,8)="PAYMENT-",LEFT(A219,7)="DEPLOY-"),"External","Core")</f>
        <v>External</v>
      </c>
    </row>
    <row r="220" customFormat="false" ht="15" hidden="false" customHeight="false" outlineLevel="0" collapsed="false">
      <c r="A220" s="243" t="s">
        <v>1971</v>
      </c>
      <c r="B220" s="243" t="s">
        <v>1962</v>
      </c>
      <c r="C220" s="272" t="s">
        <v>55</v>
      </c>
      <c r="D220" s="243" t="s">
        <v>1963</v>
      </c>
      <c r="E220" s="243" t="s">
        <v>1972</v>
      </c>
      <c r="F220" s="243" t="s">
        <v>1973</v>
      </c>
      <c r="G220" s="243" t="s">
        <v>1974</v>
      </c>
      <c r="H220" s="243" t="s">
        <v>4</v>
      </c>
      <c r="I220" s="243" t="s">
        <v>1975</v>
      </c>
      <c r="J220" s="243" t="s">
        <v>1976</v>
      </c>
      <c r="K220" s="243" t="s">
        <v>1967</v>
      </c>
      <c r="L220" s="243" t="s">
        <v>1</v>
      </c>
      <c r="M220" s="243" t="s">
        <v>1</v>
      </c>
      <c r="N220" s="243" t="s">
        <v>1</v>
      </c>
      <c r="O220" s="243" t="s">
        <v>1977</v>
      </c>
      <c r="P220" s="243" t="s">
        <v>1978</v>
      </c>
      <c r="Q220" s="243" t="s">
        <v>1</v>
      </c>
      <c r="R220" s="243" t="s">
        <v>1979</v>
      </c>
      <c r="S220" s="243" t="s">
        <v>107</v>
      </c>
      <c r="T220" s="146" t="str">
        <f>IF(OR(ISNUMBER(SEARCH("FAIL",K220&amp;" "&amp;Q220)),ISNUMBER(SEARCH("CLEAN RETEST REQUIRED",K220&amp;" "&amp;Q220))),"Failed",IF(OR(ISNUMBER(SEARCH("NOT RUN",K220&amp;" "&amp;Q220)),ISNUMBER(SEARCH("NOT IMPLEMENTED",K220&amp;" "&amp;Q220))),"Not started",IF(OR(ISNUMBER(SEARCH("PARTIAL",K220&amp;" "&amp;Q220)),ISNUMBER(SEARCH("PENDING",K220&amp;" "&amp;Q220)),ISNUMBER(SEARCH("IN PROGRESS",K220&amp;" "&amp;Q220)),ISNUMBER(SEARCH("OPEN",K220&amp;" "&amp;Q220)),ISNUMBER(SEARCH("RETEST REQUIRED",K220&amp;" "&amp;Q220)),ISNUMBER(SEARCH("IMPLEMENTATION UPDATED",K220&amp;" "&amp;Q220)),ISNUMBER(SEARCH("REQUIRED EVERY SESSION",K220&amp;" "&amp;Q220))),"Pending",IF(OR(Q220="PASS",ISNUMBER(SEARCH("PASS",K220&amp;" "&amp;Q220))),"Done","Pending"))))</f>
        <v>Not started</v>
      </c>
      <c r="U220" s="146" t="str">
        <f>IF(OR(C220="Admin optional",LEFT(A220,9)="OPERATOR-",LEFT(A220,8)="PAYMENT-",LEFT(A220,7)="DEPLOY-"),"External","Core")</f>
        <v>External</v>
      </c>
    </row>
    <row r="221" customFormat="false" ht="15" hidden="false" customHeight="false" outlineLevel="0" collapsed="false">
      <c r="A221" s="243" t="s">
        <v>1980</v>
      </c>
      <c r="B221" s="243" t="s">
        <v>1962</v>
      </c>
      <c r="C221" s="272" t="s">
        <v>55</v>
      </c>
      <c r="D221" s="243" t="s">
        <v>1981</v>
      </c>
      <c r="E221" s="243" t="s">
        <v>1982</v>
      </c>
      <c r="F221" s="243" t="s">
        <v>4</v>
      </c>
      <c r="G221" s="243" t="s">
        <v>1983</v>
      </c>
      <c r="H221" s="243" t="s">
        <v>4</v>
      </c>
      <c r="I221" s="243" t="s">
        <v>4</v>
      </c>
      <c r="J221" s="243" t="s">
        <v>1984</v>
      </c>
      <c r="K221" s="243" t="s">
        <v>1967</v>
      </c>
      <c r="L221" s="243" t="s">
        <v>1</v>
      </c>
      <c r="M221" s="243" t="s">
        <v>1</v>
      </c>
      <c r="N221" s="243" t="s">
        <v>1</v>
      </c>
      <c r="O221" s="243" t="s">
        <v>1985</v>
      </c>
      <c r="P221" s="243" t="s">
        <v>1986</v>
      </c>
      <c r="Q221" s="243" t="s">
        <v>1</v>
      </c>
      <c r="R221" s="243" t="s">
        <v>1987</v>
      </c>
      <c r="S221" s="243" t="s">
        <v>107</v>
      </c>
      <c r="T221" s="146" t="str">
        <f>IF(OR(ISNUMBER(SEARCH("FAIL",K221&amp;" "&amp;Q221)),ISNUMBER(SEARCH("CLEAN RETEST REQUIRED",K221&amp;" "&amp;Q221))),"Failed",IF(OR(ISNUMBER(SEARCH("NOT RUN",K221&amp;" "&amp;Q221)),ISNUMBER(SEARCH("NOT IMPLEMENTED",K221&amp;" "&amp;Q221))),"Not started",IF(OR(ISNUMBER(SEARCH("PARTIAL",K221&amp;" "&amp;Q221)),ISNUMBER(SEARCH("PENDING",K221&amp;" "&amp;Q221)),ISNUMBER(SEARCH("IN PROGRESS",K221&amp;" "&amp;Q221)),ISNUMBER(SEARCH("OPEN",K221&amp;" "&amp;Q221)),ISNUMBER(SEARCH("RETEST REQUIRED",K221&amp;" "&amp;Q221)),ISNUMBER(SEARCH("IMPLEMENTATION UPDATED",K221&amp;" "&amp;Q221)),ISNUMBER(SEARCH("REQUIRED EVERY SESSION",K221&amp;" "&amp;Q221))),"Pending",IF(OR(Q221="PASS",ISNUMBER(SEARCH("PASS",K221&amp;" "&amp;Q221))),"Done","Pending"))))</f>
        <v>Not started</v>
      </c>
      <c r="U221" s="146" t="str">
        <f>IF(OR(C221="Admin optional",LEFT(A221,9)="OPERATOR-",LEFT(A221,8)="PAYMENT-",LEFT(A221,7)="DEPLOY-"),"External","Core")</f>
        <v>External</v>
      </c>
    </row>
    <row r="222" customFormat="false" ht="15" hidden="false" customHeight="false" outlineLevel="0" collapsed="false">
      <c r="A222" s="243" t="s">
        <v>1988</v>
      </c>
      <c r="B222" s="243" t="s">
        <v>1962</v>
      </c>
      <c r="C222" s="272" t="s">
        <v>55</v>
      </c>
      <c r="D222" s="243" t="s">
        <v>1989</v>
      </c>
      <c r="E222" s="243" t="s">
        <v>1990</v>
      </c>
      <c r="F222" s="243" t="s">
        <v>4</v>
      </c>
      <c r="G222" s="243" t="s">
        <v>1991</v>
      </c>
      <c r="H222" s="243" t="s">
        <v>4</v>
      </c>
      <c r="I222" s="243" t="s">
        <v>1992</v>
      </c>
      <c r="J222" s="243" t="s">
        <v>1993</v>
      </c>
      <c r="K222" s="243" t="s">
        <v>1967</v>
      </c>
      <c r="L222" s="243" t="s">
        <v>1</v>
      </c>
      <c r="M222" s="243" t="s">
        <v>1</v>
      </c>
      <c r="N222" s="243" t="s">
        <v>1</v>
      </c>
      <c r="O222" s="243" t="s">
        <v>1994</v>
      </c>
      <c r="P222" s="243" t="s">
        <v>1995</v>
      </c>
      <c r="Q222" s="243" t="s">
        <v>1</v>
      </c>
      <c r="R222" s="243" t="s">
        <v>1996</v>
      </c>
      <c r="S222" s="243" t="s">
        <v>107</v>
      </c>
      <c r="T222" s="146" t="str">
        <f>IF(OR(ISNUMBER(SEARCH("FAIL",K222&amp;" "&amp;Q222)),ISNUMBER(SEARCH("CLEAN RETEST REQUIRED",K222&amp;" "&amp;Q222))),"Failed",IF(OR(ISNUMBER(SEARCH("NOT RUN",K222&amp;" "&amp;Q222)),ISNUMBER(SEARCH("NOT IMPLEMENTED",K222&amp;" "&amp;Q222))),"Not started",IF(OR(ISNUMBER(SEARCH("PARTIAL",K222&amp;" "&amp;Q222)),ISNUMBER(SEARCH("PENDING",K222&amp;" "&amp;Q222)),ISNUMBER(SEARCH("IN PROGRESS",K222&amp;" "&amp;Q222)),ISNUMBER(SEARCH("OPEN",K222&amp;" "&amp;Q222)),ISNUMBER(SEARCH("RETEST REQUIRED",K222&amp;" "&amp;Q222)),ISNUMBER(SEARCH("IMPLEMENTATION UPDATED",K222&amp;" "&amp;Q222)),ISNUMBER(SEARCH("REQUIRED EVERY SESSION",K222&amp;" "&amp;Q222))),"Pending",IF(OR(Q222="PASS",ISNUMBER(SEARCH("PASS",K222&amp;" "&amp;Q222))),"Done","Pending"))))</f>
        <v>Not started</v>
      </c>
      <c r="U222" s="146" t="str">
        <f>IF(OR(C222="Admin optional",LEFT(A222,9)="OPERATOR-",LEFT(A222,8)="PAYMENT-",LEFT(A222,7)="DEPLOY-"),"External","Core")</f>
        <v>External</v>
      </c>
    </row>
    <row r="223" customFormat="false" ht="15" hidden="false" customHeight="false" outlineLevel="0" collapsed="false">
      <c r="A223" s="243" t="s">
        <v>1997</v>
      </c>
      <c r="B223" s="243" t="s">
        <v>1962</v>
      </c>
      <c r="C223" s="272" t="s">
        <v>55</v>
      </c>
      <c r="D223" s="243" t="s">
        <v>1998</v>
      </c>
      <c r="E223" s="243" t="s">
        <v>1999</v>
      </c>
      <c r="F223" s="243" t="s">
        <v>4</v>
      </c>
      <c r="G223" s="243" t="s">
        <v>2000</v>
      </c>
      <c r="H223" s="243" t="s">
        <v>4</v>
      </c>
      <c r="I223" s="243" t="s">
        <v>2001</v>
      </c>
      <c r="J223" s="243" t="s">
        <v>2002</v>
      </c>
      <c r="K223" s="243" t="s">
        <v>1967</v>
      </c>
      <c r="L223" s="243" t="s">
        <v>1</v>
      </c>
      <c r="M223" s="243" t="s">
        <v>1</v>
      </c>
      <c r="N223" s="243" t="s">
        <v>1</v>
      </c>
      <c r="O223" s="243" t="s">
        <v>2003</v>
      </c>
      <c r="P223" s="243" t="s">
        <v>2004</v>
      </c>
      <c r="Q223" s="243" t="s">
        <v>1</v>
      </c>
      <c r="R223" s="243" t="s">
        <v>2005</v>
      </c>
      <c r="S223" s="243" t="s">
        <v>107</v>
      </c>
      <c r="T223" s="146" t="str">
        <f>IF(OR(ISNUMBER(SEARCH("FAIL",K223&amp;" "&amp;Q223)),ISNUMBER(SEARCH("CLEAN RETEST REQUIRED",K223&amp;" "&amp;Q223))),"Failed",IF(OR(ISNUMBER(SEARCH("NOT RUN",K223&amp;" "&amp;Q223)),ISNUMBER(SEARCH("NOT IMPLEMENTED",K223&amp;" "&amp;Q223))),"Not started",IF(OR(ISNUMBER(SEARCH("PARTIAL",K223&amp;" "&amp;Q223)),ISNUMBER(SEARCH("PENDING",K223&amp;" "&amp;Q223)),ISNUMBER(SEARCH("IN PROGRESS",K223&amp;" "&amp;Q223)),ISNUMBER(SEARCH("OPEN",K223&amp;" "&amp;Q223)),ISNUMBER(SEARCH("RETEST REQUIRED",K223&amp;" "&amp;Q223)),ISNUMBER(SEARCH("IMPLEMENTATION UPDATED",K223&amp;" "&amp;Q223)),ISNUMBER(SEARCH("REQUIRED EVERY SESSION",K223&amp;" "&amp;Q223))),"Pending",IF(OR(Q223="PASS",ISNUMBER(SEARCH("PASS",K223&amp;" "&amp;Q223))),"Done","Pending"))))</f>
        <v>Not started</v>
      </c>
      <c r="U223" s="146" t="str">
        <f>IF(OR(C223="Admin optional",LEFT(A223,9)="OPERATOR-",LEFT(A223,8)="PAYMENT-",LEFT(A223,7)="DEPLOY-"),"External","Core")</f>
        <v>External</v>
      </c>
    </row>
    <row r="224" customFormat="false" ht="15" hidden="false" customHeight="false" outlineLevel="0" collapsed="false">
      <c r="A224" s="243" t="s">
        <v>2006</v>
      </c>
      <c r="B224" s="243" t="s">
        <v>1962</v>
      </c>
      <c r="C224" s="272" t="s">
        <v>55</v>
      </c>
      <c r="D224" s="243" t="s">
        <v>1963</v>
      </c>
      <c r="E224" s="243" t="s">
        <v>2007</v>
      </c>
      <c r="F224" s="243" t="s">
        <v>1973</v>
      </c>
      <c r="G224" s="243" t="s">
        <v>2008</v>
      </c>
      <c r="H224" s="243" t="s">
        <v>4</v>
      </c>
      <c r="I224" s="243" t="s">
        <v>1975</v>
      </c>
      <c r="J224" s="243" t="s">
        <v>2009</v>
      </c>
      <c r="K224" s="243" t="s">
        <v>1967</v>
      </c>
      <c r="L224" s="243" t="s">
        <v>1</v>
      </c>
      <c r="M224" s="243" t="s">
        <v>1</v>
      </c>
      <c r="N224" s="243" t="s">
        <v>1</v>
      </c>
      <c r="O224" s="243" t="s">
        <v>2010</v>
      </c>
      <c r="P224" s="243" t="s">
        <v>2011</v>
      </c>
      <c r="Q224" s="243" t="s">
        <v>1</v>
      </c>
      <c r="R224" s="243" t="s">
        <v>2012</v>
      </c>
      <c r="S224" s="243" t="s">
        <v>107</v>
      </c>
      <c r="T224" s="146" t="str">
        <f>IF(OR(ISNUMBER(SEARCH("FAIL",K224&amp;" "&amp;Q224)),ISNUMBER(SEARCH("CLEAN RETEST REQUIRED",K224&amp;" "&amp;Q224))),"Failed",IF(OR(ISNUMBER(SEARCH("NOT RUN",K224&amp;" "&amp;Q224)),ISNUMBER(SEARCH("NOT IMPLEMENTED",K224&amp;" "&amp;Q224))),"Not started",IF(OR(ISNUMBER(SEARCH("PARTIAL",K224&amp;" "&amp;Q224)),ISNUMBER(SEARCH("PENDING",K224&amp;" "&amp;Q224)),ISNUMBER(SEARCH("IN PROGRESS",K224&amp;" "&amp;Q224)),ISNUMBER(SEARCH("OPEN",K224&amp;" "&amp;Q224)),ISNUMBER(SEARCH("RETEST REQUIRED",K224&amp;" "&amp;Q224)),ISNUMBER(SEARCH("IMPLEMENTATION UPDATED",K224&amp;" "&amp;Q224)),ISNUMBER(SEARCH("REQUIRED EVERY SESSION",K224&amp;" "&amp;Q224))),"Pending",IF(OR(Q224="PASS",ISNUMBER(SEARCH("PASS",K224&amp;" "&amp;Q224))),"Done","Pending"))))</f>
        <v>Not started</v>
      </c>
      <c r="U224" s="146" t="str">
        <f>IF(OR(C224="Admin optional",LEFT(A224,9)="OPERATOR-",LEFT(A224,8)="PAYMENT-",LEFT(A224,7)="DEPLOY-"),"External","Core")</f>
        <v>External</v>
      </c>
    </row>
    <row r="225" customFormat="false" ht="15" hidden="false" customHeight="false" outlineLevel="0" collapsed="false">
      <c r="A225" s="243" t="s">
        <v>2013</v>
      </c>
      <c r="B225" s="243" t="s">
        <v>1962</v>
      </c>
      <c r="C225" s="272" t="s">
        <v>55</v>
      </c>
      <c r="D225" s="243" t="s">
        <v>2014</v>
      </c>
      <c r="E225" s="243" t="s">
        <v>2015</v>
      </c>
      <c r="F225" s="243" t="s">
        <v>4</v>
      </c>
      <c r="G225" s="243" t="s">
        <v>2016</v>
      </c>
      <c r="H225" s="243" t="s">
        <v>4</v>
      </c>
      <c r="I225" s="243" t="s">
        <v>2017</v>
      </c>
      <c r="J225" s="243" t="s">
        <v>2018</v>
      </c>
      <c r="K225" s="243" t="s">
        <v>1967</v>
      </c>
      <c r="L225" s="243" t="s">
        <v>1</v>
      </c>
      <c r="M225" s="243" t="s">
        <v>1</v>
      </c>
      <c r="N225" s="243" t="s">
        <v>1</v>
      </c>
      <c r="O225" s="243" t="s">
        <v>2019</v>
      </c>
      <c r="P225" s="243" t="s">
        <v>2020</v>
      </c>
      <c r="Q225" s="243" t="s">
        <v>1</v>
      </c>
      <c r="R225" s="243" t="s">
        <v>2021</v>
      </c>
      <c r="S225" s="243" t="s">
        <v>107</v>
      </c>
      <c r="T225" s="146" t="str">
        <f>IF(OR(ISNUMBER(SEARCH("FAIL",K225&amp;" "&amp;Q225)),ISNUMBER(SEARCH("CLEAN RETEST REQUIRED",K225&amp;" "&amp;Q225))),"Failed",IF(OR(ISNUMBER(SEARCH("NOT RUN",K225&amp;" "&amp;Q225)),ISNUMBER(SEARCH("NOT IMPLEMENTED",K225&amp;" "&amp;Q225))),"Not started",IF(OR(ISNUMBER(SEARCH("PARTIAL",K225&amp;" "&amp;Q225)),ISNUMBER(SEARCH("PENDING",K225&amp;" "&amp;Q225)),ISNUMBER(SEARCH("IN PROGRESS",K225&amp;" "&amp;Q225)),ISNUMBER(SEARCH("OPEN",K225&amp;" "&amp;Q225)),ISNUMBER(SEARCH("RETEST REQUIRED",K225&amp;" "&amp;Q225)),ISNUMBER(SEARCH("IMPLEMENTATION UPDATED",K225&amp;" "&amp;Q225)),ISNUMBER(SEARCH("REQUIRED EVERY SESSION",K225&amp;" "&amp;Q225))),"Pending",IF(OR(Q225="PASS",ISNUMBER(SEARCH("PASS",K225&amp;" "&amp;Q225))),"Done","Pending"))))</f>
        <v>Not started</v>
      </c>
      <c r="U225" s="146" t="str">
        <f>IF(OR(C225="Admin optional",LEFT(A225,9)="OPERATOR-",LEFT(A225,8)="PAYMENT-",LEFT(A225,7)="DEPLOY-"),"External","Core")</f>
        <v>External</v>
      </c>
    </row>
    <row r="226" customFormat="false" ht="15" hidden="false" customHeight="false" outlineLevel="0" collapsed="false">
      <c r="A226" s="243" t="s">
        <v>2022</v>
      </c>
      <c r="B226" s="243" t="s">
        <v>2023</v>
      </c>
      <c r="C226" s="272" t="s">
        <v>55</v>
      </c>
      <c r="D226" s="243" t="s">
        <v>2024</v>
      </c>
      <c r="E226" s="243" t="s">
        <v>2025</v>
      </c>
      <c r="F226" s="243" t="s">
        <v>2026</v>
      </c>
      <c r="G226" s="243" t="s">
        <v>2027</v>
      </c>
      <c r="H226" s="243" t="s">
        <v>4</v>
      </c>
      <c r="I226" s="243" t="s">
        <v>2028</v>
      </c>
      <c r="J226" s="243" t="s">
        <v>2029</v>
      </c>
      <c r="K226" s="243" t="s">
        <v>1967</v>
      </c>
      <c r="L226" s="243" t="s">
        <v>1</v>
      </c>
      <c r="M226" s="243" t="s">
        <v>1</v>
      </c>
      <c r="N226" s="243" t="s">
        <v>1</v>
      </c>
      <c r="O226" s="243" t="s">
        <v>2030</v>
      </c>
      <c r="P226" s="243" t="s">
        <v>2031</v>
      </c>
      <c r="Q226" s="243" t="s">
        <v>1</v>
      </c>
      <c r="R226" s="243" t="s">
        <v>2032</v>
      </c>
      <c r="S226" s="243" t="s">
        <v>107</v>
      </c>
      <c r="T226" s="146" t="str">
        <f>IF(OR(ISNUMBER(SEARCH("FAIL",K226&amp;" "&amp;Q226)),ISNUMBER(SEARCH("CLEAN RETEST REQUIRED",K226&amp;" "&amp;Q226))),"Failed",IF(OR(ISNUMBER(SEARCH("NOT RUN",K226&amp;" "&amp;Q226)),ISNUMBER(SEARCH("NOT IMPLEMENTED",K226&amp;" "&amp;Q226))),"Not started",IF(OR(ISNUMBER(SEARCH("PARTIAL",K226&amp;" "&amp;Q226)),ISNUMBER(SEARCH("PENDING",K226&amp;" "&amp;Q226)),ISNUMBER(SEARCH("IN PROGRESS",K226&amp;" "&amp;Q226)),ISNUMBER(SEARCH("OPEN",K226&amp;" "&amp;Q226)),ISNUMBER(SEARCH("RETEST REQUIRED",K226&amp;" "&amp;Q226)),ISNUMBER(SEARCH("IMPLEMENTATION UPDATED",K226&amp;" "&amp;Q226)),ISNUMBER(SEARCH("REQUIRED EVERY SESSION",K226&amp;" "&amp;Q226))),"Pending",IF(OR(Q226="PASS",ISNUMBER(SEARCH("PASS",K226&amp;" "&amp;Q226))),"Done","Pending"))))</f>
        <v>Not started</v>
      </c>
      <c r="U226" s="146" t="str">
        <f>IF(OR(C226="Admin optional",LEFT(A226,9)="OPERATOR-",LEFT(A226,8)="PAYMENT-",LEFT(A226,7)="DEPLOY-"),"External","Core")</f>
        <v>External</v>
      </c>
    </row>
    <row r="227" customFormat="false" ht="15" hidden="false" customHeight="false" outlineLevel="0" collapsed="false">
      <c r="A227" s="243" t="s">
        <v>2033</v>
      </c>
      <c r="B227" s="243" t="s">
        <v>2023</v>
      </c>
      <c r="C227" s="272" t="s">
        <v>55</v>
      </c>
      <c r="D227" s="243" t="s">
        <v>2034</v>
      </c>
      <c r="E227" s="243" t="s">
        <v>2035</v>
      </c>
      <c r="F227" s="243" t="s">
        <v>4</v>
      </c>
      <c r="G227" s="243" t="s">
        <v>2036</v>
      </c>
      <c r="H227" s="243" t="s">
        <v>4</v>
      </c>
      <c r="I227" s="243" t="s">
        <v>2037</v>
      </c>
      <c r="J227" s="243" t="s">
        <v>2038</v>
      </c>
      <c r="K227" s="243" t="s">
        <v>1967</v>
      </c>
      <c r="L227" s="243" t="s">
        <v>1</v>
      </c>
      <c r="M227" s="243" t="s">
        <v>1</v>
      </c>
      <c r="N227" s="243" t="s">
        <v>1</v>
      </c>
      <c r="O227" s="243" t="s">
        <v>2039</v>
      </c>
      <c r="P227" s="243" t="s">
        <v>2040</v>
      </c>
      <c r="Q227" s="243" t="s">
        <v>1</v>
      </c>
      <c r="R227" s="243" t="s">
        <v>2041</v>
      </c>
      <c r="S227" s="243" t="s">
        <v>107</v>
      </c>
      <c r="T227" s="146" t="str">
        <f>IF(OR(ISNUMBER(SEARCH("FAIL",K227&amp;" "&amp;Q227)),ISNUMBER(SEARCH("CLEAN RETEST REQUIRED",K227&amp;" "&amp;Q227))),"Failed",IF(OR(ISNUMBER(SEARCH("NOT RUN",K227&amp;" "&amp;Q227)),ISNUMBER(SEARCH("NOT IMPLEMENTED",K227&amp;" "&amp;Q227))),"Not started",IF(OR(ISNUMBER(SEARCH("PARTIAL",K227&amp;" "&amp;Q227)),ISNUMBER(SEARCH("PENDING",K227&amp;" "&amp;Q227)),ISNUMBER(SEARCH("IN PROGRESS",K227&amp;" "&amp;Q227)),ISNUMBER(SEARCH("OPEN",K227&amp;" "&amp;Q227)),ISNUMBER(SEARCH("RETEST REQUIRED",K227&amp;" "&amp;Q227)),ISNUMBER(SEARCH("IMPLEMENTATION UPDATED",K227&amp;" "&amp;Q227)),ISNUMBER(SEARCH("REQUIRED EVERY SESSION",K227&amp;" "&amp;Q227))),"Pending",IF(OR(Q227="PASS",ISNUMBER(SEARCH("PASS",K227&amp;" "&amp;Q227))),"Done","Pending"))))</f>
        <v>Not started</v>
      </c>
      <c r="U227" s="146" t="str">
        <f>IF(OR(C227="Admin optional",LEFT(A227,9)="OPERATOR-",LEFT(A227,8)="PAYMENT-",LEFT(A227,7)="DEPLOY-"),"External","Core")</f>
        <v>External</v>
      </c>
    </row>
    <row r="228" customFormat="false" ht="15" hidden="false" customHeight="false" outlineLevel="0" collapsed="false">
      <c r="A228" s="243" t="s">
        <v>2042</v>
      </c>
      <c r="B228" s="243" t="s">
        <v>2023</v>
      </c>
      <c r="C228" s="272" t="s">
        <v>55</v>
      </c>
      <c r="D228" s="243" t="s">
        <v>2034</v>
      </c>
      <c r="E228" s="243" t="s">
        <v>2043</v>
      </c>
      <c r="F228" s="243" t="s">
        <v>4</v>
      </c>
      <c r="G228" s="243" t="s">
        <v>2044</v>
      </c>
      <c r="H228" s="243" t="s">
        <v>4</v>
      </c>
      <c r="I228" s="243" t="s">
        <v>2045</v>
      </c>
      <c r="J228" s="243" t="s">
        <v>2046</v>
      </c>
      <c r="K228" s="243" t="s">
        <v>1967</v>
      </c>
      <c r="L228" s="243" t="s">
        <v>1</v>
      </c>
      <c r="M228" s="243" t="s">
        <v>1</v>
      </c>
      <c r="N228" s="243" t="s">
        <v>1</v>
      </c>
      <c r="O228" s="243" t="s">
        <v>2047</v>
      </c>
      <c r="P228" s="243" t="s">
        <v>2048</v>
      </c>
      <c r="Q228" s="243" t="s">
        <v>1</v>
      </c>
      <c r="R228" s="243" t="s">
        <v>2049</v>
      </c>
      <c r="S228" s="243" t="s">
        <v>107</v>
      </c>
      <c r="T228" s="146" t="str">
        <f>IF(OR(ISNUMBER(SEARCH("FAIL",K228&amp;" "&amp;Q228)),ISNUMBER(SEARCH("CLEAN RETEST REQUIRED",K228&amp;" "&amp;Q228))),"Failed",IF(OR(ISNUMBER(SEARCH("NOT RUN",K228&amp;" "&amp;Q228)),ISNUMBER(SEARCH("NOT IMPLEMENTED",K228&amp;" "&amp;Q228))),"Not started",IF(OR(ISNUMBER(SEARCH("PARTIAL",K228&amp;" "&amp;Q228)),ISNUMBER(SEARCH("PENDING",K228&amp;" "&amp;Q228)),ISNUMBER(SEARCH("IN PROGRESS",K228&amp;" "&amp;Q228)),ISNUMBER(SEARCH("OPEN",K228&amp;" "&amp;Q228)),ISNUMBER(SEARCH("RETEST REQUIRED",K228&amp;" "&amp;Q228)),ISNUMBER(SEARCH("IMPLEMENTATION UPDATED",K228&amp;" "&amp;Q228)),ISNUMBER(SEARCH("REQUIRED EVERY SESSION",K228&amp;" "&amp;Q228))),"Pending",IF(OR(Q228="PASS",ISNUMBER(SEARCH("PASS",K228&amp;" "&amp;Q228))),"Done","Pending"))))</f>
        <v>Not started</v>
      </c>
      <c r="U228" s="146" t="str">
        <f>IF(OR(C228="Admin optional",LEFT(A228,9)="OPERATOR-",LEFT(A228,8)="PAYMENT-",LEFT(A228,7)="DEPLOY-"),"External","Core")</f>
        <v>External</v>
      </c>
    </row>
    <row r="229" customFormat="false" ht="15" hidden="false" customHeight="false" outlineLevel="0" collapsed="false">
      <c r="A229" s="243" t="s">
        <v>2050</v>
      </c>
      <c r="B229" s="243" t="s">
        <v>2023</v>
      </c>
      <c r="C229" s="272" t="s">
        <v>55</v>
      </c>
      <c r="D229" s="243" t="s">
        <v>2051</v>
      </c>
      <c r="E229" s="243" t="s">
        <v>2052</v>
      </c>
      <c r="F229" s="243" t="s">
        <v>2053</v>
      </c>
      <c r="G229" s="243" t="s">
        <v>2054</v>
      </c>
      <c r="H229" s="243" t="s">
        <v>4</v>
      </c>
      <c r="I229" s="243" t="s">
        <v>2055</v>
      </c>
      <c r="J229" s="243" t="s">
        <v>2056</v>
      </c>
      <c r="K229" s="243" t="s">
        <v>2057</v>
      </c>
      <c r="L229" s="243" t="s">
        <v>1</v>
      </c>
      <c r="M229" s="243" t="s">
        <v>1</v>
      </c>
      <c r="N229" s="243" t="s">
        <v>1</v>
      </c>
      <c r="O229" s="243" t="s">
        <v>2058</v>
      </c>
      <c r="P229" s="243" t="s">
        <v>2059</v>
      </c>
      <c r="Q229" s="243" t="s">
        <v>1</v>
      </c>
      <c r="R229" s="243" t="s">
        <v>2060</v>
      </c>
      <c r="S229" s="243" t="s">
        <v>107</v>
      </c>
      <c r="T229" s="146" t="str">
        <f>IF(OR(ISNUMBER(SEARCH("FAIL",K229&amp;" "&amp;Q229)),ISNUMBER(SEARCH("CLEAN RETEST REQUIRED",K229&amp;" "&amp;Q229))),"Failed",IF(OR(ISNUMBER(SEARCH("NOT RUN",K229&amp;" "&amp;Q229)),ISNUMBER(SEARCH("NOT IMPLEMENTED",K229&amp;" "&amp;Q229))),"Not started",IF(OR(ISNUMBER(SEARCH("PARTIAL",K229&amp;" "&amp;Q229)),ISNUMBER(SEARCH("PENDING",K229&amp;" "&amp;Q229)),ISNUMBER(SEARCH("IN PROGRESS",K229&amp;" "&amp;Q229)),ISNUMBER(SEARCH("OPEN",K229&amp;" "&amp;Q229)),ISNUMBER(SEARCH("RETEST REQUIRED",K229&amp;" "&amp;Q229)),ISNUMBER(SEARCH("IMPLEMENTATION UPDATED",K229&amp;" "&amp;Q229)),ISNUMBER(SEARCH("REQUIRED EVERY SESSION",K229&amp;" "&amp;Q229))),"Pending",IF(OR(Q229="PASS",ISNUMBER(SEARCH("PASS",K229&amp;" "&amp;Q229))),"Done","Pending"))))</f>
        <v>Pending</v>
      </c>
      <c r="U229" s="146" t="str">
        <f>IF(OR(C229="Admin optional",LEFT(A229,9)="OPERATOR-",LEFT(A229,8)="PAYMENT-",LEFT(A229,7)="DEPLOY-"),"External","Core")</f>
        <v>External</v>
      </c>
    </row>
    <row r="230" customFormat="false" ht="15" hidden="false" customHeight="false" outlineLevel="0" collapsed="false">
      <c r="A230" s="243" t="s">
        <v>2061</v>
      </c>
      <c r="B230" s="243" t="s">
        <v>2023</v>
      </c>
      <c r="C230" s="272" t="s">
        <v>55</v>
      </c>
      <c r="D230" s="243" t="s">
        <v>2062</v>
      </c>
      <c r="E230" s="243" t="s">
        <v>2063</v>
      </c>
      <c r="F230" s="243" t="s">
        <v>4</v>
      </c>
      <c r="G230" s="243" t="s">
        <v>2064</v>
      </c>
      <c r="H230" s="243" t="s">
        <v>4</v>
      </c>
      <c r="I230" s="243" t="s">
        <v>2065</v>
      </c>
      <c r="J230" s="243" t="s">
        <v>2066</v>
      </c>
      <c r="K230" s="243" t="s">
        <v>2057</v>
      </c>
      <c r="L230" s="243" t="s">
        <v>1</v>
      </c>
      <c r="M230" s="243" t="s">
        <v>1</v>
      </c>
      <c r="N230" s="243" t="s">
        <v>1</v>
      </c>
      <c r="O230" s="243" t="s">
        <v>2067</v>
      </c>
      <c r="P230" s="243" t="s">
        <v>2068</v>
      </c>
      <c r="Q230" s="243" t="s">
        <v>1</v>
      </c>
      <c r="R230" s="243" t="s">
        <v>2069</v>
      </c>
      <c r="S230" s="243" t="s">
        <v>107</v>
      </c>
      <c r="T230" s="146" t="str">
        <f>IF(OR(ISNUMBER(SEARCH("FAIL",K230&amp;" "&amp;Q230)),ISNUMBER(SEARCH("CLEAN RETEST REQUIRED",K230&amp;" "&amp;Q230))),"Failed",IF(OR(ISNUMBER(SEARCH("NOT RUN",K230&amp;" "&amp;Q230)),ISNUMBER(SEARCH("NOT IMPLEMENTED",K230&amp;" "&amp;Q230))),"Not started",IF(OR(ISNUMBER(SEARCH("PARTIAL",K230&amp;" "&amp;Q230)),ISNUMBER(SEARCH("PENDING",K230&amp;" "&amp;Q230)),ISNUMBER(SEARCH("IN PROGRESS",K230&amp;" "&amp;Q230)),ISNUMBER(SEARCH("OPEN",K230&amp;" "&amp;Q230)),ISNUMBER(SEARCH("RETEST REQUIRED",K230&amp;" "&amp;Q230)),ISNUMBER(SEARCH("IMPLEMENTATION UPDATED",K230&amp;" "&amp;Q230)),ISNUMBER(SEARCH("REQUIRED EVERY SESSION",K230&amp;" "&amp;Q230))),"Pending",IF(OR(Q230="PASS",ISNUMBER(SEARCH("PASS",K230&amp;" "&amp;Q230))),"Done","Pending"))))</f>
        <v>Pending</v>
      </c>
      <c r="U230" s="146" t="str">
        <f>IF(OR(C230="Admin optional",LEFT(A230,9)="OPERATOR-",LEFT(A230,8)="PAYMENT-",LEFT(A230,7)="DEPLOY-"),"External","Core")</f>
        <v>External</v>
      </c>
    </row>
    <row r="231" customFormat="false" ht="15" hidden="false" customHeight="false" outlineLevel="0" collapsed="false">
      <c r="A231" s="243" t="s">
        <v>2070</v>
      </c>
      <c r="B231" s="243" t="s">
        <v>2023</v>
      </c>
      <c r="C231" s="272" t="s">
        <v>55</v>
      </c>
      <c r="D231" s="243" t="s">
        <v>2024</v>
      </c>
      <c r="E231" s="243" t="s">
        <v>2071</v>
      </c>
      <c r="F231" s="243" t="s">
        <v>2072</v>
      </c>
      <c r="G231" s="243" t="s">
        <v>2073</v>
      </c>
      <c r="H231" s="243" t="s">
        <v>4</v>
      </c>
      <c r="I231" s="243" t="s">
        <v>2074</v>
      </c>
      <c r="J231" s="243" t="s">
        <v>2075</v>
      </c>
      <c r="K231" s="243" t="s">
        <v>138</v>
      </c>
      <c r="L231" s="243" t="s">
        <v>1</v>
      </c>
      <c r="M231" s="243" t="s">
        <v>1</v>
      </c>
      <c r="N231" s="243" t="s">
        <v>1</v>
      </c>
      <c r="O231" s="243" t="s">
        <v>2076</v>
      </c>
      <c r="P231" s="243" t="s">
        <v>2077</v>
      </c>
      <c r="Q231" s="243" t="s">
        <v>1</v>
      </c>
      <c r="R231" s="243" t="s">
        <v>2078</v>
      </c>
      <c r="S231" s="243" t="s">
        <v>401</v>
      </c>
      <c r="T231" s="146" t="str">
        <f>IF(OR(ISNUMBER(SEARCH("FAIL",K231&amp;" "&amp;Q231)),ISNUMBER(SEARCH("CLEAN RETEST REQUIRED",K231&amp;" "&amp;Q231))),"Failed",IF(OR(ISNUMBER(SEARCH("NOT RUN",K231&amp;" "&amp;Q231)),ISNUMBER(SEARCH("NOT IMPLEMENTED",K231&amp;" "&amp;Q231))),"Not started",IF(OR(ISNUMBER(SEARCH("PARTIAL",K231&amp;" "&amp;Q231)),ISNUMBER(SEARCH("PENDING",K231&amp;" "&amp;Q231)),ISNUMBER(SEARCH("IN PROGRESS",K231&amp;" "&amp;Q231)),ISNUMBER(SEARCH("OPEN",K231&amp;" "&amp;Q231)),ISNUMBER(SEARCH("RETEST REQUIRED",K231&amp;" "&amp;Q231)),ISNUMBER(SEARCH("IMPLEMENTATION UPDATED",K231&amp;" "&amp;Q231)),ISNUMBER(SEARCH("REQUIRED EVERY SESSION",K231&amp;" "&amp;Q231))),"Pending",IF(OR(Q231="PASS",ISNUMBER(SEARCH("PASS",K231&amp;" "&amp;Q231))),"Done","Pending"))))</f>
        <v>Not started</v>
      </c>
      <c r="U231" s="146" t="str">
        <f>IF(OR(C231="Admin optional",LEFT(A231,9)="OPERATOR-",LEFT(A231,8)="PAYMENT-",LEFT(A231,7)="DEPLOY-"),"External","Core")</f>
        <v>External</v>
      </c>
    </row>
    <row r="232" customFormat="false" ht="15" hidden="false" customHeight="false" outlineLevel="0" collapsed="false">
      <c r="A232" s="243" t="s">
        <v>2079</v>
      </c>
      <c r="B232" s="243" t="s">
        <v>2023</v>
      </c>
      <c r="C232" s="272" t="s">
        <v>55</v>
      </c>
      <c r="D232" s="243" t="s">
        <v>2080</v>
      </c>
      <c r="E232" s="243" t="s">
        <v>2081</v>
      </c>
      <c r="F232" s="243" t="s">
        <v>4</v>
      </c>
      <c r="G232" s="243" t="s">
        <v>2082</v>
      </c>
      <c r="H232" s="243" t="s">
        <v>4</v>
      </c>
      <c r="I232" s="243" t="s">
        <v>4</v>
      </c>
      <c r="J232" s="243" t="s">
        <v>2083</v>
      </c>
      <c r="K232" s="243" t="s">
        <v>1967</v>
      </c>
      <c r="L232" s="243" t="s">
        <v>1</v>
      </c>
      <c r="M232" s="243" t="s">
        <v>1</v>
      </c>
      <c r="N232" s="243" t="s">
        <v>1</v>
      </c>
      <c r="O232" s="243" t="s">
        <v>2084</v>
      </c>
      <c r="P232" s="243" t="s">
        <v>2085</v>
      </c>
      <c r="Q232" s="243" t="s">
        <v>1</v>
      </c>
      <c r="R232" s="243" t="s">
        <v>2086</v>
      </c>
      <c r="S232" s="243" t="s">
        <v>133</v>
      </c>
      <c r="T232" s="146" t="str">
        <f>IF(OR(ISNUMBER(SEARCH("FAIL",K232&amp;" "&amp;Q232)),ISNUMBER(SEARCH("CLEAN RETEST REQUIRED",K232&amp;" "&amp;Q232))),"Failed",IF(OR(ISNUMBER(SEARCH("NOT RUN",K232&amp;" "&amp;Q232)),ISNUMBER(SEARCH("NOT IMPLEMENTED",K232&amp;" "&amp;Q232))),"Not started",IF(OR(ISNUMBER(SEARCH("PARTIAL",K232&amp;" "&amp;Q232)),ISNUMBER(SEARCH("PENDING",K232&amp;" "&amp;Q232)),ISNUMBER(SEARCH("IN PROGRESS",K232&amp;" "&amp;Q232)),ISNUMBER(SEARCH("OPEN",K232&amp;" "&amp;Q232)),ISNUMBER(SEARCH("RETEST REQUIRED",K232&amp;" "&amp;Q232)),ISNUMBER(SEARCH("IMPLEMENTATION UPDATED",K232&amp;" "&amp;Q232)),ISNUMBER(SEARCH("REQUIRED EVERY SESSION",K232&amp;" "&amp;Q232))),"Pending",IF(OR(Q232="PASS",ISNUMBER(SEARCH("PASS",K232&amp;" "&amp;Q232))),"Done","Pending"))))</f>
        <v>Not started</v>
      </c>
      <c r="U232" s="146" t="str">
        <f>IF(OR(C232="Admin optional",LEFT(A232,9)="OPERATOR-",LEFT(A232,8)="PAYMENT-",LEFT(A232,7)="DEPLOY-"),"External","Core")</f>
        <v>External</v>
      </c>
    </row>
    <row r="233" customFormat="false" ht="15" hidden="false" customHeight="false" outlineLevel="0" collapsed="false">
      <c r="A233" s="243" t="s">
        <v>2087</v>
      </c>
      <c r="B233" s="243" t="s">
        <v>2023</v>
      </c>
      <c r="C233" s="272" t="s">
        <v>55</v>
      </c>
      <c r="D233" s="243" t="s">
        <v>2088</v>
      </c>
      <c r="E233" s="243" t="s">
        <v>2089</v>
      </c>
      <c r="F233" s="243" t="s">
        <v>4</v>
      </c>
      <c r="G233" s="243" t="s">
        <v>2090</v>
      </c>
      <c r="H233" s="243" t="s">
        <v>4</v>
      </c>
      <c r="I233" s="243" t="s">
        <v>4</v>
      </c>
      <c r="J233" s="243" t="s">
        <v>2091</v>
      </c>
      <c r="K233" s="243" t="s">
        <v>1967</v>
      </c>
      <c r="L233" s="243" t="s">
        <v>1</v>
      </c>
      <c r="M233" s="243" t="s">
        <v>1</v>
      </c>
      <c r="N233" s="243" t="s">
        <v>1</v>
      </c>
      <c r="O233" s="243" t="s">
        <v>2092</v>
      </c>
      <c r="P233" s="243" t="s">
        <v>2093</v>
      </c>
      <c r="Q233" s="243" t="s">
        <v>1</v>
      </c>
      <c r="R233" s="243" t="s">
        <v>2094</v>
      </c>
      <c r="S233" s="243" t="s">
        <v>107</v>
      </c>
      <c r="T233" s="146" t="str">
        <f>IF(OR(ISNUMBER(SEARCH("FAIL",K233&amp;" "&amp;Q233)),ISNUMBER(SEARCH("CLEAN RETEST REQUIRED",K233&amp;" "&amp;Q233))),"Failed",IF(OR(ISNUMBER(SEARCH("NOT RUN",K233&amp;" "&amp;Q233)),ISNUMBER(SEARCH("NOT IMPLEMENTED",K233&amp;" "&amp;Q233))),"Not started",IF(OR(ISNUMBER(SEARCH("PARTIAL",K233&amp;" "&amp;Q233)),ISNUMBER(SEARCH("PENDING",K233&amp;" "&amp;Q233)),ISNUMBER(SEARCH("IN PROGRESS",K233&amp;" "&amp;Q233)),ISNUMBER(SEARCH("OPEN",K233&amp;" "&amp;Q233)),ISNUMBER(SEARCH("RETEST REQUIRED",K233&amp;" "&amp;Q233)),ISNUMBER(SEARCH("IMPLEMENTATION UPDATED",K233&amp;" "&amp;Q233)),ISNUMBER(SEARCH("REQUIRED EVERY SESSION",K233&amp;" "&amp;Q233))),"Pending",IF(OR(Q233="PASS",ISNUMBER(SEARCH("PASS",K233&amp;" "&amp;Q233))),"Done","Pending"))))</f>
        <v>Not started</v>
      </c>
      <c r="U233" s="146" t="str">
        <f>IF(OR(C233="Admin optional",LEFT(A233,9)="OPERATOR-",LEFT(A233,8)="PAYMENT-",LEFT(A233,7)="DEPLOY-"),"External","Core")</f>
        <v>External</v>
      </c>
    </row>
    <row r="234" customFormat="false" ht="15" hidden="false" customHeight="false" outlineLevel="0" collapsed="false">
      <c r="A234" s="243" t="s">
        <v>2095</v>
      </c>
      <c r="B234" s="243" t="s">
        <v>2023</v>
      </c>
      <c r="C234" s="272" t="s">
        <v>55</v>
      </c>
      <c r="D234" s="243" t="s">
        <v>2096</v>
      </c>
      <c r="E234" s="243" t="s">
        <v>2097</v>
      </c>
      <c r="F234" s="243" t="s">
        <v>4</v>
      </c>
      <c r="G234" s="243" t="s">
        <v>2098</v>
      </c>
      <c r="H234" s="243" t="s">
        <v>4</v>
      </c>
      <c r="I234" s="243" t="s">
        <v>2099</v>
      </c>
      <c r="J234" s="243" t="s">
        <v>2100</v>
      </c>
      <c r="K234" s="243" t="s">
        <v>1967</v>
      </c>
      <c r="L234" s="243" t="s">
        <v>1</v>
      </c>
      <c r="M234" s="243" t="s">
        <v>1</v>
      </c>
      <c r="N234" s="243" t="s">
        <v>1</v>
      </c>
      <c r="O234" s="243" t="s">
        <v>2101</v>
      </c>
      <c r="P234" s="243" t="s">
        <v>2102</v>
      </c>
      <c r="Q234" s="243" t="s">
        <v>1</v>
      </c>
      <c r="R234" s="243" t="s">
        <v>2103</v>
      </c>
      <c r="S234" s="243" t="s">
        <v>107</v>
      </c>
      <c r="T234" s="146" t="str">
        <f>IF(OR(ISNUMBER(SEARCH("FAIL",K234&amp;" "&amp;Q234)),ISNUMBER(SEARCH("CLEAN RETEST REQUIRED",K234&amp;" "&amp;Q234))),"Failed",IF(OR(ISNUMBER(SEARCH("NOT RUN",K234&amp;" "&amp;Q234)),ISNUMBER(SEARCH("NOT IMPLEMENTED",K234&amp;" "&amp;Q234))),"Not started",IF(OR(ISNUMBER(SEARCH("PARTIAL",K234&amp;" "&amp;Q234)),ISNUMBER(SEARCH("PENDING",K234&amp;" "&amp;Q234)),ISNUMBER(SEARCH("IN PROGRESS",K234&amp;" "&amp;Q234)),ISNUMBER(SEARCH("OPEN",K234&amp;" "&amp;Q234)),ISNUMBER(SEARCH("RETEST REQUIRED",K234&amp;" "&amp;Q234)),ISNUMBER(SEARCH("IMPLEMENTATION UPDATED",K234&amp;" "&amp;Q234)),ISNUMBER(SEARCH("REQUIRED EVERY SESSION",K234&amp;" "&amp;Q234))),"Pending",IF(OR(Q234="PASS",ISNUMBER(SEARCH("PASS",K234&amp;" "&amp;Q234))),"Done","Pending"))))</f>
        <v>Not started</v>
      </c>
      <c r="U234" s="146" t="str">
        <f>IF(OR(C234="Admin optional",LEFT(A234,9)="OPERATOR-",LEFT(A234,8)="PAYMENT-",LEFT(A234,7)="DEPLOY-"),"External","Core")</f>
        <v>External</v>
      </c>
    </row>
    <row r="235" customFormat="false" ht="15" hidden="false" customHeight="false" outlineLevel="0" collapsed="false">
      <c r="A235" s="243" t="s">
        <v>2104</v>
      </c>
      <c r="B235" s="243" t="s">
        <v>1860</v>
      </c>
      <c r="C235" s="273" t="s">
        <v>64</v>
      </c>
      <c r="D235" s="243" t="s">
        <v>2105</v>
      </c>
      <c r="E235" s="243" t="s">
        <v>2106</v>
      </c>
      <c r="F235" s="243" t="s">
        <v>4</v>
      </c>
      <c r="G235" s="243" t="s">
        <v>4</v>
      </c>
      <c r="H235" s="243" t="s">
        <v>4</v>
      </c>
      <c r="I235" s="243" t="s">
        <v>4</v>
      </c>
      <c r="J235" s="243" t="s">
        <v>2107</v>
      </c>
      <c r="K235" s="243" t="s">
        <v>138</v>
      </c>
      <c r="L235" s="243" t="s">
        <v>1</v>
      </c>
      <c r="M235" s="243" t="s">
        <v>1</v>
      </c>
      <c r="N235" s="243" t="s">
        <v>1</v>
      </c>
      <c r="O235" s="243" t="s">
        <v>2108</v>
      </c>
      <c r="P235" s="243" t="s">
        <v>2109</v>
      </c>
      <c r="Q235" s="243" t="s">
        <v>1</v>
      </c>
      <c r="R235" s="243" t="s">
        <v>2110</v>
      </c>
      <c r="S235" s="243" t="s">
        <v>107</v>
      </c>
      <c r="T235" s="146" t="str">
        <f>IF(OR(ISNUMBER(SEARCH("FAIL",K235&amp;" "&amp;Q235)),ISNUMBER(SEARCH("CLEAN RETEST REQUIRED",K235&amp;" "&amp;Q235))),"Failed",IF(OR(ISNUMBER(SEARCH("NOT RUN",K235&amp;" "&amp;Q235)),ISNUMBER(SEARCH("NOT IMPLEMENTED",K235&amp;" "&amp;Q235))),"Not started",IF(OR(ISNUMBER(SEARCH("PARTIAL",K235&amp;" "&amp;Q235)),ISNUMBER(SEARCH("PENDING",K235&amp;" "&amp;Q235)),ISNUMBER(SEARCH("IN PROGRESS",K235&amp;" "&amp;Q235)),ISNUMBER(SEARCH("OPEN",K235&amp;" "&amp;Q235)),ISNUMBER(SEARCH("RETEST REQUIRED",K235&amp;" "&amp;Q235)),ISNUMBER(SEARCH("IMPLEMENTATION UPDATED",K235&amp;" "&amp;Q235)),ISNUMBER(SEARCH("REQUIRED EVERY SESSION",K235&amp;" "&amp;Q235))),"Pending",IF(OR(Q235="PASS",ISNUMBER(SEARCH("PASS",K235&amp;" "&amp;Q235))),"Done","Pending"))))</f>
        <v>Not started</v>
      </c>
      <c r="U235" s="146" t="str">
        <f>IF(OR(C235="Admin optional",LEFT(A235,9)="OPERATOR-",LEFT(A235,8)="PAYMENT-",LEFT(A235,7)="DEPLOY-"),"External","Core")</f>
        <v>External</v>
      </c>
    </row>
    <row r="236" customFormat="false" ht="15" hidden="false" customHeight="false" outlineLevel="0" collapsed="false">
      <c r="A236" s="243" t="s">
        <v>2111</v>
      </c>
      <c r="B236" s="243" t="s">
        <v>1860</v>
      </c>
      <c r="C236" s="273" t="s">
        <v>64</v>
      </c>
      <c r="D236" s="243" t="s">
        <v>2112</v>
      </c>
      <c r="E236" s="243" t="s">
        <v>2113</v>
      </c>
      <c r="F236" s="243" t="s">
        <v>4</v>
      </c>
      <c r="G236" s="243" t="s">
        <v>2114</v>
      </c>
      <c r="H236" s="243" t="s">
        <v>4</v>
      </c>
      <c r="I236" s="243" t="s">
        <v>2115</v>
      </c>
      <c r="J236" s="243" t="s">
        <v>2116</v>
      </c>
      <c r="K236" s="243" t="s">
        <v>138</v>
      </c>
      <c r="L236" s="243" t="s">
        <v>1</v>
      </c>
      <c r="M236" s="243" t="s">
        <v>1</v>
      </c>
      <c r="N236" s="243" t="s">
        <v>1</v>
      </c>
      <c r="O236" s="243" t="s">
        <v>2117</v>
      </c>
      <c r="P236" s="243" t="s">
        <v>2118</v>
      </c>
      <c r="Q236" s="243" t="s">
        <v>1</v>
      </c>
      <c r="R236" s="243" t="s">
        <v>2119</v>
      </c>
      <c r="S236" s="243" t="s">
        <v>107</v>
      </c>
      <c r="T236" s="146" t="str">
        <f>IF(OR(ISNUMBER(SEARCH("FAIL",K236&amp;" "&amp;Q236)),ISNUMBER(SEARCH("CLEAN RETEST REQUIRED",K236&amp;" "&amp;Q236))),"Failed",IF(OR(ISNUMBER(SEARCH("NOT RUN",K236&amp;" "&amp;Q236)),ISNUMBER(SEARCH("NOT IMPLEMENTED",K236&amp;" "&amp;Q236))),"Not started",IF(OR(ISNUMBER(SEARCH("PARTIAL",K236&amp;" "&amp;Q236)),ISNUMBER(SEARCH("PENDING",K236&amp;" "&amp;Q236)),ISNUMBER(SEARCH("IN PROGRESS",K236&amp;" "&amp;Q236)),ISNUMBER(SEARCH("OPEN",K236&amp;" "&amp;Q236)),ISNUMBER(SEARCH("RETEST REQUIRED",K236&amp;" "&amp;Q236)),ISNUMBER(SEARCH("IMPLEMENTATION UPDATED",K236&amp;" "&amp;Q236)),ISNUMBER(SEARCH("REQUIRED EVERY SESSION",K236&amp;" "&amp;Q236))),"Pending",IF(OR(Q236="PASS",ISNUMBER(SEARCH("PASS",K236&amp;" "&amp;Q236))),"Done","Pending"))))</f>
        <v>Not started</v>
      </c>
      <c r="U236" s="146" t="str">
        <f>IF(OR(C236="Admin optional",LEFT(A236,9)="OPERATOR-",LEFT(A236,8)="PAYMENT-",LEFT(A236,7)="DEPLOY-"),"External","Core")</f>
        <v>External</v>
      </c>
    </row>
    <row r="237" customFormat="false" ht="15" hidden="false" customHeight="false" outlineLevel="0" collapsed="false">
      <c r="A237" s="243" t="s">
        <v>2120</v>
      </c>
      <c r="B237" s="243" t="s">
        <v>1860</v>
      </c>
      <c r="C237" s="273" t="s">
        <v>64</v>
      </c>
      <c r="D237" s="243" t="s">
        <v>2121</v>
      </c>
      <c r="E237" s="243" t="s">
        <v>2122</v>
      </c>
      <c r="F237" s="243" t="s">
        <v>4</v>
      </c>
      <c r="G237" s="243" t="s">
        <v>2123</v>
      </c>
      <c r="H237" s="243" t="s">
        <v>4</v>
      </c>
      <c r="I237" s="243" t="s">
        <v>2124</v>
      </c>
      <c r="J237" s="243" t="s">
        <v>2125</v>
      </c>
      <c r="K237" s="243" t="s">
        <v>138</v>
      </c>
      <c r="L237" s="243" t="s">
        <v>1</v>
      </c>
      <c r="M237" s="243" t="s">
        <v>1</v>
      </c>
      <c r="N237" s="243" t="s">
        <v>1</v>
      </c>
      <c r="O237" s="243" t="s">
        <v>2126</v>
      </c>
      <c r="P237" s="243" t="s">
        <v>2127</v>
      </c>
      <c r="Q237" s="243" t="s">
        <v>1</v>
      </c>
      <c r="R237" s="243" t="s">
        <v>2128</v>
      </c>
      <c r="S237" s="243" t="s">
        <v>107</v>
      </c>
      <c r="T237" s="146" t="str">
        <f>IF(OR(ISNUMBER(SEARCH("FAIL",K237&amp;" "&amp;Q237)),ISNUMBER(SEARCH("CLEAN RETEST REQUIRED",K237&amp;" "&amp;Q237))),"Failed",IF(OR(ISNUMBER(SEARCH("NOT RUN",K237&amp;" "&amp;Q237)),ISNUMBER(SEARCH("NOT IMPLEMENTED",K237&amp;" "&amp;Q237))),"Not started",IF(OR(ISNUMBER(SEARCH("PARTIAL",K237&amp;" "&amp;Q237)),ISNUMBER(SEARCH("PENDING",K237&amp;" "&amp;Q237)),ISNUMBER(SEARCH("IN PROGRESS",K237&amp;" "&amp;Q237)),ISNUMBER(SEARCH("OPEN",K237&amp;" "&amp;Q237)),ISNUMBER(SEARCH("RETEST REQUIRED",K237&amp;" "&amp;Q237)),ISNUMBER(SEARCH("IMPLEMENTATION UPDATED",K237&amp;" "&amp;Q237)),ISNUMBER(SEARCH("REQUIRED EVERY SESSION",K237&amp;" "&amp;Q237))),"Pending",IF(OR(Q237="PASS",ISNUMBER(SEARCH("PASS",K237&amp;" "&amp;Q237))),"Done","Pending"))))</f>
        <v>Not started</v>
      </c>
      <c r="U237" s="146" t="str">
        <f>IF(OR(C237="Admin optional",LEFT(A237,9)="OPERATOR-",LEFT(A237,8)="PAYMENT-",LEFT(A237,7)="DEPLOY-"),"External","Core")</f>
        <v>External</v>
      </c>
    </row>
    <row r="238" customFormat="false" ht="15" hidden="false" customHeight="false" outlineLevel="0" collapsed="false">
      <c r="A238" s="243" t="s">
        <v>2129</v>
      </c>
      <c r="B238" s="243" t="s">
        <v>1860</v>
      </c>
      <c r="C238" s="273" t="s">
        <v>64</v>
      </c>
      <c r="D238" s="243" t="s">
        <v>2130</v>
      </c>
      <c r="E238" s="243" t="s">
        <v>2131</v>
      </c>
      <c r="F238" s="243" t="s">
        <v>2132</v>
      </c>
      <c r="G238" s="243" t="s">
        <v>2133</v>
      </c>
      <c r="H238" s="243" t="s">
        <v>4</v>
      </c>
      <c r="I238" s="243" t="s">
        <v>2134</v>
      </c>
      <c r="J238" s="243" t="s">
        <v>2135</v>
      </c>
      <c r="K238" s="243" t="s">
        <v>138</v>
      </c>
      <c r="L238" s="243" t="s">
        <v>1</v>
      </c>
      <c r="M238" s="243" t="s">
        <v>1</v>
      </c>
      <c r="N238" s="243" t="s">
        <v>1</v>
      </c>
      <c r="O238" s="243" t="s">
        <v>2136</v>
      </c>
      <c r="P238" s="243" t="s">
        <v>2137</v>
      </c>
      <c r="Q238" s="243" t="s">
        <v>1</v>
      </c>
      <c r="R238" s="243" t="s">
        <v>2138</v>
      </c>
      <c r="S238" s="243" t="s">
        <v>107</v>
      </c>
      <c r="T238" s="146" t="str">
        <f>IF(OR(ISNUMBER(SEARCH("FAIL",K238&amp;" "&amp;Q238)),ISNUMBER(SEARCH("CLEAN RETEST REQUIRED",K238&amp;" "&amp;Q238))),"Failed",IF(OR(ISNUMBER(SEARCH("NOT RUN",K238&amp;" "&amp;Q238)),ISNUMBER(SEARCH("NOT IMPLEMENTED",K238&amp;" "&amp;Q238))),"Not started",IF(OR(ISNUMBER(SEARCH("PARTIAL",K238&amp;" "&amp;Q238)),ISNUMBER(SEARCH("PENDING",K238&amp;" "&amp;Q238)),ISNUMBER(SEARCH("IN PROGRESS",K238&amp;" "&amp;Q238)),ISNUMBER(SEARCH("OPEN",K238&amp;" "&amp;Q238)),ISNUMBER(SEARCH("RETEST REQUIRED",K238&amp;" "&amp;Q238)),ISNUMBER(SEARCH("IMPLEMENTATION UPDATED",K238&amp;" "&amp;Q238)),ISNUMBER(SEARCH("REQUIRED EVERY SESSION",K238&amp;" "&amp;Q238))),"Pending",IF(OR(Q238="PASS",ISNUMBER(SEARCH("PASS",K238&amp;" "&amp;Q238))),"Done","Pending"))))</f>
        <v>Not started</v>
      </c>
      <c r="U238" s="146" t="str">
        <f>IF(OR(C238="Admin optional",LEFT(A238,9)="OPERATOR-",LEFT(A238,8)="PAYMENT-",LEFT(A238,7)="DEPLOY-"),"External","Core")</f>
        <v>External</v>
      </c>
    </row>
    <row r="239" customFormat="false" ht="15" hidden="false" customHeight="false" outlineLevel="0" collapsed="false">
      <c r="A239" s="243" t="s">
        <v>2139</v>
      </c>
      <c r="B239" s="243" t="s">
        <v>1860</v>
      </c>
      <c r="C239" s="273" t="s">
        <v>64</v>
      </c>
      <c r="D239" s="243" t="s">
        <v>2140</v>
      </c>
      <c r="E239" s="243" t="s">
        <v>2141</v>
      </c>
      <c r="F239" s="243" t="s">
        <v>4</v>
      </c>
      <c r="G239" s="243" t="s">
        <v>2142</v>
      </c>
      <c r="H239" s="243" t="s">
        <v>4</v>
      </c>
      <c r="I239" s="243" t="s">
        <v>4</v>
      </c>
      <c r="J239" s="243" t="s">
        <v>2143</v>
      </c>
      <c r="K239" s="243" t="s">
        <v>138</v>
      </c>
      <c r="L239" s="243" t="s">
        <v>1</v>
      </c>
      <c r="M239" s="243" t="s">
        <v>1</v>
      </c>
      <c r="N239" s="243" t="s">
        <v>1</v>
      </c>
      <c r="O239" s="243" t="s">
        <v>2144</v>
      </c>
      <c r="P239" s="243" t="s">
        <v>2145</v>
      </c>
      <c r="Q239" s="243" t="s">
        <v>1</v>
      </c>
      <c r="R239" s="243" t="s">
        <v>2146</v>
      </c>
      <c r="S239" s="243" t="s">
        <v>107</v>
      </c>
      <c r="T239" s="146" t="str">
        <f>IF(OR(ISNUMBER(SEARCH("FAIL",K239&amp;" "&amp;Q239)),ISNUMBER(SEARCH("CLEAN RETEST REQUIRED",K239&amp;" "&amp;Q239))),"Failed",IF(OR(ISNUMBER(SEARCH("NOT RUN",K239&amp;" "&amp;Q239)),ISNUMBER(SEARCH("NOT IMPLEMENTED",K239&amp;" "&amp;Q239))),"Not started",IF(OR(ISNUMBER(SEARCH("PARTIAL",K239&amp;" "&amp;Q239)),ISNUMBER(SEARCH("PENDING",K239&amp;" "&amp;Q239)),ISNUMBER(SEARCH("IN PROGRESS",K239&amp;" "&amp;Q239)),ISNUMBER(SEARCH("OPEN",K239&amp;" "&amp;Q239)),ISNUMBER(SEARCH("RETEST REQUIRED",K239&amp;" "&amp;Q239)),ISNUMBER(SEARCH("IMPLEMENTATION UPDATED",K239&amp;" "&amp;Q239)),ISNUMBER(SEARCH("REQUIRED EVERY SESSION",K239&amp;" "&amp;Q239))),"Pending",IF(OR(Q239="PASS",ISNUMBER(SEARCH("PASS",K239&amp;" "&amp;Q239))),"Done","Pending"))))</f>
        <v>Not started</v>
      </c>
      <c r="U239" s="146" t="str">
        <f>IF(OR(C239="Admin optional",LEFT(A239,9)="OPERATOR-",LEFT(A239,8)="PAYMENT-",LEFT(A239,7)="DEPLOY-"),"External","Core")</f>
        <v>External</v>
      </c>
    </row>
    <row r="240" customFormat="false" ht="15" hidden="false" customHeight="false" outlineLevel="0" collapsed="false">
      <c r="A240" s="243" t="s">
        <v>2147</v>
      </c>
      <c r="B240" s="243" t="s">
        <v>1860</v>
      </c>
      <c r="C240" s="273" t="s">
        <v>64</v>
      </c>
      <c r="D240" s="243" t="s">
        <v>2148</v>
      </c>
      <c r="E240" s="243" t="s">
        <v>2149</v>
      </c>
      <c r="F240" s="243" t="s">
        <v>4</v>
      </c>
      <c r="G240" s="243" t="s">
        <v>2150</v>
      </c>
      <c r="H240" s="243" t="s">
        <v>4</v>
      </c>
      <c r="I240" s="243" t="s">
        <v>2151</v>
      </c>
      <c r="J240" s="243" t="s">
        <v>2152</v>
      </c>
      <c r="K240" s="243" t="s">
        <v>138</v>
      </c>
      <c r="L240" s="243" t="s">
        <v>1</v>
      </c>
      <c r="M240" s="243" t="s">
        <v>1</v>
      </c>
      <c r="N240" s="243" t="s">
        <v>1</v>
      </c>
      <c r="O240" s="243" t="s">
        <v>2153</v>
      </c>
      <c r="P240" s="243" t="s">
        <v>2154</v>
      </c>
      <c r="Q240" s="243" t="s">
        <v>1</v>
      </c>
      <c r="R240" s="243" t="s">
        <v>2155</v>
      </c>
      <c r="S240" s="243" t="s">
        <v>107</v>
      </c>
      <c r="T240" s="146" t="str">
        <f>IF(OR(ISNUMBER(SEARCH("FAIL",K240&amp;" "&amp;Q240)),ISNUMBER(SEARCH("CLEAN RETEST REQUIRED",K240&amp;" "&amp;Q240))),"Failed",IF(OR(ISNUMBER(SEARCH("NOT RUN",K240&amp;" "&amp;Q240)),ISNUMBER(SEARCH("NOT IMPLEMENTED",K240&amp;" "&amp;Q240))),"Not started",IF(OR(ISNUMBER(SEARCH("PARTIAL",K240&amp;" "&amp;Q240)),ISNUMBER(SEARCH("PENDING",K240&amp;" "&amp;Q240)),ISNUMBER(SEARCH("IN PROGRESS",K240&amp;" "&amp;Q240)),ISNUMBER(SEARCH("OPEN",K240&amp;" "&amp;Q240)),ISNUMBER(SEARCH("RETEST REQUIRED",K240&amp;" "&amp;Q240)),ISNUMBER(SEARCH("IMPLEMENTATION UPDATED",K240&amp;" "&amp;Q240)),ISNUMBER(SEARCH("REQUIRED EVERY SESSION",K240&amp;" "&amp;Q240))),"Pending",IF(OR(Q240="PASS",ISNUMBER(SEARCH("PASS",K240&amp;" "&amp;Q240))),"Done","Pending"))))</f>
        <v>Not started</v>
      </c>
      <c r="U240" s="146" t="str">
        <f>IF(OR(C240="Admin optional",LEFT(A240,9)="OPERATOR-",LEFT(A240,8)="PAYMENT-",LEFT(A240,7)="DEPLOY-"),"External","Core")</f>
        <v>External</v>
      </c>
    </row>
    <row r="241" customFormat="false" ht="15" hidden="false" customHeight="false" outlineLevel="0" collapsed="false">
      <c r="A241" s="243" t="s">
        <v>2156</v>
      </c>
      <c r="B241" s="243" t="s">
        <v>1860</v>
      </c>
      <c r="C241" s="273" t="s">
        <v>64</v>
      </c>
      <c r="D241" s="243" t="s">
        <v>2157</v>
      </c>
      <c r="E241" s="243" t="s">
        <v>2158</v>
      </c>
      <c r="F241" s="243" t="s">
        <v>4</v>
      </c>
      <c r="G241" s="243" t="s">
        <v>2159</v>
      </c>
      <c r="H241" s="243" t="s">
        <v>4</v>
      </c>
      <c r="I241" s="243" t="s">
        <v>2160</v>
      </c>
      <c r="J241" s="243" t="s">
        <v>2161</v>
      </c>
      <c r="K241" s="243" t="s">
        <v>138</v>
      </c>
      <c r="L241" s="243" t="s">
        <v>1</v>
      </c>
      <c r="M241" s="243" t="s">
        <v>1</v>
      </c>
      <c r="N241" s="243" t="s">
        <v>1</v>
      </c>
      <c r="O241" s="243" t="s">
        <v>2162</v>
      </c>
      <c r="P241" s="243" t="s">
        <v>2163</v>
      </c>
      <c r="Q241" s="243" t="s">
        <v>1</v>
      </c>
      <c r="R241" s="243" t="s">
        <v>2164</v>
      </c>
      <c r="S241" s="243" t="s">
        <v>107</v>
      </c>
      <c r="T241" s="146" t="str">
        <f>IF(OR(ISNUMBER(SEARCH("FAIL",K241&amp;" "&amp;Q241)),ISNUMBER(SEARCH("CLEAN RETEST REQUIRED",K241&amp;" "&amp;Q241))),"Failed",IF(OR(ISNUMBER(SEARCH("NOT RUN",K241&amp;" "&amp;Q241)),ISNUMBER(SEARCH("NOT IMPLEMENTED",K241&amp;" "&amp;Q241))),"Not started",IF(OR(ISNUMBER(SEARCH("PARTIAL",K241&amp;" "&amp;Q241)),ISNUMBER(SEARCH("PENDING",K241&amp;" "&amp;Q241)),ISNUMBER(SEARCH("IN PROGRESS",K241&amp;" "&amp;Q241)),ISNUMBER(SEARCH("OPEN",K241&amp;" "&amp;Q241)),ISNUMBER(SEARCH("RETEST REQUIRED",K241&amp;" "&amp;Q241)),ISNUMBER(SEARCH("IMPLEMENTATION UPDATED",K241&amp;" "&amp;Q241)),ISNUMBER(SEARCH("REQUIRED EVERY SESSION",K241&amp;" "&amp;Q241))),"Pending",IF(OR(Q241="PASS",ISNUMBER(SEARCH("PASS",K241&amp;" "&amp;Q241))),"Done","Pending"))))</f>
        <v>Not started</v>
      </c>
      <c r="U241" s="146" t="str">
        <f>IF(OR(C241="Admin optional",LEFT(A241,9)="OPERATOR-",LEFT(A241,8)="PAYMENT-",LEFT(A241,7)="DEPLOY-"),"External","Core")</f>
        <v>External</v>
      </c>
    </row>
    <row r="242" customFormat="false" ht="15" hidden="false" customHeight="false" outlineLevel="0" collapsed="false">
      <c r="A242" s="243" t="s">
        <v>2165</v>
      </c>
      <c r="B242" s="243" t="s">
        <v>1860</v>
      </c>
      <c r="C242" s="273" t="s">
        <v>64</v>
      </c>
      <c r="D242" s="243" t="s">
        <v>2166</v>
      </c>
      <c r="E242" s="243" t="s">
        <v>2167</v>
      </c>
      <c r="F242" s="243" t="s">
        <v>4</v>
      </c>
      <c r="G242" s="243" t="s">
        <v>2168</v>
      </c>
      <c r="H242" s="243" t="s">
        <v>4</v>
      </c>
      <c r="I242" s="243" t="s">
        <v>4</v>
      </c>
      <c r="J242" s="243" t="s">
        <v>2169</v>
      </c>
      <c r="K242" s="243" t="s">
        <v>138</v>
      </c>
      <c r="L242" s="243" t="s">
        <v>1</v>
      </c>
      <c r="M242" s="243" t="s">
        <v>1</v>
      </c>
      <c r="N242" s="243" t="s">
        <v>1</v>
      </c>
      <c r="O242" s="243" t="s">
        <v>2170</v>
      </c>
      <c r="P242" s="243" t="s">
        <v>2171</v>
      </c>
      <c r="Q242" s="243" t="s">
        <v>1</v>
      </c>
      <c r="R242" s="243" t="s">
        <v>2172</v>
      </c>
      <c r="S242" s="243" t="s">
        <v>107</v>
      </c>
      <c r="T242" s="146" t="str">
        <f>IF(OR(ISNUMBER(SEARCH("FAIL",K242&amp;" "&amp;Q242)),ISNUMBER(SEARCH("CLEAN RETEST REQUIRED",K242&amp;" "&amp;Q242))),"Failed",IF(OR(ISNUMBER(SEARCH("NOT RUN",K242&amp;" "&amp;Q242)),ISNUMBER(SEARCH("NOT IMPLEMENTED",K242&amp;" "&amp;Q242))),"Not started",IF(OR(ISNUMBER(SEARCH("PARTIAL",K242&amp;" "&amp;Q242)),ISNUMBER(SEARCH("PENDING",K242&amp;" "&amp;Q242)),ISNUMBER(SEARCH("IN PROGRESS",K242&amp;" "&amp;Q242)),ISNUMBER(SEARCH("OPEN",K242&amp;" "&amp;Q242)),ISNUMBER(SEARCH("RETEST REQUIRED",K242&amp;" "&amp;Q242)),ISNUMBER(SEARCH("IMPLEMENTATION UPDATED",K242&amp;" "&amp;Q242)),ISNUMBER(SEARCH("REQUIRED EVERY SESSION",K242&amp;" "&amp;Q242))),"Pending",IF(OR(Q242="PASS",ISNUMBER(SEARCH("PASS",K242&amp;" "&amp;Q242))),"Done","Pending"))))</f>
        <v>Not started</v>
      </c>
      <c r="U242" s="146" t="str">
        <f>IF(OR(C242="Admin optional",LEFT(A242,9)="OPERATOR-",LEFT(A242,8)="PAYMENT-",LEFT(A242,7)="DEPLOY-"),"External","Core")</f>
        <v>External</v>
      </c>
    </row>
  </sheetData>
  <mergeCells count="40">
    <mergeCell ref="A1:B1"/>
    <mergeCell ref="A8:S8"/>
    <mergeCell ref="A9:B9"/>
    <mergeCell ref="D9:E9"/>
    <mergeCell ref="F9:G9"/>
    <mergeCell ref="I9:J9"/>
    <mergeCell ref="K9:L9"/>
    <mergeCell ref="N9:O9"/>
    <mergeCell ref="A10:B10"/>
    <mergeCell ref="D10:E10"/>
    <mergeCell ref="F10:G10"/>
    <mergeCell ref="I10:J10"/>
    <mergeCell ref="K10:L10"/>
    <mergeCell ref="N10:O10"/>
    <mergeCell ref="A11:B11"/>
    <mergeCell ref="D11:E11"/>
    <mergeCell ref="F11:G11"/>
    <mergeCell ref="I11:J11"/>
    <mergeCell ref="K11:L11"/>
    <mergeCell ref="N11:O11"/>
    <mergeCell ref="A12:B12"/>
    <mergeCell ref="D12:E12"/>
    <mergeCell ref="F12:G12"/>
    <mergeCell ref="I12:J12"/>
    <mergeCell ref="K12:L12"/>
    <mergeCell ref="N12:O12"/>
    <mergeCell ref="A13:B13"/>
    <mergeCell ref="D13:E13"/>
    <mergeCell ref="F13:G13"/>
    <mergeCell ref="I13:J13"/>
    <mergeCell ref="K13:L13"/>
    <mergeCell ref="N13:O13"/>
    <mergeCell ref="A14:B14"/>
    <mergeCell ref="D14:E14"/>
    <mergeCell ref="F14:G14"/>
    <mergeCell ref="I14:J14"/>
    <mergeCell ref="K14:L14"/>
    <mergeCell ref="N14:O14"/>
    <mergeCell ref="A15:S15"/>
    <mergeCell ref="L16:M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2026-08-06T13:01:43Z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