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<sst xmlns="http://schemas.openxmlformats.org/spreadsheetml/2006/main" count="4617" uniqueCount="2184">
  <si>
    <t>EFFECT / SCOPE MARKERS</t>
  </si>
  <si>
    <t/>
  </si>
  <si>
    <t>Done</t>
  </si>
  <si>
    <t>65 (50%)</t>
  </si>
  <si>
    <t>X</t>
  </si>
  <si>
    <t>No expected effect — An unchanged X cell is PASS</t>
  </si>
  <si>
    <t>Pending</t>
  </si>
  <si>
    <t>13</t>
  </si>
  <si>
    <t>DELTA</t>
  </si>
  <si>
    <t>Required direct effect — Record before/after count and direction</t>
  </si>
  <si>
    <t>Not started</t>
  </si>
  <si>
    <t>51</t>
  </si>
  <si>
    <t>INDIRECT</t>
  </si>
  <si>
    <t>Conditional effect — State the condition and prove it occurred</t>
  </si>
  <si>
    <t>Failed</t>
  </si>
  <si>
    <t>0</t>
  </si>
  <si>
    <t>GAP</t>
  </si>
  <si>
    <t>Known observability gap — Record FAIL/GAP separately from domain PASS</t>
  </si>
  <si>
    <t>Core</t>
  </si>
  <si>
    <t>129</t>
  </si>
  <si>
    <t>EXT</t>
  </si>
  <si>
    <t>Deferred minimum-launch qualification: Admin optional plus Operator, Payment, Registry or Deployment — Admin optional and IDs beginning OPERATOR-, PAYMENT- or DEPLOY- receive the external/optional color</t>
  </si>
  <si>
    <t>External / optional</t>
  </si>
  <si>
    <t>97</t>
  </si>
  <si>
    <t>Total</t>
  </si>
  <si>
    <t>226</t>
  </si>
  <si>
    <t>DOMAIN PRIORITY</t>
  </si>
  <si>
    <t>QA domain</t>
  </si>
  <si>
    <t>Priority</t>
  </si>
  <si>
    <t>Progress</t>
  </si>
  <si>
    <t>QA domain (EXT / optional)</t>
  </si>
  <si>
    <t>QA infrastructure</t>
  </si>
  <si>
    <t>14</t>
  </si>
  <si>
    <t>0 passed / 2 total (0%)</t>
  </si>
  <si>
    <t>Asset</t>
  </si>
  <si>
    <t>9</t>
  </si>
  <si>
    <t>0 passed / 9 total (0%)</t>
  </si>
  <si>
    <t>Admin optional</t>
  </si>
  <si>
    <t>4</t>
  </si>
  <si>
    <t>3 passed / 41 total (7%)</t>
  </si>
  <si>
    <t>Identity &amp; access</t>
  </si>
  <si>
    <t>5 passed / 14 total (36%)</t>
  </si>
  <si>
    <t>Content</t>
  </si>
  <si>
    <t>8</t>
  </si>
  <si>
    <t>2 passed / 2 total (100%)</t>
  </si>
  <si>
    <t>Operator</t>
  </si>
  <si>
    <t>3</t>
  </si>
  <si>
    <t>0 passed / 32 total (0%)</t>
  </si>
  <si>
    <t>Event</t>
  </si>
  <si>
    <t>12</t>
  </si>
  <si>
    <t>42 passed / 53 total (79%)</t>
  </si>
  <si>
    <t>Notifications</t>
  </si>
  <si>
    <t>7</t>
  </si>
  <si>
    <t>0 passed / 7 total (0%)</t>
  </si>
  <si>
    <t>Payment</t>
  </si>
  <si>
    <t>2</t>
  </si>
  <si>
    <t>0 passed / 16 total (0%)</t>
  </si>
  <si>
    <t>Tournament</t>
  </si>
  <si>
    <t>11</t>
  </si>
  <si>
    <t>15 passed / 15 total (100%)</t>
  </si>
  <si>
    <t>Client platform</t>
  </si>
  <si>
    <t>6</t>
  </si>
  <si>
    <t>0 passed / 5 total (0%)</t>
  </si>
  <si>
    <t>Deployment</t>
  </si>
  <si>
    <t>1</t>
  </si>
  <si>
    <t>0 passed / 8 total (0%)</t>
  </si>
  <si>
    <t>Chat</t>
  </si>
  <si>
    <t>10</t>
  </si>
  <si>
    <t>1 passed / 20 total (5%)</t>
  </si>
  <si>
    <t>Administration</t>
  </si>
  <si>
    <t>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</si>
  <si>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</si>
  <si>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</si>
  <si>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</si>
  <si>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</si>
  <si>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</si>
  <si>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</si>
  <si>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</si>
  <si>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</si>
  <si>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</si>
  <si>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</si>
  <si>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</si>
  <si>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</si>
  <si>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</si>
  <si>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</si>
  <si>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</si>
  <si>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</si>
  <si>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</si>
  <si>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</si>
  <si>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</si>
  <si>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</si>
  <si>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</si>
  <si>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</si>
  <si>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</si>
  <si>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</si>
  <si>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</si>
  <si>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</si>
  <si>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</si>
  <si>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</si>
  <si>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</si>
  <si>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</si>
  <si>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2026-08-04</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</si>
  <si>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</si>
  <si>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</si>
  <si>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</si>
  <si>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</si>
  <si>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</si>
  <si>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</si>
  <si>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</si>
  <si>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</si>
  <si>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</si>
  <si>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</si>
  <si>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</si>
  <si>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</si>
  <si>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</si>
  <si>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</si>
  <si>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</si>
  <si>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</si>
  <si>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</si>
  <si>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</si>
  <si>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</si>
  <si>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</si>
  <si>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</si>
  <si>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</si>
  <si>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</si>
  <si>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</si>
  <si>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</si>
  <si>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</si>
  <si>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</si>
  <si>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</si>
  <si>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PASS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</si>
  <si>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</si>
  <si>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</si>
  <si>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ENTRY-FIREBASE-REG-001</t>
  </si>
  <si>
    <t>Register and onboard one new verified Firebase identity</t>
  </si>
  <si>
    <t>DELTA one subject/user/profile link</t>
  </si>
  <si>
    <t>Reload/login reuses one user and cannot collide with demo or global identity</t>
  </si>
  <si>
    <t>DESIGN CAPTURED / NOT RUN</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</si>
  <si>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</si>
  <si>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</si>
  <si>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</si>
  <si>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</si>
  <si>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</si>
  <si>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</si>
  <si>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</si>
  <si>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</si>
  <si>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</si>
  <si>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</si>
  <si>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</si>
  <si>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</si>
  <si>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</si>
  <si>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</si>
  <si>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</si>
  <si>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</si>
  <si>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</si>
  <si>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</si>
  <si>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</si>
  <si>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</si>
  <si>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</si>
  <si>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</si>
  <si>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PASS / CLOSED</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</si>
  <si>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</si>
  <si>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</si>
  <si>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</si>
  <si>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</si>
  <si>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</si>
  <si>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</si>
  <si>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</si>
  <si>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</si>
  <si>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</si>
  <si>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</si>
  <si>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</si>
  <si>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</si>
  <si>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</si>
  <si>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</si>
  <si>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</si>
  <si>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</si>
  <si>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</si>
  <si>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</si>
  <si>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</si>
  <si>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</si>
  <si>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</si>
  <si>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</si>
  <si>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</si>
  <si>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</si>
  <si>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</si>
  <si>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</si>
  <si>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</si>
  <si>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</si>
  <si>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</si>
  <si>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</si>
  <si>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</si>
  <si>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</si>
  <si>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</si>
  <si>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</si>
  <si>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</si>
  <si>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</si>
  <si>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</si>
  <si>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</si>
  <si>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</si>
  <si>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</si>
  <si>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</si>
  <si>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</si>
  <si>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</si>
  <si>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</si>
  <si>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</si>
  <si>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</si>
  <si>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</si>
  <si>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</si>
  <si>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</si>
  <si>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</si>
  <si>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</si>
  <si>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</si>
  <si>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</si>
  <si>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</si>
  <si>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</si>
  <si>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</si>
  <si>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</si>
  <si>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</si>
  <si>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</si>
  <si>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</si>
  <si>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</si>
  <si>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</si>
  <si>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</si>
  <si>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</si>
  <si>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INDIRECT consumer/admin availability</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</si>
  <si>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</si>
  <si>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</si>
  <si>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</si>
  <si>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</si>
  <si>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</si>
  <si>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</si>
  <si>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</si>
  <si>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</si>
  <si>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</si>
  <si>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</si>
  <si>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</si>
  <si>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</si>
  <si>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</si>
  <si>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</si>
  <si>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</si>
  <si>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</si>
  <si>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</si>
  <si>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</si>
  <si>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</si>
  <si>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</si>
  <si>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</si>
  <si>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</si>
  <si>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</si>
  <si>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MANUAL FUNCTIONAL PASS</t>
  </si>
  <si>
    <t>2026-07-29</t>
  </si>
  <si>
    <t>Fixture/service/common lifecycle tests</t>
  </si>
  <si>
    <t>Capture graph totals and Monitoring delta</t>
  </si>
  <si>
    <t>PASS / PARTIAL</t>
  </si>
  <si>
    <t>Primary domain oracle passed</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</si>
  <si>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</si>
  <si>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</si>
  <si>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</si>
  <si>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</si>
  <si>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</si>
  <si>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</si>
  <si>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</si>
  <si>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</si>
  <si>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</si>
  <si>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</si>
  <si>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</si>
  <si>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</si>
  <si>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</si>
  <si>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</si>
  <si>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</si>
  <si>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</si>
  <si>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</si>
  <si>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</si>
  <si>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</si>
  <si>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</si>
  <si>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</si>
  <si>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</si>
  <si>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</si>
  <si>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</si>
  <si>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</si>
  <si>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</si>
  <si>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</si>
  <si>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</si>
  <si>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</si>
  <si>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</si>
  <si>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</si>
  <si>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</si>
  <si>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</si>
  <si>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</si>
  <si>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</si>
  <si>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</si>
  <si>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</si>
  <si>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</si>
  <si>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</si>
  <si>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</si>
  <si>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</si>
  <si>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</si>
  <si>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</si>
  <si>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</si>
  <si>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</si>
  <si>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</si>
  <si>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</si>
  <si>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</si>
  <si>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</si>
  <si>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</si>
  <si>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</si>
  <si>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</si>
  <si>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</si>
  <si>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</si>
  <si>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</si>
  <si>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</si>
  <si>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</si>
  <si>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</si>
  <si>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</si>
  <si>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</si>
  <si>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</si>
  <si>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</si>
  <si>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</si>
  <si>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</si>
  <si>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</si>
  <si>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</si>
  <si>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</si>
  <si>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</si>
  <si>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</si>
  <si>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</si>
  <si>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</si>
  <si>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</si>
  <si>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</si>
  <si>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</si>
  <si>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</si>
  <si>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</si>
  <si>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</si>
  <si>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</si>
  <si>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</si>
  <si>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</si>
  <si>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</si>
  <si>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</si>
  <si>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</si>
  <si>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</si>
  <si>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</si>
  <si>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</si>
  <si>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</si>
  <si>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</si>
  <si>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</si>
  <si>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</si>
  <si>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</si>
  <si>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</si>
  <si>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</si>
  <si>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</si>
  <si>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</si>
  <si>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</si>
  <si>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</si>
  <si>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</si>
  <si>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</si>
  <si>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</si>
  <si>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</si>
  <si>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</si>
  <si>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</si>
  <si>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</si>
  <si>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</si>
  <si>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</si>
  <si>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</si>
  <si>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</si>
  <si>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</si>
  <si>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</si>
  <si>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NOT RUN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</si>
  <si>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</si>
  <si>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</si>
  <si>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</si>
  <si>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</si>
  <si>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</si>
  <si>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</si>
  <si>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</si>
  <si>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</si>
  <si>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</si>
  <si>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</si>
  <si>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</si>
  <si>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</si>
  <si>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</si>
  <si>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P0 86</t>
  </si>
  <si>
    <t>EVENT-RUNTIME-001</t>
  </si>
  <si>
    <t>Contract checkpoint</t>
  </si>
  <si>
    <t>Event runtime / childless View Event</t>
  </si>
  <si>
    <t>Save one normal Event with Slots Off and Sub Events Off, then open and reload View Event</t>
  </si>
  <si>
    <t>INDIRECT only from the owning Save; View and reload X</t>
  </si>
  <si>
    <t>DELTA one Event write plus one MAIN_EVENT runtime materialization; every read is X</t>
  </si>
  <si>
    <t>INDIRECT only after the normal Event recompute</t>
  </si>
  <si>
    <t>X except the normal Save recompute; no runtime job</t>
  </si>
  <si>
    <t>Exactly one main-Event runtime card; Event Members and normal Event actions remain available; no empty list, duplicate parent, synthetic :default child or tournament-only action</t>
  </si>
  <si>
    <t>No dedicated write-owned MAIN_EVENT runtime coverage yet</t>
  </si>
  <si>
    <t>Prove one canonical Event plus one persisted MAIN_EVENT runtime item with subEventId null, zero child/slot rows and a read-only reopen/reload</t>
  </si>
  <si>
    <t>Design captured 2026-08-30; application implementation is intentionally deferred until this Event checkpoint is reached.</t>
  </si>
  <si>
    <t>P0 96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</si>
  <si>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</si>
  <si>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</si>
  <si>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</si>
  <si>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</si>
  <si>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</si>
  <si>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</si>
  <si>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</si>
  <si>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</si>
  <si>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</si>
  <si>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</si>
  <si>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</si>
  <si>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</si>
  <si>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</si>
  <si>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</si>
  <si>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</si>
  <si>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</si>
  <si>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</si>
  <si>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</si>
  <si>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</si>
  <si>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</si>
  <si>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</si>
  <si>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</si>
  <si>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</si>
  <si>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</si>
  <si>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</si>
  <si>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</si>
  <si>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</si>
  <si>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</si>
  <si>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</si>
  <si>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</si>
  <si>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</si>
  <si>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</si>
  <si>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</si>
  <si>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</si>
  <si>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</si>
  <si>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</si>
  <si>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</si>
  <si>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</si>
  <si>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</si>
  <si>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</si>
  <si>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</si>
  <si>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</si>
  <si>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</si>
  <si>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</si>
  <si>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</si>
  <si>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</si>
  <si>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</si>
  <si>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</si>
  <si>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</si>
  <si>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</si>
  <si>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</si>
  <si>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</si>
  <si>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</si>
  <si>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</si>
  <si>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</si>
  <si>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</si>
  <si>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</si>
  <si>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</si>
  <si>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</si>
  <si>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</si>
  <si>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</si>
  <si>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</si>
  <si>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</si>
  <si>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</si>
  <si>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</si>
  <si>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</si>
  <si>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</si>
  <si>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</si>
  <si>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</si>
  <si>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</si>
  <si>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</si>
  <si>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</si>
  <si>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</si>
  <si>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</si>
  <si>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</si>
  <si>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</si>
  <si>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</si>
  <si>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</si>
  <si>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</si>
  <si>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</si>
  <si>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</si>
  <si>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</si>
  <si>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</si>
  <si>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</si>
  <si>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</si>
  <si>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</si>
  <si>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</si>
  <si>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</si>
  <si>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</si>
  <si>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</si>
  <si>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</si>
  <si>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</si>
  <si>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</si>
  <si>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</si>
  <si>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</si>
  <si>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</si>
  <si>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</si>
  <si>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</si>
  <si>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</si>
  <si>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</si>
  <si>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</si>
  <si>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</si>
  <si>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</si>
  <si>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</si>
  <si>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</si>
  <si>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</si>
  <si>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</si>
  <si>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</si>
  <si>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</si>
  <si>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</si>
  <si>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</si>
  <si>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</si>
  <si>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</si>
  <si>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</si>
  <si>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</si>
  <si>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</si>
  <si>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</si>
  <si>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</si>
  <si>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</si>
  <si>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</si>
  <si>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</si>
  <si>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</si>
  <si>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</si>
  <si>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</si>
  <si>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</si>
  <si>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</si>
  <si>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</si>
  <si>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</si>
  <si>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</si>
  <si>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</si>
  <si>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</si>
  <si>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</si>
  <si>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</si>
  <si>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</si>
  <si>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</si>
  <si>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</si>
  <si>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</si>
  <si>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</si>
  <si>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</si>
  <si>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</si>
  <si>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</si>
  <si>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</si>
  <si>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</si>
  <si>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</si>
  <si>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</si>
  <si>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</si>
  <si>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</si>
  <si>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</si>
  <si>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</si>
  <si>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</si>
  <si>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</si>
  <si>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</si>
  <si>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</si>
  <si>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</si>
  <si>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</si>
  <si>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</si>
  <si>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</si>
  <si>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</si>
  <si>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</si>
  <si>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</si>
  <si>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</si>
  <si>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</si>
  <si>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</si>
  <si>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</si>
  <si>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</si>
  <si>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</si>
  <si>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</si>
  <si>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</si>
  <si>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</si>
  <si>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</si>
  <si>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</si>
  <si>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</si>
  <si>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</si>
  <si>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</si>
  <si>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</si>
  <si>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</si>
  <si>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</si>
  <si>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</si>
  <si>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</si>
  <si>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</si>
  <si>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</si>
  <si>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</si>
  <si>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</si>
  <si>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</si>
  <si>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</si>
  <si>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</si>
  <si>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</si>
  <si>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</si>
  <si>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</si>
  <si>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</si>
  <si>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</si>
  <si>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</si>
  <si>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</si>
  <si>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</si>
  <si>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</si>
  <si>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</si>
  <si>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</si>
  <si>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</si>
  <si>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</si>
  <si>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</si>
  <si>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</si>
  <si>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</si>
  <si>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</si>
  <si>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</si>
  <si>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</si>
  <si>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</si>
  <si>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</si>
  <si>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</si>
  <si>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</si>
  <si>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</si>
  <si>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</si>
  <si>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</si>
  <si>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</si>
  <si>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</si>
  <si>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</si>
  <si>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</si>
  <si>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</si>
  <si>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</si>
  <si>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</si>
  <si>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</si>
  <si>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</si>
  <si>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</si>
  <si>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</si>
  <si>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</si>
  <si>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</si>
  <si>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</si>
  <si>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</si>
  <si>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</si>
  <si>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</si>
  <si>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</si>
  <si>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</si>
  <si>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</si>
  <si>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</si>
  <si>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</si>
  <si>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</si>
  <si>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</si>
  <si>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</si>
  <si>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</si>
  <si>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</si>
  <si>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</si>
  <si>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</si>
  <si>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</si>
  <si>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</si>
  <si>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</si>
  <si>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</si>
  <si>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</si>
  <si>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</si>
  <si>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</si>
  <si>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</si>
  <si>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</si>
  <si>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</si>
  <si>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</si>
  <si>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</si>
  <si>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</si>
  <si>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</si>
  <si>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</si>
  <si>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</si>
  <si>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</si>
  <si>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</si>
  <si>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</si>
  <si>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</si>
  <si>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</si>
  <si>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</si>
  <si>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</si>
  <si>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</si>
  <si>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</si>
  <si>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</si>
  <si>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</si>
  <si>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</si>
  <si>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</si>
  <si>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</si>
  <si>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</si>
  <si>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</si>
  <si>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</si>
  <si>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</si>
  <si>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</si>
  <si>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</si>
  <si>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</si>
  <si>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</si>
  <si>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</si>
  <si>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</si>
  <si>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</si>
  <si>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</si>
  <si>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</si>
  <si>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</si>
  <si>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</si>
  <si>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</si>
  <si>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</si>
  <si>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</si>
  <si>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</si>
  <si>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</si>
  <si>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</si>
  <si>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</si>
  <si>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</si>
  <si>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</si>
  <si>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</si>
  <si>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</si>
  <si>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</si>
  <si>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</si>
  <si>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</si>
  <si>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</si>
  <si>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</si>
  <si>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</si>
  <si>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</si>
  <si>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</si>
  <si>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</si>
  <si>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</si>
  <si>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</si>
  <si>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</si>
  <si>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</si>
  <si>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</si>
  <si>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</si>
  <si>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</si>
  <si>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</si>
  <si>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</si>
  <si>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</si>
  <si>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</si>
  <si>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</si>
  <si>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</si>
  <si>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</si>
  <si>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</si>
  <si>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</si>
  <si>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</si>
  <si>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</si>
  <si>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</si>
  <si>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</si>
  <si>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</si>
  <si>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</si>
  <si>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</si>
  <si>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</si>
  <si>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</si>
  <si>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</si>
  <si>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</si>
  <si>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</si>
  <si>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</si>
  <si>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</si>
  <si>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</si>
  <si>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</si>
  <si>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</si>
  <si>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</si>
  <si>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</si>
  <si>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</si>
  <si>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</si>
  <si>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</si>
  <si>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</si>
  <si>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</si>
  <si>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</si>
  <si>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</si>
  <si>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</si>
  <si>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</si>
  <si>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</si>
  <si>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</si>
  <si>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</si>
  <si>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</si>
  <si>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</si>
  <si>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JOB-RANDOM</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</si>
  <si>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</si>
  <si>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</si>
  <si>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</si>
  <si>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</si>
  <si>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</si>
  <si>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</si>
  <si>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</si>
  <si>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</si>
  <si>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</si>
  <si>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</si>
  <si>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</si>
  <si>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</si>
  <si>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</si>
  <si>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</si>
  <si>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</si>
  <si>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</si>
  <si>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</si>
  <si>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</si>
  <si>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</si>
  <si>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</si>
  <si>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</si>
  <si>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</si>
  <si>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</si>
  <si>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</si>
  <si>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</si>
  <si>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</si>
  <si>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</si>
  <si>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</si>
  <si>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P0 82</t>
  </si>
  <si>
    <t>JOB-BASKET</t>
  </si>
  <si>
    <t>event-checkout-basket-purge</t>
  </si>
  <si>
    <t>Real scheduler purges expired basket rows</t>
  </si>
  <si>
    <t>DELTA scheduler/audit</t>
  </si>
  <si>
    <t>DELTA basket resultState deleted and pending count</t>
  </si>
  <si>
    <t>Capture Monitoring delta in browser</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</si>
  <si>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</si>
  <si>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</si>
  <si>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</si>
  <si>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</si>
  <si>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</si>
  <si>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</si>
  <si>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</si>
  <si>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</si>
  <si>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</si>
  <si>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</si>
  <si>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</si>
  <si>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</si>
  <si>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</si>
  <si>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</si>
  <si>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</si>
  <si>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</si>
  <si>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</si>
  <si>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</si>
  <si>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</si>
  <si>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</si>
  <si>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</si>
  <si>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</si>
  <si>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</si>
  <si>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</si>
  <si>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</si>
  <si>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</si>
  <si>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</si>
  <si>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</si>
  <si>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</si>
  <si>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</si>
  <si>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</si>
  <si>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</si>
  <si>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</si>
  <si>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</si>
  <si>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</si>
  <si>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</si>
  <si>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</si>
  <si>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</si>
  <si>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</si>
  <si>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</si>
  <si>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</si>
  <si>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</si>
  <si>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</si>
  <si>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</si>
  <si>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</si>
  <si>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</si>
  <si>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</si>
  <si>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</si>
  <si>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</si>
  <si>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</si>
  <si>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</si>
  <si>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</si>
  <si>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</si>
  <si>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</si>
  <si>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</si>
  <si>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</si>
  <si>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</si>
  <si>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</si>
  <si>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</si>
  <si>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</si>
  <si>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</si>
  <si>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</si>
  <si>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</si>
  <si>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</si>
  <si>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</si>
  <si>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</si>
  <si>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</si>
  <si>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</si>
  <si>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</si>
  <si>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</si>
  <si>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</si>
  <si>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</si>
  <si>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</si>
  <si>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</si>
  <si>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</si>
  <si>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</si>
  <si>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</si>
  <si>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</si>
  <si>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</si>
  <si>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</si>
  <si>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</si>
  <si>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</si>
  <si>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</si>
  <si>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</si>
  <si>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</si>
  <si>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</si>
  <si>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</si>
  <si>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</si>
  <si>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</si>
  <si>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</si>
  <si>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</si>
  <si>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</si>
  <si>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</si>
  <si>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</si>
  <si>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</si>
  <si>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</si>
  <si>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</si>
  <si>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</si>
  <si>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</si>
  <si>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</si>
  <si>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</si>
  <si>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</si>
  <si>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</si>
  <si>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</si>
  <si>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</si>
  <si>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</si>
  <si>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</si>
  <si>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</si>
  <si>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</si>
  <si>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</si>
  <si>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2026-08-30</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</si>
  <si>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</si>
  <si>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</si>
  <si>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</si>
  <si>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</si>
  <si>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</si>
  <si>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</si>
  <si>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</si>
  <si>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</si>
  <si>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</si>
  <si>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</si>
  <si>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</si>
  <si>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</si>
  <si>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</si>
  <si>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</si>
  <si>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</si>
  <si>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</si>
  <si>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</si>
  <si>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</si>
  <si>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</si>
  <si>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</si>
  <si>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</si>
  <si>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</si>
  <si>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</si>
  <si>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</si>
  <si>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</si>
  <si>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</si>
  <si>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</si>
  <si>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</si>
  <si>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</si>
  <si>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</si>
  <si>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</si>
  <si>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</si>
  <si>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</si>
  <si>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</si>
  <si>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</si>
  <si>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</si>
  <si>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</si>
  <si>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</si>
  <si>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</si>
  <si>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</si>
  <si>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</si>
  <si>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</si>
  <si>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</si>
  <si>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</si>
  <si>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</si>
  <si>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</si>
  <si>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</si>
  <si>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</si>
  <si>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</si>
  <si>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</si>
  <si>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CHAT-LIST-001</t>
  </si>
  <si>
    <t>Expansion checkpoint CP13</t>
  </si>
  <si>
    <t>Chat list and contexts</t>
  </si>
  <si>
    <t>Load controlled main-event, group, service and support chats; switch list context and sort once</t>
  </si>
  <si>
    <t>X; list reads are side-effect free</t>
  </si>
  <si>
    <t>All and each context show exact rows/counters once; date order and compact header/status remain stable after reopen</t>
  </si>
  <si>
    <t>Paged chat query, context filters, sort and header-revision paths exist in backend and both frontend adapters</t>
  </si>
  <si>
    <t>Compare exact row IDs, context totals and order before/after reopen; require zero writes</t>
  </si>
  <si>
    <t>Coverage audit split this from the existing authorization checkpoint so list semantics are independently executable.</t>
  </si>
  <si>
    <t>CHAT-HISTORY-001</t>
  </si>
  <si>
    <t>Chat history pagination</t>
  </si>
  <si>
    <t>Open a thread with more than 15 controlled messages, load older history once, then reopen</t>
  </si>
  <si>
    <t>X; history reads only update the viewer read boundary</t>
  </si>
  <si>
    <t>Newest window, older page, day markers and reverse-thread order merge without gaps or duplicates</t>
  </si>
  <si>
    <t>Cursor message endpoint plus reverse SmartList initial-window and older-page logic exist</t>
  </si>
  <si>
    <t>Require exact message IDs/order after initial load, one older-page load and reopen</t>
  </si>
  <si>
    <t>Bounded to one 18-message fixture and one pagination edge; no long free-form conversation is required.</t>
  </si>
  <si>
    <t>CHAT-SEND-001</t>
  </si>
  <si>
    <t>Text message exact-once delivery</t>
  </si>
  <si>
    <t>Send one unique text from one accepted participant while another participant keeps the thread open</t>
  </si>
  <si>
    <t>DELTA one chat.message.sent event</t>
  </si>
  <si>
    <t>DELTA one persisted message and recipient-only unread increment</t>
  </si>
  <si>
    <t>Sender sees one immediate pending/confirmed row; recipient receives the same row once without reload</t>
  </si>
  <si>
    <t>HTTP/WebSocket send, clientId reconciliation and persisted stream event paths exist</t>
  </si>
  <si>
    <t>Compare clientId, stored message ID, both open threads and recipient unread; no duplicate echo</t>
  </si>
  <si>
    <t>This isolates ordinary delivery from CHAT-AUTH-001, which already proved only the membership boundary.</t>
  </si>
  <si>
    <t>CHAT-COUNTER-001</t>
  </si>
  <si>
    <t>Unread list counters</t>
  </si>
  <si>
    <t>Send one message while recipient Chat is closed, then open Chat list without opening the thread</t>
  </si>
  <si>
    <t>INDIRECT ordinary chat-message count</t>
  </si>
  <si>
    <t>DELTA recipient chats/all/context counters +1; sender remains unchanged</t>
  </si>
  <si>
    <t>Profile badge, primary/context menu badges and row unread badge agree before the thread is opened</t>
  </si>
  <si>
    <t>Stored counter update and activity-row summary synchronization exist</t>
  </si>
  <si>
    <t>Require identical +1 in stored counters and every visible counter; list opening must not clear it</t>
  </si>
  <si>
    <t>Counter ownership is separate from message rendering and read acknowledgement.</t>
  </si>
  <si>
    <t>CHAT-READ-001</t>
  </si>
  <si>
    <t>Read receipt and acknowledgement</t>
  </si>
  <si>
    <t>Open exactly one unread thread and keep the sender thread visible</t>
  </si>
  <si>
    <t>DELTA recipient unread 1→0 and one read receipt; no new notification</t>
  </si>
  <si>
    <t>Recipient counters clear once and sender receives one reader avatar on the matching message</t>
  </si>
  <si>
    <t>Message-page read receipt, mark-read stream event and avatar merge logic exist</t>
  </si>
  <si>
    <t>Require persisted reader identity, exact counter 1→0 and no duplicate read avatar after reopen</t>
  </si>
  <si>
    <t>Reading is its own write boundary and must not be conflated with loading the Chat list.</t>
  </si>
  <si>
    <t>CHAT-RECONNECT-001</t>
  </si>
  <si>
    <t>Realtime reconnect and catch-up</t>
  </si>
  <si>
    <t>Disconnect one recipient client, send one controlled message, then restore only that client connection</t>
  </si>
  <si>
    <t>INDIRECT one ordinary message</t>
  </si>
  <si>
    <t>DELTA no lost or duplicate stream/message record across reconnect</t>
  </si>
  <si>
    <t>Recipient catches up to the exact persisted message once and the unread counter remains consistent</t>
  </si>
  <si>
    <t>WebSocket watch plus persisted page reload/catch-up paths exist</t>
  </si>
  <si>
    <t>Compare pre-disconnect cursor, stored message ID and post-reconnect thread/counter without browser reload</t>
  </si>
  <si>
    <t>This is a short one-message transport interruption, not a general offline-mode campaign.</t>
  </si>
  <si>
    <t>CHAT-TYPING-001</t>
  </si>
  <si>
    <t>Typing indicator</t>
  </si>
  <si>
    <t>Type briefly, stop, then let the remote indicator expire once</t>
  </si>
  <si>
    <t>X; typing is transient and must not persist or change counters</t>
  </si>
  <si>
    <t>Only other accepted participants see the named indicator; it clears on stop/TTL and pending users see nothing</t>
  </si>
  <si>
    <t>Typing stream event and frontend idle/remote TTL handling exist</t>
  </si>
  <si>
    <t>Observe start, explicit stop and TTL fallback; prove zero message, notification and counter writes</t>
  </si>
  <si>
    <t>One short typing burst covers both stop paths.</t>
  </si>
  <si>
    <t>P1 86</t>
  </si>
  <si>
    <t>CHAT-REPLY-001</t>
  </si>
  <si>
    <t>Message reply</t>
  </si>
  <si>
    <t>Reply once to a controlled earlier message and use the reply preview to locate its source</t>
  </si>
  <si>
    <t>INDIRECT one ordinary reply message</t>
  </si>
  <si>
    <t>DELTA one message with immutable replyTo identity</t>
  </si>
  <si>
    <t>Both clients render sender/preview correctly; source jump works after older history load and reopen</t>
  </si>
  <si>
    <t>Reply DTO normalization, preview rendering and source navigation exist</t>
  </si>
  <si>
    <t>Require exact reply source ID/text snapshot and one delivered reply after reload</t>
  </si>
  <si>
    <t>Kept separate from send because it exercises historical-source identity.</t>
  </si>
  <si>
    <t>CHAT-EDIT-001</t>
  </si>
  <si>
    <t>Message editing</t>
  </si>
  <si>
    <t>Edit one own text message once; attempt the same mutation as another participant</t>
  </si>
  <si>
    <t>DELTA same message ID gains editedAtIso; unauthorized write rejected</t>
  </si>
  <si>
    <t>Open peers update in place and show Edited; history reload keeps only the edited value</t>
  </si>
  <si>
    <t>Backend ownership guard, edit endpoint and live mutation rendering exist</t>
  </si>
  <si>
    <t>Require stable message ID, exact new text, one edit timestamp and server denial for non-owner</t>
  </si>
  <si>
    <t>No new message, unread increment or push notification is expected.</t>
  </si>
  <si>
    <t>CHAT-DELETE-001</t>
  </si>
  <si>
    <t>Message unsend</t>
  </si>
  <si>
    <t>Unsend one own message once; attempt unsend as another participant</t>
  </si>
  <si>
    <t>DELTA same message becomes a tombstone; unauthorized write rejected</t>
  </si>
  <si>
    <t>Text/attachments/reply/reactions/readers/pin clear consistently on both open clients and reload</t>
  </si>
  <si>
    <t>Backend tombstone mutation and live delete rendering exist</t>
  </si>
  <si>
    <t>Require stable message ID, deletion actor/time, cleared payload and non-owner denial</t>
  </si>
  <si>
    <t>Deletion must not remove surrounding history or decrement unrelated counters.</t>
  </si>
  <si>
    <t>CHAT-REACTION-001</t>
  </si>
  <si>
    <t>Message reactions</t>
  </si>
  <si>
    <t>Add one reaction from each of two users, change one, then remove one</t>
  </si>
  <si>
    <t>DELTA reaction set only; no unread or notification delta</t>
  </si>
  <si>
    <t>Summary counts and reaction-details identities converge live and persist after reopen</t>
  </si>
  <si>
    <t>Reaction mutation endpoint, quick picker and detail popup exist</t>
  </si>
  <si>
    <t>Require one reaction per user, replacement rather than duplication, then exact removal</t>
  </si>
  <si>
    <t>Four bounded clicks cover add/change/remove and multi-user aggregation.</t>
  </si>
  <si>
    <t>P1 88</t>
  </si>
  <si>
    <t>CHAT-PIN-001</t>
  </si>
  <si>
    <t>Pinned messages</t>
  </si>
  <si>
    <t>Pin one controlled message, open Pinned, select it, then unpin</t>
  </si>
  <si>
    <t>DELTA pin fields only; no unread or notification delta</t>
  </si>
  <si>
    <t>Pin badge/list/source navigation update live and disappear after unpin; reload remains consistent</t>
  </si>
  <si>
    <t>Pin endpoint, pinned dialog and source selection exist</t>
  </si>
  <si>
    <t>Require one pinned ID and actor, successful source focus and empty terminal pinned list</t>
  </si>
  <si>
    <t>Authorization is checked with the same accepted and denied controls as the owning chat.</t>
  </si>
  <si>
    <t>CHAT-IMAGE-001</t>
  </si>
  <si>
    <t>Image attachment</t>
  </si>
  <si>
    <t>Attach and send one controlled image, open its preview, then reopen the thread</t>
  </si>
  <si>
    <t>INDIRECT one chat message</t>
  </si>
  <si>
    <t>DELTA one managed attachment/message; media lifecycle remains canonical</t>
  </si>
  <si>
    <t>Both clients show the same preview/full source without broken or duplicate upload</t>
  </si>
  <si>
    <t>Image attachment composer, normalization and media presentation paths exist</t>
  </si>
  <si>
    <t>Require one canonical attachment ID/URL, HTTP 200 preview and reload persistence</t>
  </si>
  <si>
    <t>Use one small fixture image; cleanup belongs to the checkpoint reset.</t>
  </si>
  <si>
    <t>CHAT-VOICE-001</t>
  </si>
  <si>
    <t>Voice clip attachment</t>
  </si>
  <si>
    <t>Record one short clip, review it, send it and play it once as the recipient</t>
  </si>
  <si>
    <t>DELTA one voice attachment/message; failed recorder permission creates no row</t>
  </si>
  <si>
    <t>Duration/player work on both clients and after reopen; cancel/error leaves no orphan media</t>
  </si>
  <si>
    <t>Voice recorder repository/service and composer/player states exist</t>
  </si>
  <si>
    <t>Require one playable canonical clip and one independent permission-denied no-write branch</t>
  </si>
  <si>
    <t>Clip length stays a few seconds so the test remains bounded.</t>
  </si>
  <si>
    <t>CHAT-POLL-001</t>
  </si>
  <si>
    <t>Chat poll</t>
  </si>
  <si>
    <t>Create one two-option poll, vote as two users, then change one vote</t>
  </si>
  <si>
    <t>DELTA one poll attachment with exact per-user votes</t>
  </si>
  <si>
    <t>Bars, counts and voter identities update live; changed vote moves rather than duplicates</t>
  </si>
  <si>
    <t>Poll composer, attachment state and vote mutation through attachment update exist</t>
  </si>
  <si>
    <t>Require totals 0→1→2 and still 2 after one changed vote, then reload persistence</t>
  </si>
  <si>
    <t>One question and two options keep this a short functional sequence.</t>
  </si>
  <si>
    <t>CHAT-CARD-001</t>
  </si>
  <si>
    <t>Event, asset and link cards</t>
  </si>
  <si>
    <t>Send one event card and one asset or link card, then open each once</t>
  </si>
  <si>
    <t>INDIRECT two chat messages</t>
  </si>
  <si>
    <t>DELTA canonical attachment references only</t>
  </si>
  <si>
    <t>Available cards navigate to the shared target; a removed/denied target becomes unavailable without exposing data</t>
  </si>
  <si>
    <t>Card attachment rendering, availability checks and shared navigation stores exist</t>
  </si>
  <si>
    <t>Require exact target IDs, correct navigation and one denied/unavailable control after reload</t>
  </si>
  <si>
    <t>Two attachment kinds plus one negative state cover the shared card contract.</t>
  </si>
  <si>
    <t>CHAT-MEMBERS-001</t>
  </si>
  <si>
    <t>Chat member list</t>
  </si>
  <si>
    <t>Open Members on a controlled accepted group and page once if the fixture exceeds one page</t>
  </si>
  <si>
    <t>X; member inspection is read-only</t>
  </si>
  <si>
    <t>Accepted identities, roles and avatars are exact; pending/left users are absent and server-denied</t>
  </si>
  <si>
    <t>Paged members endpoint and chat-header member control exist</t>
  </si>
  <si>
    <t>Compare chat member IDs with canonical accepted membership and require zero writes</t>
  </si>
  <si>
    <t>Authorization remains in CHAT-AUTH-001; this row owns member-list content and paging only.</t>
  </si>
  <si>
    <t>CHAT-REPORT-001</t>
  </si>
  <si>
    <t>Message reporting</t>
  </si>
  <si>
    <t>Report one controlled participant message and open the resulting Admin review item</t>
  </si>
  <si>
    <t>INDIRECT one moderation input</t>
  </si>
  <si>
    <t>DELTA one report/support-review identity; duplicate submit is idempotent</t>
  </si>
  <si>
    <t>Reporter gets one acknowledgement and Admin sees the exact chat/message context without unrelated history access</t>
  </si>
  <si>
    <t>Chat Report action and Admin chat-review/support surfaces exist</t>
  </si>
  <si>
    <t>Require one report, exact reporter/chat/message IDs, one Admin item and duplicate protection</t>
  </si>
  <si>
    <t>Admin resolution remains in the Admin domain; this row stops at correct intake.</t>
  </si>
  <si>
    <t>CHAT-PUSH-001</t>
  </si>
  <si>
    <t>Background chat push</t>
  </si>
  <si>
    <t>Close/background one accepted recipient app, send one participant message, then tap its push</t>
  </si>
  <si>
    <t>INDIRECT one ordinary chat message</t>
  </si>
  <si>
    <t>DELTA one recipient push and inbox row; sender/system messages do not self-notify</t>
  </si>
  <si>
    <t>Notification opens the exact chat/message once and in-app unread/read state reconciles without duplicate delivery</t>
  </si>
  <si>
    <t>Chat push service excludes sender/system messages and builds chat deep links; device registration paths exist</t>
  </si>
  <si>
    <t>Require exact recipient/tag/click target with one foreground control and one system-message no-push control</t>
  </si>
  <si>
    <t>Physical-device ADB evidence is required, but the sequence remains one message and one tap.</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</si>
  <si>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</si>
  <si>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</si>
  <si>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</si>
  <si>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</si>
  <si>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</si>
  <si>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</si>
  <si>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</si>
  <si>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</si>
  <si>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</si>
  <si>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</si>
  <si>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</si>
  <si>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</si>
  <si>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</si>
  <si>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</si>
  <si>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</si>
  <si>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</si>
  <si>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</si>
  <si>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</si>
  <si>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</si>
  <si>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ASSET-MEMBER-001</t>
  </si>
  <si>
    <t>Asset membership</t>
  </si>
  <si>
    <t>From one generated-group assigned resource, create one manager Invite and one participant Join request</t>
  </si>
  <si>
    <t>INDIRECT asset/member activity</t>
  </si>
  <si>
    <t>DELTA two asset request states and optional outbox; parent/group membership stays unchanged</t>
  </si>
  <si>
    <t>Distinct Invite and Join pending rows retain the exact asset plus event/stage/generated-group booking scope; sibling group stays unchanged</t>
  </si>
  <si>
    <t>Asset membership service tests partial; generated-group contextual replay captured after TOURNAMENT-RESOURCE-001</t>
  </si>
  <si>
    <t>Match request kind, asset owner/type/id, actor/recipient and exact event/sub-event/group scope; prove the sibling group and event roles unchanged</t>
  </si>
  <si>
    <t>Must not create event membership; this row owns the generic pending request lifecycle even when launched from a Tournament group.</t>
  </si>
  <si>
    <t>ASSET-MEMBER-002</t>
  </si>
  <si>
    <t>Accept one generated-group-scoped Invite/Join request and reject the other</t>
  </si>
  <si>
    <t>DELTA asset membership/request states only inside the exact booking scope</t>
  </si>
  <si>
    <t>CONDITIONAL outbox; scheduler X</t>
  </si>
  <si>
    <t>Accepted role and rejected cleanup are exact; event role and sibling group stay unchanged</t>
  </si>
  <si>
    <t>Asset acceptance/rejection service tests partial; generated-group scope control captured</t>
  </si>
  <si>
    <t>Compare two independent request identities, booking scope, event-role control and unchanged sibling group</t>
  </si>
  <si>
    <t>Asset Manager is not Event Admin and an asset response is not Tournament-group membership.</t>
  </si>
  <si>
    <t>ASSET-BORROW-001</t>
  </si>
  <si>
    <t>Asset borrow lifecycle</t>
  </si>
  <si>
    <t>From generated-group Resource Explore request one controlled asset for the exact event/stage/group timeframe and accept it, then independently reject and cancel controlled requests</t>
  </si>
  <si>
    <t>INDIRECT pending/accepted asset request counts</t>
  </si>
  <si>
    <t>DELTA one request/payment-session reference per branch and exact availability quantity</t>
  </si>
  <si>
    <t>CONDITIONAL provider/outbox work only when the staged asset policy requires it</t>
  </si>
  <si>
    <t>Requester and owner see the same request state; accepted borrower becomes assignment-eligible only for the exact generated-group booking scope; reject/cancel clean up once and the sibling group stays unchanged</t>
  </si>
  <si>
    <t>Borrow request records, booking scope, accept/reject/cancel policies and payment hooks exist; integrated group-context manual lifecycle has not run</t>
  </si>
  <si>
    <t>Compare request ID/kind/status/booking, owner/requester counters, notifications, availability, exact runtime owner and unchanged sibling group across three short independent branches</t>
  </si>
  <si>
    <t>Borrow permission is not Asset Manager membership and never promotes an Event or Tournament-group role.</t>
  </si>
  <si>
    <t>ASSET-AVAIL-001</t>
  </si>
  <si>
    <t>Asset timeframe and capacity</t>
  </si>
  <si>
    <t>Create two overlapping booking requests around one finite-capacity asset, then move one request outside the overlap</t>
  </si>
  <si>
    <t>INDIRECT available quantity/order</t>
  </si>
  <si>
    <t>DELTA booking quantities and availability projection only</t>
  </si>
  <si>
    <t>X unless the configured booking policy explicitly produces provider work</t>
  </si>
  <si>
    <t>Explore availability and assignment eligibility never exceed quantity/capacity; moving one timeframe restores exactly its released capacity in place and after reload</t>
  </si>
  <si>
    <t>Backend overlap/availability expression and booking records exist; exact boundary and UI convergence have not been manually executed</t>
  </si>
  <si>
    <t>Compare half-open time boundaries, accepted/pending quantities, available capacity and sorted Explore result before/after one move</t>
  </si>
  <si>
    <t>Use seconds/minutes fixture spacing; no real-time waiting is required.</t>
  </si>
  <si>
    <t>ASSET-ASSIGN-001</t>
  </si>
  <si>
    <t>Event resources</t>
  </si>
  <si>
    <t>Assign one accepted user's Transport asset to one normal sub-event</t>
  </si>
  <si>
    <t>INDIRECT asset/event activity</t>
  </si>
  <si>
    <t>DELTA assignment and availability projection</t>
  </si>
  <si>
    <t>CONDITIONAL availability/outbox; scheduler X unless explicitly documented</t>
  </si>
  <si>
    <t>Event, sub-event, asset owner, asset ID, route and capacity agree</t>
  </si>
  <si>
    <t>Asset assignment lifecycle coverage partial</t>
  </si>
  <si>
    <t>Compare assignment record, Event Resources, source asset and sub-event counters in place and after reload</t>
  </si>
  <si>
    <t>Assignment must not create a second membership</t>
  </si>
  <si>
    <t>ASSET-ASSIGN-002</t>
  </si>
  <si>
    <t>Multi-type sub-event resources</t>
  </si>
  <si>
    <t>Assign controlled Transport and Accommodation from one eligible owner plus Supplies contributions from two accepted users to the same normal sub-event</t>
  </si>
  <si>
    <t>INDIRECT per-type resource counts</t>
  </si>
  <si>
    <t>DELTA one owner-scoped resource state per contributor and exact aggregate type metrics</t>
  </si>
  <si>
    <t>X unless a documented resource notification is emitted</t>
  </si>
  <si>
    <t>Transport route/capacity, Accommodation capacity and Supplies quantities agree in Event Resources, sub-event badges and parent navigation in place and after reload</t>
  </si>
  <si>
    <t>Three resource types, contribution entries and aggregate projection code exist; combined multi-owner UI replay has not run</t>
  </si>
  <si>
    <t>Compare per-owner records with aggregate accepted/pending/capacity min/max and prove no membership-role or unrelated sub-event delta</t>
  </si>
  <si>
    <t>Generated Tournament-group aggregation remains owned by TOURNAMENT-RESOURCE-001.</t>
  </si>
  <si>
    <t>ASSET-ASSIGN-003</t>
  </si>
  <si>
    <t>Assigned-resource mutation and cleanup</t>
  </si>
  <si>
    <t>Edit the capacity of one assigned asset, unassign it, then remove one separate asset manager from the event</t>
  </si>
  <si>
    <t>INDIRECT resource and availability counts</t>
  </si>
  <si>
    <t>DELTA write-side assigned projection refresh; unassign and removed-manager cleanup affect only owned settings/contributions</t>
  </si>
  <si>
    <t>Every affected sub-event and parent badge converges without read-time reconstruction; unrelated owners/types remain unchanged; reload preserves the same zero/nonzero totals</t>
  </si>
  <si>
    <t>Asset save refreshes referenced sub-event projections and member removal has managed-resource cleanup; integrated exact-scope replay has not run</t>
  </si>
  <si>
    <t>Snapshot assignment/settings/contributions, materialized counters and roles before edit, unassign and member removal; require idempotent terminal replay</t>
  </si>
  <si>
    <t>This is the write-side cleanup contract; do not repair stale counters by projecting them in the query.</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</si>
  <si>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</si>
  <si>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</si>
  <si>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</si>
  <si>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</si>
  <si>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</si>
  <si>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</si>
  <si>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</si>
  <si>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</si>
  <si>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</si>
  <si>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</si>
  <si>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</si>
  <si>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</si>
  <si>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</si>
  <si>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</si>
  <si>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MOBILE-PUSH-001</t>
  </si>
  <si>
    <t>Expansion checkpoint CP04</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</si>
  <si>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</si>
  <si>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</si>
  <si>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</si>
  <si>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</si>
  <si>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</si>
  <si>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</si>
  <si>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DESIGN CAPTURED / REAL DEVICE NOT RUN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</si>
  <si>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</si>
  <si>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</si>
  <si>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</si>
  <si>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</si>
  <si>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</si>
  <si>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</si>
  <si>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</si>
  <si>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</si>
  <si>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</si>
  <si>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</si>
  <si>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</si>
  <si>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</si>
  <si>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</si>
  <si>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</si>
  <si>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</si>
  <si>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</si>
  <si>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</si>
  <si>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</si>
  <si>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</si>
  <si>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</si>
  <si>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</si>
  <si>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</si>
  <si>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</si>
  <si>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</si>
  <si>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</si>
  <si>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</si>
  <si>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</si>
  <si>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</si>
  <si>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</si>
  <si>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</si>
  <si>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</si>
  <si>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</si>
  <si>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</si>
  <si>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</si>
  <si>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</si>
  <si>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</si>
  <si>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</si>
  <si>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</si>
  <si>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</si>
  <si>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</si>
  <si>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</si>
  <si>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</si>
  <si>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</si>
  <si>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</si>
  <si>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</si>
  <si>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</si>
  <si>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</si>
  <si>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</si>
  <si>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</si>
  <si>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JOB-MESSAGES</t>
  </si>
  <si>
    <t>scheduled-messages</t>
  </si>
  <si>
    <t>Real scheduler dispatches due messages</t>
  </si>
  <si>
    <t>DELTA scheduler/audit; INDIRECT Notifications/outbox</t>
  </si>
  <si>
    <t>DELTA task audit plus notification/email result</t>
  </si>
  <si>
    <t>Capture recipient UI and Monitoring</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</si>
  <si>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</si>
  <si>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</si>
  <si>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</si>
  <si>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</si>
  <si>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</si>
  <si>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</si>
  <si>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</si>
  <si>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</si>
  <si>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</si>
  <si>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</si>
  <si>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</si>
  <si>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</si>
  <si>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</si>
  <si>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</si>
  <si>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</si>
  <si>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</si>
  <si>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</si>
  <si>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</si>
  <si>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</si>
  <si>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</si>
  <si>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</si>
  <si>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</si>
  <si>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</si>
  <si>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</si>
  <si>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</si>
  <si>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</si>
  <si>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</si>
  <si>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</si>
  <si>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</si>
  <si>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</si>
  <si>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</si>
  <si>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</si>
  <si>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</si>
  <si>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</si>
  <si>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</si>
  <si>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</si>
  <si>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</si>
  <si>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</si>
  <si>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</si>
  <si>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</si>
  <si>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</si>
  <si>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</si>
  <si>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</si>
  <si>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</si>
  <si>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</si>
  <si>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</si>
  <si>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</si>
  <si>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</si>
  <si>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</si>
  <si>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</si>
  <si>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</si>
  <si>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</si>
  <si>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</si>
  <si>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</si>
  <si>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</si>
  <si>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</si>
  <si>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</si>
  <si>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</si>
  <si>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</si>
  <si>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</si>
  <si>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</si>
  <si>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</si>
  <si>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</si>
  <si>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</si>
  <si>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</si>
  <si>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</si>
  <si>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</si>
  <si>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</si>
  <si>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</si>
  <si>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</si>
  <si>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</si>
  <si>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</si>
  <si>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</si>
  <si>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</si>
  <si>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</si>
  <si>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</si>
  <si>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</si>
  <si>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</si>
  <si>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</si>
  <si>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</si>
  <si>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</si>
  <si>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</si>
  <si>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</si>
  <si>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</si>
  <si>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</si>
  <si>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</si>
  <si>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ADMIN-SUPPORT-SESSION-001</t>
  </si>
  <si>
    <t>Expansion checkpoint CP09</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</si>
  <si>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</si>
  <si>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</si>
  <si>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</si>
  <si>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</si>
  <si>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</si>
  <si>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</si>
  <si>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</si>
  <si>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</si>
  <si>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</si>
  <si>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</si>
  <si>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</si>
  <si>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</si>
  <si>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</si>
  <si>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</si>
  <si>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</si>
  <si>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P1 92</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</si>
  <si>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</si>
  <si>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</si>
  <si>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</si>
  <si>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</si>
  <si>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</si>
  <si>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</si>
  <si>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</si>
  <si>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</si>
  <si>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</si>
  <si>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</si>
  <si>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</si>
  <si>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</si>
  <si>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</si>
  <si>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</si>
  <si>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</si>
  <si>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</si>
  <si>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</si>
  <si>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</si>
  <si>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</si>
  <si>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</si>
  <si>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</si>
  <si>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</si>
  <si>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</si>
  <si>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</si>
  <si>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</si>
  <si>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ADMIN-NOTIFICATION-RULE-001</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</si>
  <si>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</si>
  <si>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</si>
  <si>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</si>
  <si>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</si>
  <si>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</si>
  <si>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</si>
  <si>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</si>
  <si>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</si>
  <si>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</si>
  <si>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</si>
  <si>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</si>
  <si>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</si>
  <si>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</si>
  <si>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</si>
  <si>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</si>
  <si>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</si>
  <si>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</si>
  <si>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</si>
  <si>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</si>
  <si>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</si>
  <si>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</si>
  <si>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</si>
  <si>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</si>
  <si>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</si>
  <si>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</si>
  <si>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</si>
  <si>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</si>
  <si>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</si>
  <si>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</si>
  <si>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</si>
  <si>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</si>
  <si>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</si>
  <si>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</si>
  <si>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</si>
  <si>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</si>
  <si>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</si>
  <si>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</si>
  <si>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</si>
  <si>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</si>
  <si>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</si>
  <si>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</si>
  <si>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</si>
  <si>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</si>
  <si>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</si>
  <si>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</si>
  <si>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</si>
  <si>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</si>
  <si>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Security/DTO support only</t>
  </si>
  <si>
    <t>Record category/filter counts and health</t>
  </si>
  <si>
    <t>Queue counts are live; event totals accumulate</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</si>
  <si>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</si>
  <si>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</si>
  <si>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</si>
  <si>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</si>
  <si>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</si>
  <si>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</si>
  <si>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</si>
  <si>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</si>
  <si>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</si>
  <si>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</si>
  <si>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</si>
  <si>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</si>
  <si>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</si>
  <si>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</si>
  <si>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</si>
  <si>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</si>
  <si>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</si>
  <si>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</si>
  <si>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</si>
  <si>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</si>
  <si>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</si>
  <si>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</si>
  <si>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</si>
  <si>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</si>
  <si>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</si>
  <si>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</si>
  <si>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</si>
  <si>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</si>
  <si>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</si>
  <si>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</si>
  <si>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</si>
  <si>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</si>
  <si>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</si>
  <si>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</si>
  <si>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</si>
  <si>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</si>
  <si>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</si>
  <si>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</si>
  <si>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</si>
  <si>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</si>
  <si>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</si>
  <si>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</si>
  <si>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</si>
  <si>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</si>
  <si>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</si>
  <si>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</si>
  <si>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</si>
  <si>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</si>
  <si>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</si>
  <si>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</si>
  <si>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</si>
  <si>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</si>
  <si>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</si>
  <si>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Capture exact before/after and health direction</t>
  </si>
  <si>
    <t>Rating/feedback functional API oracle passed; visual stats not run</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</si>
  <si>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</si>
  <si>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</si>
  <si>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</si>
  <si>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</si>
  <si>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</si>
  <si>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</si>
  <si>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</si>
  <si>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</si>
  <si>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</si>
  <si>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</si>
  <si>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</si>
  <si>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</si>
  <si>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</si>
  <si>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</si>
  <si>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</si>
  <si>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</si>
  <si>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</si>
  <si>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</si>
  <si>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</si>
  <si>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</si>
  <si>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</si>
  <si>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</si>
  <si>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</si>
  <si>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</si>
  <si>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</si>
  <si>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</si>
  <si>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</si>
  <si>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</si>
  <si>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</si>
  <si>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</si>
  <si>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</si>
  <si>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</si>
  <si>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</si>
  <si>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</si>
  <si>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</si>
  <si>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</si>
  <si>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</si>
  <si>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</si>
  <si>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</si>
  <si>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</si>
  <si>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</si>
  <si>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</si>
  <si>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</si>
  <si>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</si>
  <si>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</si>
  <si>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</si>
  <si>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</si>
  <si>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</si>
  <si>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</si>
  <si>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</si>
  <si>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</si>
  <si>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</si>
  <si>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</si>
  <si>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</si>
  <si>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</si>
  <si>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</si>
  <si>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</si>
  <si>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</si>
  <si>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</si>
  <si>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</si>
  <si>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</si>
  <si>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</si>
  <si>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</si>
  <si>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</si>
  <si>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</si>
  <si>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</si>
  <si>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</si>
  <si>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</si>
  <si>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</si>
  <si>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</si>
  <si>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</si>
  <si>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</si>
  <si>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</si>
  <si>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</si>
  <si>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</si>
  <si>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</si>
  <si>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</si>
  <si>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</si>
  <si>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</si>
  <si>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</si>
  <si>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</si>
  <si>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</si>
  <si>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</si>
  <si>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</si>
  <si>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</si>
  <si>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</si>
  <si>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</si>
  <si>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</si>
  <si>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</si>
  <si>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</si>
  <si>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</si>
  <si>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</si>
  <si>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</si>
  <si>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</si>
  <si>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</si>
  <si>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</si>
  <si>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</si>
  <si>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</si>
  <si>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</si>
  <si>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</si>
  <si>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</si>
  <si>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</si>
  <si>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</si>
  <si>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</si>
  <si>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</si>
  <si>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</si>
  <si>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</si>
  <si>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</si>
  <si>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</si>
  <si>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</si>
  <si>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</si>
  <si>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</si>
  <si>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</si>
  <si>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</si>
  <si>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</si>
  <si>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</si>
  <si>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</si>
  <si>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</si>
  <si>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</si>
  <si>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</si>
  <si>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</si>
  <si>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</si>
  <si>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</si>
  <si>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</si>
  <si>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</si>
  <si>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</si>
  <si>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</si>
  <si>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</si>
  <si>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</si>
  <si>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</si>
  <si>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</si>
  <si>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</si>
  <si>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</si>
  <si>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</si>
  <si>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</si>
  <si>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</si>
  <si>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</si>
  <si>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</si>
  <si>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</si>
  <si>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</si>
  <si>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</si>
  <si>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</si>
  <si>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</si>
  <si>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</si>
  <si>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</si>
  <si>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</si>
  <si>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</si>
  <si>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</si>
  <si>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</si>
  <si>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</si>
  <si>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</si>
  <si>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</si>
  <si>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</si>
  <si>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</si>
  <si>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</si>
  <si>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</si>
  <si>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</si>
  <si>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</si>
  <si>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</si>
  <si>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</si>
  <si>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</si>
  <si>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</si>
  <si>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</si>
  <si>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</si>
  <si>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</si>
  <si>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</si>
  <si>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</si>
  <si>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</si>
  <si>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</si>
  <si>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</si>
  <si>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</si>
  <si>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</si>
  <si>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</si>
  <si>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</si>
  <si>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</si>
  <si>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</si>
  <si>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</si>
  <si>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</si>
  <si>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</si>
  <si>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</si>
  <si>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</si>
  <si>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</si>
  <si>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</si>
  <si>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</si>
  <si>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</si>
  <si>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</si>
  <si>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</si>
  <si>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</si>
  <si>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</si>
  <si>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</si>
  <si>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</si>
  <si>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</si>
  <si>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</si>
  <si>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</si>
  <si>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</si>
  <si>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</si>
  <si>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</si>
  <si>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</si>
  <si>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</si>
  <si>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</si>
  <si>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</si>
  <si>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</si>
  <si>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</si>
  <si>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</si>
  <si>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</si>
  <si>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</si>
  <si>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</si>
  <si>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</si>
  <si>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</si>
  <si>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</si>
  <si>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</si>
  <si>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</si>
  <si>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</si>
  <si>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</si>
  <si>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</si>
  <si>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</si>
  <si>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</si>
  <si>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</si>
  <si>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</si>
  <si>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</si>
  <si>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</si>
  <si>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</si>
  <si>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</si>
  <si>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</si>
  <si>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</si>
  <si>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</si>
  <si>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</si>
  <si>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</si>
  <si>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</si>
  <si>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</si>
  <si>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</si>
  <si>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</si>
  <si>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</si>
  <si>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</si>
  <si>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</si>
  <si>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</si>
  <si>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</si>
  <si>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</si>
  <si>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</si>
  <si>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</si>
  <si>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</si>
  <si>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</si>
  <si>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</si>
  <si>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</si>
  <si>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</si>
  <si>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</si>
  <si>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</si>
  <si>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</si>
  <si>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</si>
  <si>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</si>
  <si>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</si>
  <si>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</si>
  <si>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</si>
  <si>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</si>
  <si>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</si>
  <si>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</si>
  <si>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</si>
  <si>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</si>
  <si>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</si>
  <si>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</si>
  <si>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</si>
  <si>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</si>
  <si>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</si>
  <si>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</si>
  <si>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</si>
  <si>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Firebase messaging implementation exists; real-device capability run pending</t>
  </si>
  <si>
    <t>Use ADB/device and backend outbox/provider oracle; inspect secret-safe evidence</t>
  </si>
  <si>
    <t>Do not record the raw token in QA files</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</si>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</sst>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24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COUNTIFS(T18:T243,"Done",U18:U243,"Core")&amp;" ("&amp;IF(COUNTIF(U18:U243,"Core")=0,"0%",TEXT(COUNTIFS(T18:T243,"Done",U18:U243,"Core")/COUNTIF(U18:U243,"Core"),"0%"))&amp;")"</f>
        <v>65 (50%)</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COUNTIFS(T18:T243,"Pending",U18:U243,"Core")</f>
        <v>13</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COUNTIFS(T18:T243,"Not started",U18:U243,"Core")</f>
        <v>51</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COUNTIFS(T18:T243,"Failed",U18:U243,"Core")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COUNTIF(U18:U243,"Core")</f>
        <v>129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COUNTA(A18:A243)</f>
        <v>226</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c r="R9" s="146" t="s">
        <v>1</v>
      </c>
      <c r="S9" s="146" t="s">
        <v>1</v>
      </c>
    </row>
    <row r="10" customFormat="false" ht="15" hidden="false" customHeight="false" outlineLevel="0" collapsed="false">
      <c r="A10" s="277" t="s">
        <v>31</v>
      </c>
      <c r="B10" s="252" t="s">
        <v>1</v>
      </c>
      <c r="C10" s="252" t="s">
        <v>32</v>
      </c>
      <c r="D10" s="138" t="str">
        <f>COUNTIFS($C$18:$C$243,A10,$T$18:$T$243,"Done")&amp;" passed / "&amp;COUNTIF($C$18:$C$243,A10)&amp;" total ("&amp;IF(COUNTIF($C$18:$C$243,A10)=0,"0%",TEXT(COUNTIFS($C$18:$C$243,A10,$T$18:$T$243,"Done")/COUNTIF($C$18:$C$243,A10),"0%"))&amp;")"</f>
        <v>0 passed / 2 total (0%)</v>
      </c>
      <c r="E10" s="175" t="s">
        <v>1</v>
      </c>
      <c r="F10" s="333" t="s">
        <v>34</v>
      </c>
      <c r="G10" s="259" t="s">
        <v>1</v>
      </c>
      <c r="H10" s="259" t="s">
        <v>35</v>
      </c>
      <c r="I10" s="138" t="str">
        <f>COUNTIFS($C$18:$C$243,F10,$T$18:$T$243,"Done")&amp;" passed / "&amp;COUNTIF($C$18:$C$243,F10)&amp;" total ("&amp;IF(COUNTIF($C$18:$C$243,F10)=0,"0%",TEXT(COUNTIFS($C$18:$C$243,F10,$T$18:$T$243,"Done")/COUNTIF($C$18:$C$243,F10),"0%"))&amp;")"</f>
        <v>0 passed / 9 total (0%)</v>
      </c>
      <c r="J10" s="175" t="s">
        <v>1</v>
      </c>
      <c r="K10" s="526" t="s">
        <v>37</v>
      </c>
      <c r="L10" s="522" t="s">
        <v>1</v>
      </c>
      <c r="M10" s="522" t="s">
        <v>38</v>
      </c>
      <c r="N10" s="451" t="str">
        <f>COUNTIFS($C$18:$C$243,K10,$T$18:$T$243,"Done")&amp;" passed / "&amp;COUNTIF($C$18:$C$243,K10)&amp;" total ("&amp;IF(COUNTIF($C$18:$C$243,K10)=0,"0%",TEXT(COUNTIFS($C$18:$C$243,K10,$T$18:$T$243,"Done")/COUNTIF($C$18:$C$243,K10),"0%"))&amp;")"</f>
        <v>3 passed / 41 total (7%)</v>
      </c>
      <c r="O10" s="470" t="s">
        <v>1</v>
      </c>
      <c r="P10" s="146" t="s">
        <v>1</v>
      </c>
      <c r="Q10" s="146" t="s">
        <v>1</v>
      </c>
      <c r="R10" s="146" t="s">
        <v>1</v>
      </c>
      <c r="S10" s="146" t="s">
        <v>1</v>
      </c>
    </row>
    <row r="11" customFormat="false" ht="15" hidden="false" customHeight="false" outlineLevel="0" collapsed="false">
      <c r="A11" s="285" t="s">
        <v>40</v>
      </c>
      <c r="B11" s="253" t="s">
        <v>1</v>
      </c>
      <c r="C11" s="253" t="s">
        <v>7</v>
      </c>
      <c r="D11" s="451" t="str">
        <f>COUNTIFS($C$18:$C$243,A11,$T$18:$T$243,"Done")&amp;" passed / "&amp;COUNTIF($C$18:$C$243,A11)&amp;" total ("&amp;IF(COUNTIF($C$18:$C$243,A11)=0,"0%",TEXT(COUNTIFS($C$18:$C$243,A11,$T$18:$T$243,"Done")/COUNTIF($C$18:$C$243,A11),"0%"))&amp;")"</f>
        <v>5 passed / 14 total (36%)</v>
      </c>
      <c r="E11" s="470" t="s">
        <v>1</v>
      </c>
      <c r="F11" s="349" t="s">
        <v>42</v>
      </c>
      <c r="G11" s="261" t="s">
        <v>1</v>
      </c>
      <c r="H11" s="261" t="s">
        <v>43</v>
      </c>
      <c r="I11" s="135" t="str">
        <f>COUNTIFS($C$18:$C$243,F11,$T$18:$T$243,"Done")&amp;" passed / "&amp;COUNTIF($C$18:$C$243,F11)&amp;" total ("&amp;IF(COUNTIF($C$18:$C$243,F11)=0,"0%",TEXT(COUNTIFS($C$18:$C$243,F11,$T$18:$T$243,"Done")/COUNTIF($C$18:$C$243,F11),"0%"))&amp;")"</f>
        <v>2 passed / 2 total (100%)</v>
      </c>
      <c r="J11" s="151" t="s">
        <v>1</v>
      </c>
      <c r="K11" s="247" t="s">
        <v>45</v>
      </c>
      <c r="L11" s="243" t="s">
        <v>1</v>
      </c>
      <c r="M11" s="243" t="s">
        <v>46</v>
      </c>
      <c r="N11" s="138" t="str">
        <f>COUNTIFS($C$18:$C$243,K11,$T$18:$T$243,"Done")&amp;" passed / "&amp;COUNTIF($C$18:$C$243,K11)&amp;" total ("&amp;IF(COUNTIF($C$18:$C$243,K11)=0,"0%",TEXT(COUNTIFS($C$18:$C$243,K11,$T$18:$T$243,"Done")/COUNTIF($C$18:$C$243,K11),"0%"))&amp;")"</f>
        <v>0 passed / 32 total (0%)</v>
      </c>
      <c r="O11" s="175" t="s">
        <v>1</v>
      </c>
      <c r="P11" s="146" t="s">
        <v>1</v>
      </c>
      <c r="Q11" s="146" t="s">
        <v>1</v>
      </c>
      <c r="R11" s="146" t="s">
        <v>1</v>
      </c>
      <c r="S11" s="146" t="s">
        <v>1</v>
      </c>
    </row>
    <row r="12" customFormat="false" ht="15" hidden="false" customHeight="false" outlineLevel="0" collapsed="false">
      <c r="A12" s="309" t="s">
        <v>48</v>
      </c>
      <c r="B12" s="256" t="s">
        <v>1</v>
      </c>
      <c r="C12" s="256" t="s">
        <v>49</v>
      </c>
      <c r="D12" s="450" t="str">
        <f>COUNTIFS($C$18:$C$243,A12,$T$18:$T$243,"Done")&amp;" passed / "&amp;COUNTIF($C$18:$C$243,A12)&amp;" total ("&amp;IF(COUNTIF($C$18:$C$243,A12)=0,"0%",TEXT(COUNTIFS($C$18:$C$243,A12,$T$18:$T$243,"Done")/COUNTIF($C$18:$C$243,A12),"0%"))&amp;")"</f>
        <v>42 passed / 53 total (79%)</v>
      </c>
      <c r="E12" s="462" t="s">
        <v>1</v>
      </c>
      <c r="F12" s="301" t="s">
        <v>51</v>
      </c>
      <c r="G12" s="255" t="s">
        <v>1</v>
      </c>
      <c r="H12" s="255" t="s">
        <v>52</v>
      </c>
      <c r="I12" s="138" t="str">
        <f>COUNTIFS($C$18:$C$243,F12,$T$18:$T$243,"Done")&amp;" passed / "&amp;COUNTIF($C$18:$C$243,F12)&amp;" total ("&amp;IF(COUNTIF($C$18:$C$243,F12)=0,"0%",TEXT(COUNTIFS($C$18:$C$243,F12,$T$18:$T$243,"Done")/COUNTIF($C$18:$C$243,F12),"0%"))&amp;")"</f>
        <v>0 passed / 7 total (0%)</v>
      </c>
      <c r="J12" s="175" t="s">
        <v>1</v>
      </c>
      <c r="K12" s="437" t="s">
        <v>54</v>
      </c>
      <c r="L12" s="272" t="s">
        <v>1</v>
      </c>
      <c r="M12" s="272" t="s">
        <v>55</v>
      </c>
      <c r="N12" s="138" t="str">
        <f>COUNTIFS($C$18:$C$243,K12,$T$18:$T$243,"Done")&amp;" passed / "&amp;COUNTIF($C$18:$C$243,K12)&amp;" total ("&amp;IF(COUNTIF($C$18:$C$243,K12)=0,"0%",TEXT(COUNTIFS($C$18:$C$243,K12,$T$18:$T$243,"Done")/COUNTIF($C$18:$C$243,K12),"0%"))&amp;")"</f>
        <v>0 passed / 16 total (0%)</v>
      </c>
      <c r="O12" s="175" t="s">
        <v>1</v>
      </c>
      <c r="P12" s="146" t="s">
        <v>1</v>
      </c>
      <c r="Q12" s="146" t="s">
        <v>1</v>
      </c>
      <c r="R12" s="146" t="s">
        <v>1</v>
      </c>
      <c r="S12" s="146" t="s">
        <v>1</v>
      </c>
    </row>
    <row r="13" customFormat="false" ht="15" hidden="false" customHeight="false" outlineLevel="0" collapsed="false">
      <c r="A13" s="317" t="s">
        <v>57</v>
      </c>
      <c r="B13" s="257" t="s">
        <v>1</v>
      </c>
      <c r="C13" s="257" t="s">
        <v>58</v>
      </c>
      <c r="D13" s="135" t="str">
        <f>COUNTIFS($C$18:$C$243,A13,$T$18:$T$243,"Done")&amp;" passed / "&amp;COUNTIF($C$18:$C$243,A13)&amp;" total ("&amp;IF(COUNTIF($C$18:$C$243,A13)=0,"0%",TEXT(COUNTIFS($C$18:$C$243,A13,$T$18:$T$243,"Done")/COUNTIF($C$18:$C$243,A13),"0%"))&amp;")"</f>
        <v>15 passed / 15 total (100%)</v>
      </c>
      <c r="E13" s="151" t="s">
        <v>1</v>
      </c>
      <c r="F13" s="357" t="s">
        <v>60</v>
      </c>
      <c r="G13" s="262" t="s">
        <v>1</v>
      </c>
      <c r="H13" s="262" t="s">
        <v>61</v>
      </c>
      <c r="I13" s="138" t="str">
        <f>COUNTIFS($C$18:$C$243,F13,$T$18:$T$243,"Done")&amp;" passed / "&amp;COUNTIF($C$18:$C$243,F13)&amp;" total ("&amp;IF(COUNTIF($C$18:$C$243,F13)=0,"0%",TEXT(COUNTIFS($C$18:$C$243,F13,$T$18:$T$243,"Done")/COUNTIF($C$18:$C$243,F13),"0%"))&amp;")"</f>
        <v>0 passed / 5 total (0%)</v>
      </c>
      <c r="J13" s="175" t="s">
        <v>1</v>
      </c>
      <c r="K13" s="445" t="s">
        <v>63</v>
      </c>
      <c r="L13" s="273" t="s">
        <v>1</v>
      </c>
      <c r="M13" s="273" t="s">
        <v>64</v>
      </c>
      <c r="N13" s="138" t="str">
        <f>COUNTIFS($C$18:$C$243,K13,$T$18:$T$243,"Done")&amp;" passed / "&amp;COUNTIF($C$18:$C$243,K13)&amp;" total ("&amp;IF(COUNTIF($C$18:$C$243,K13)=0,"0%",TEXT(COUNTIFS($C$18:$C$243,K13,$T$18:$T$243,"Done")/COUNTIF($C$18:$C$243,K13),"0%"))&amp;")"</f>
        <v>0 passed / 8 total (0%)</v>
      </c>
      <c r="O13" s="175" t="s">
        <v>1</v>
      </c>
      <c r="P13" s="146" t="s">
        <v>1</v>
      </c>
      <c r="Q13" s="146" t="s">
        <v>1</v>
      </c>
      <c r="R13" s="146" t="s">
        <v>1</v>
      </c>
      <c r="S13" s="146" t="s">
        <v>1</v>
      </c>
    </row>
    <row r="14" customFormat="false" ht="15" hidden="false" customHeight="false" outlineLevel="0" collapsed="false">
      <c r="A14" s="327" t="s">
        <v>66</v>
      </c>
      <c r="B14" s="328" t="s">
        <v>1</v>
      </c>
      <c r="C14" s="328" t="s">
        <v>67</v>
      </c>
      <c r="D14" s="472" t="str">
        <f>COUNTIFS($C$18:$C$243,A14,$T$18:$T$243,"Done")&amp;" passed / "&amp;COUNTIF($C$18:$C$243,A14)&amp;" total ("&amp;IF(COUNTIF($C$18:$C$243,A14)=0,"0%",TEXT(COUNTIFS($C$18:$C$243,A14,$T$18:$T$243,"Done")/COUNTIF($C$18:$C$243,A14),"0%"))&amp;")"</f>
        <v>1 passed / 20 total (5%)</v>
      </c>
      <c r="E14" s="473" t="s">
        <v>1</v>
      </c>
      <c r="F14" s="367" t="s">
        <v>69</v>
      </c>
      <c r="G14" s="368" t="s">
        <v>1</v>
      </c>
      <c r="H14" s="368" t="s">
        <v>70</v>
      </c>
      <c r="I14" s="177" t="str">
        <f>COUNTIFS($C$18:$C$243,F14,$T$18:$T$243,"Done")&amp;" passed / "&amp;COUNTIF($C$18:$C$243,F14)&amp;" total ("&amp;IF(COUNTIF($C$18:$C$243,F14)=0,"0%",TEXT(COUNTIFS($C$18:$C$243,F14,$T$18:$T$243,"Done")/COUNTIF($C$18:$C$243,F14),"0%"))&amp;")"</f>
        <v>0 passed / 2 total (0%)</v>
      </c>
      <c r="J14" s="178" t="s">
        <v>1</v>
      </c>
      <c r="K14" s="240" t="s">
        <v>1</v>
      </c>
      <c r="L14" s="241" t="s">
        <v>1</v>
      </c>
      <c r="M14" s="241" t="s">
        <v>1</v>
      </c>
      <c r="N14" s="241" t="s">
        <v>1</v>
      </c>
      <c r="O14" s="242" t="s">
        <v>1</v>
      </c>
      <c r="P14" s="146" t="s">
        <v>1</v>
      </c>
      <c r="Q14" s="146" t="s">
        <v>1</v>
      </c>
      <c r="R14" s="146" t="s">
        <v>1</v>
      </c>
      <c r="S14" s="146" t="s">
        <v>1</v>
      </c>
    </row>
    <row r="15" customFormat="false" ht="20" hidden="false" customHeight="true" outlineLevel="0" collapsed="false">
      <c r="A15" s="145" t="s">
        <v>71</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72</v>
      </c>
      <c r="M16" s="143" t="s">
        <v>1</v>
      </c>
      <c r="N16" s="146" t="s">
        <v>1</v>
      </c>
      <c r="O16" s="146" t="s">
        <v>1</v>
      </c>
      <c r="P16" s="146" t="s">
        <v>1</v>
      </c>
      <c r="Q16" s="146" t="s">
        <v>1</v>
      </c>
      <c r="R16" s="146" t="s">
        <v>1</v>
      </c>
      <c r="S16" s="146" t="s">
        <v>1</v>
      </c>
    </row>
    <row r="17" customFormat="false" ht="15" hidden="false" customHeight="false" outlineLevel="0" collapsed="false">
      <c r="A17" s="143" t="s">
        <v>73</v>
      </c>
      <c r="B17" s="143" t="s">
        <v>74</v>
      </c>
      <c r="C17" s="143" t="s">
        <v>27</v>
      </c>
      <c r="D17" s="143" t="s">
        <v>75</v>
      </c>
      <c r="E17" s="143" t="s">
        <v>76</v>
      </c>
      <c r="F17" s="143" t="s">
        <v>77</v>
      </c>
      <c r="G17" s="143" t="s">
        <v>78</v>
      </c>
      <c r="H17" s="143" t="s">
        <v>79</v>
      </c>
      <c r="I17" s="143" t="s">
        <v>80</v>
      </c>
      <c r="J17" s="143" t="s">
        <v>81</v>
      </c>
      <c r="K17" s="143" t="s">
        <v>82</v>
      </c>
      <c r="L17" s="143" t="s">
        <v>83</v>
      </c>
      <c r="M17" s="143" t="s">
        <v>84</v>
      </c>
      <c r="N17" s="143" t="s">
        <v>85</v>
      </c>
      <c r="O17" s="143" t="s">
        <v>86</v>
      </c>
      <c r="P17" s="143" t="s">
        <v>87</v>
      </c>
      <c r="Q17" s="143" t="s">
        <v>88</v>
      </c>
      <c r="R17" s="143" t="s">
        <v>89</v>
      </c>
      <c r="S17" s="143" t="s">
        <v>90</v>
      </c>
    </row>
    <row r="18" customFormat="false" ht="15" hidden="false" customHeight="false" outlineLevel="0" collapsed="false">
      <c r="A18" s="136" t="s">
        <v>91</v>
      </c>
      <c r="B18" s="136" t="s">
        <v>92</v>
      </c>
      <c r="C18" s="252" t="s">
        <v>31</v>
      </c>
      <c r="D18" s="136" t="s">
        <v>93</v>
      </c>
      <c r="E18" s="136" t="s">
        <v>94</v>
      </c>
      <c r="F18" s="136" t="s">
        <v>95</v>
      </c>
      <c r="G18" s="136" t="s">
        <v>96</v>
      </c>
      <c r="H18" s="136" t="s">
        <v>97</v>
      </c>
      <c r="I18" s="136" t="s">
        <v>98</v>
      </c>
      <c r="J18" s="136" t="s">
        <v>99</v>
      </c>
      <c r="K18" s="136" t="s">
        <v>100</v>
      </c>
      <c r="L18" s="136" t="s">
        <v>1</v>
      </c>
      <c r="M18" s="136" t="s">
        <v>1</v>
      </c>
      <c r="N18" s="136" t="s">
        <v>101</v>
      </c>
      <c r="O18" s="136" t="s">
        <v>102</v>
      </c>
      <c r="P18" s="136" t="s">
        <v>103</v>
      </c>
      <c r="Q18" s="136" t="s">
        <v>104</v>
      </c>
      <c r="R18" s="136" t="s">
        <v>105</v>
      </c>
      <c r="S18" s="136" t="s">
        <v>106</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Pending</v>
      </c>
      <c r="U18" s="146" t="str">
        <f>IF(OR(C18="Admin optional",LEFT(A18,9)="OPERATOR-",LEFT(A18,8)="PAYMENT-",LEFT(A18,7)="DEPLOY-"),"External","Core")</f>
        <v>Core</v>
      </c>
    </row>
    <row r="19" customFormat="false" ht="15" hidden="false" customHeight="false" outlineLevel="0" collapsed="false">
      <c r="A19" s="136" t="s">
        <v>107</v>
      </c>
      <c r="B19" s="136" t="s">
        <v>108</v>
      </c>
      <c r="C19" s="252" t="s">
        <v>31</v>
      </c>
      <c r="D19" s="136" t="s">
        <v>109</v>
      </c>
      <c r="E19" s="136" t="s">
        <v>110</v>
      </c>
      <c r="F19" s="136" t="s">
        <v>4</v>
      </c>
      <c r="G19" s="136" t="s">
        <v>4</v>
      </c>
      <c r="H19" s="136" t="s">
        <v>4</v>
      </c>
      <c r="I19" s="136" t="s">
        <v>4</v>
      </c>
      <c r="J19" s="136" t="s">
        <v>111</v>
      </c>
      <c r="K19" s="136" t="s">
        <v>112</v>
      </c>
      <c r="L19" s="136" t="s">
        <v>1</v>
      </c>
      <c r="M19" s="136" t="s">
        <v>1</v>
      </c>
      <c r="N19" s="136" t="s">
        <v>101</v>
      </c>
      <c r="O19" s="136" t="s">
        <v>113</v>
      </c>
      <c r="P19" s="136" t="s">
        <v>114</v>
      </c>
      <c r="Q19" s="136" t="s">
        <v>115</v>
      </c>
      <c r="R19" s="136" t="s">
        <v>116</v>
      </c>
      <c r="S19" s="136" t="s">
        <v>117</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Pending</v>
      </c>
      <c r="U19" s="146" t="str">
        <f>IF(OR(C19="Admin optional",LEFT(A19,9)="OPERATOR-",LEFT(A19,8)="PAYMENT-",LEFT(A19,7)="DEPLOY-"),"External","Core")</f>
        <v>Core</v>
      </c>
    </row>
    <row r="20" customFormat="false" ht="45" hidden="false" customHeight="true" outlineLevel="0" collapsed="false">
      <c r="A20" s="135" t="s">
        <v>118</v>
      </c>
      <c r="B20" s="135" t="s">
        <v>119</v>
      </c>
      <c r="C20" s="253" t="s">
        <v>40</v>
      </c>
      <c r="D20" s="135" t="s">
        <v>120</v>
      </c>
      <c r="E20" s="135" t="s">
        <v>121</v>
      </c>
      <c r="F20" s="135" t="s">
        <v>122</v>
      </c>
      <c r="G20" s="135" t="s">
        <v>123</v>
      </c>
      <c r="H20" s="135" t="s">
        <v>124</v>
      </c>
      <c r="I20" s="135" t="s">
        <v>4</v>
      </c>
      <c r="J20" s="135" t="s">
        <v>125</v>
      </c>
      <c r="K20" s="135" t="s">
        <v>126</v>
      </c>
      <c r="L20" s="135" t="s">
        <v>1</v>
      </c>
      <c r="M20" s="135" t="s">
        <v>1</v>
      </c>
      <c r="N20" s="135" t="s">
        <v>127</v>
      </c>
      <c r="O20" s="135" t="s">
        <v>128</v>
      </c>
      <c r="P20" s="135" t="s">
        <v>129</v>
      </c>
      <c r="Q20" s="135" t="s">
        <v>130</v>
      </c>
      <c r="R20" s="135" t="s">
        <v>131</v>
      </c>
      <c r="S20" s="135" t="s">
        <v>132</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IF(OR(C20="Admin optional",LEFT(A20,9)="OPERATOR-",LEFT(A20,8)="PAYMENT-",LEFT(A20,7)="DEPLOY-"),"External","Core")</f>
        <v>Core</v>
      </c>
    </row>
    <row r="21" customFormat="false" ht="15" hidden="false" customHeight="false" outlineLevel="0" collapsed="false">
      <c r="A21" s="138" t="s">
        <v>133</v>
      </c>
      <c r="B21" s="138" t="s">
        <v>119</v>
      </c>
      <c r="C21" s="253" t="s">
        <v>40</v>
      </c>
      <c r="D21" s="138" t="s">
        <v>120</v>
      </c>
      <c r="E21" s="138" t="s">
        <v>134</v>
      </c>
      <c r="F21" s="138" t="s">
        <v>122</v>
      </c>
      <c r="G21" s="138" t="s">
        <v>135</v>
      </c>
      <c r="H21" s="138" t="s">
        <v>124</v>
      </c>
      <c r="I21" s="138" t="s">
        <v>4</v>
      </c>
      <c r="J21" s="138" t="s">
        <v>136</v>
      </c>
      <c r="K21" s="138" t="s">
        <v>137</v>
      </c>
      <c r="L21" s="138" t="s">
        <v>1</v>
      </c>
      <c r="M21" s="138" t="s">
        <v>1</v>
      </c>
      <c r="N21" s="138" t="s">
        <v>1</v>
      </c>
      <c r="O21" s="138" t="s">
        <v>138</v>
      </c>
      <c r="P21" s="138" t="s">
        <v>139</v>
      </c>
      <c r="Q21" s="138" t="s">
        <v>1</v>
      </c>
      <c r="R21" s="138" t="s">
        <v>140</v>
      </c>
      <c r="S21" s="138" t="s">
        <v>106</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U21" s="146" t="str">
        <f>IF(OR(C21="Admin optional",LEFT(A21,9)="OPERATOR-",LEFT(A21,8)="PAYMENT-",LEFT(A21,7)="DEPLOY-"),"External","Core")</f>
        <v>Core</v>
      </c>
    </row>
    <row r="22" customFormat="false" ht="60" hidden="false" customHeight="true" outlineLevel="0" collapsed="false">
      <c r="A22" s="135" t="s">
        <v>141</v>
      </c>
      <c r="B22" s="135" t="s">
        <v>119</v>
      </c>
      <c r="C22" s="253" t="s">
        <v>40</v>
      </c>
      <c r="D22" s="135" t="s">
        <v>142</v>
      </c>
      <c r="E22" s="135" t="s">
        <v>143</v>
      </c>
      <c r="F22" s="135" t="s">
        <v>4</v>
      </c>
      <c r="G22" s="135" t="s">
        <v>144</v>
      </c>
      <c r="H22" s="135" t="s">
        <v>4</v>
      </c>
      <c r="I22" s="135" t="s">
        <v>4</v>
      </c>
      <c r="J22" s="135" t="s">
        <v>145</v>
      </c>
      <c r="K22" s="135" t="s">
        <v>126</v>
      </c>
      <c r="L22" s="135" t="s">
        <v>1</v>
      </c>
      <c r="M22" s="135" t="s">
        <v>1</v>
      </c>
      <c r="N22" s="135" t="s">
        <v>127</v>
      </c>
      <c r="O22" s="135" t="s">
        <v>146</v>
      </c>
      <c r="P22" s="135" t="s">
        <v>147</v>
      </c>
      <c r="Q22" s="135" t="s">
        <v>130</v>
      </c>
      <c r="R22" s="135" t="s">
        <v>148</v>
      </c>
      <c r="S22" s="135" t="s">
        <v>106</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IF(OR(C22="Admin optional",LEFT(A22,9)="OPERATOR-",LEFT(A22,8)="PAYMENT-",LEFT(A22,7)="DEPLOY-"),"External","Core")</f>
        <v>Core</v>
      </c>
    </row>
    <row r="23" customFormat="false" ht="150" hidden="false" customHeight="true" outlineLevel="0" collapsed="false">
      <c r="A23" s="135" t="s">
        <v>149</v>
      </c>
      <c r="B23" s="135" t="s">
        <v>119</v>
      </c>
      <c r="C23" s="253" t="s">
        <v>40</v>
      </c>
      <c r="D23" s="135" t="s">
        <v>142</v>
      </c>
      <c r="E23" s="135" t="s">
        <v>150</v>
      </c>
      <c r="F23" s="135" t="s">
        <v>4</v>
      </c>
      <c r="G23" s="135" t="s">
        <v>151</v>
      </c>
      <c r="H23" s="135" t="s">
        <v>4</v>
      </c>
      <c r="I23" s="135" t="s">
        <v>4</v>
      </c>
      <c r="J23" s="135" t="s">
        <v>152</v>
      </c>
      <c r="K23" s="135" t="s">
        <v>126</v>
      </c>
      <c r="L23" s="135" t="s">
        <v>1</v>
      </c>
      <c r="M23" s="135" t="s">
        <v>1</v>
      </c>
      <c r="N23" s="135" t="s">
        <v>127</v>
      </c>
      <c r="O23" s="135" t="s">
        <v>153</v>
      </c>
      <c r="P23" s="135" t="s">
        <v>154</v>
      </c>
      <c r="Q23" s="135" t="s">
        <v>130</v>
      </c>
      <c r="R23" s="135" t="s">
        <v>155</v>
      </c>
      <c r="S23" s="135" t="s">
        <v>106</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IF(OR(C23="Admin optional",LEFT(A23,9)="OPERATOR-",LEFT(A23,8)="PAYMENT-",LEFT(A23,7)="DEPLOY-"),"External","Core")</f>
        <v>Core</v>
      </c>
    </row>
    <row r="24" customFormat="false" ht="90" hidden="false" customHeight="true" outlineLevel="0" collapsed="false">
      <c r="A24" s="135" t="s">
        <v>156</v>
      </c>
      <c r="B24" s="135" t="s">
        <v>119</v>
      </c>
      <c r="C24" s="253" t="s">
        <v>40</v>
      </c>
      <c r="D24" s="135" t="s">
        <v>142</v>
      </c>
      <c r="E24" s="135" t="s">
        <v>157</v>
      </c>
      <c r="F24" s="135" t="s">
        <v>4</v>
      </c>
      <c r="G24" s="135" t="s">
        <v>158</v>
      </c>
      <c r="H24" s="135" t="s">
        <v>4</v>
      </c>
      <c r="I24" s="135" t="s">
        <v>4</v>
      </c>
      <c r="J24" s="135" t="s">
        <v>159</v>
      </c>
      <c r="K24" s="135" t="s">
        <v>160</v>
      </c>
      <c r="L24" s="135" t="s">
        <v>1</v>
      </c>
      <c r="M24" s="135" t="s">
        <v>1</v>
      </c>
      <c r="N24" s="135" t="s">
        <v>127</v>
      </c>
      <c r="O24" s="135" t="s">
        <v>161</v>
      </c>
      <c r="P24" s="135" t="s">
        <v>162</v>
      </c>
      <c r="Q24" s="135" t="s">
        <v>130</v>
      </c>
      <c r="R24" s="135" t="s">
        <v>163</v>
      </c>
      <c r="S24" s="135" t="s">
        <v>106</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IF(OR(C24="Admin optional",LEFT(A24,9)="OPERATOR-",LEFT(A24,8)="PAYMENT-",LEFT(A24,7)="DEPLOY-"),"External","Core")</f>
        <v>Core</v>
      </c>
    </row>
    <row r="25" customFormat="false" ht="105" hidden="false" customHeight="true" outlineLevel="0" collapsed="false">
      <c r="A25" s="135" t="s">
        <v>164</v>
      </c>
      <c r="B25" s="135" t="s">
        <v>165</v>
      </c>
      <c r="C25" s="253" t="s">
        <v>40</v>
      </c>
      <c r="D25" s="135" t="s">
        <v>166</v>
      </c>
      <c r="E25" s="135" t="s">
        <v>167</v>
      </c>
      <c r="F25" s="135" t="s">
        <v>168</v>
      </c>
      <c r="G25" s="135" t="s">
        <v>169</v>
      </c>
      <c r="H25" s="135" t="s">
        <v>4</v>
      </c>
      <c r="I25" s="135" t="s">
        <v>4</v>
      </c>
      <c r="J25" s="135" t="s">
        <v>170</v>
      </c>
      <c r="K25" s="135" t="s">
        <v>160</v>
      </c>
      <c r="L25" s="135" t="s">
        <v>1</v>
      </c>
      <c r="M25" s="135" t="s">
        <v>1</v>
      </c>
      <c r="N25" s="135" t="s">
        <v>171</v>
      </c>
      <c r="O25" s="135" t="s">
        <v>172</v>
      </c>
      <c r="P25" s="135" t="s">
        <v>173</v>
      </c>
      <c r="Q25" s="135" t="s">
        <v>130</v>
      </c>
      <c r="R25" s="135" t="s">
        <v>174</v>
      </c>
      <c r="S25" s="135" t="s">
        <v>106</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IF(OR(C25="Admin optional",LEFT(A25,9)="OPERATOR-",LEFT(A25,8)="PAYMENT-",LEFT(A25,7)="DEPLOY-"),"External","Core")</f>
        <v>Core</v>
      </c>
    </row>
    <row r="26" customFormat="false" ht="75" hidden="false" customHeight="true" outlineLevel="0" collapsed="false">
      <c r="A26" s="136" t="s">
        <v>175</v>
      </c>
      <c r="B26" s="136" t="s">
        <v>165</v>
      </c>
      <c r="C26" s="253" t="s">
        <v>40</v>
      </c>
      <c r="D26" s="136" t="s">
        <v>176</v>
      </c>
      <c r="E26" s="136" t="s">
        <v>177</v>
      </c>
      <c r="F26" s="136" t="s">
        <v>4</v>
      </c>
      <c r="G26" s="136" t="s">
        <v>178</v>
      </c>
      <c r="H26" s="136" t="s">
        <v>4</v>
      </c>
      <c r="I26" s="136" t="s">
        <v>4</v>
      </c>
      <c r="J26" s="136" t="s">
        <v>179</v>
      </c>
      <c r="K26" s="136" t="s">
        <v>180</v>
      </c>
      <c r="L26" s="136" t="s">
        <v>1</v>
      </c>
      <c r="M26" s="136" t="s">
        <v>1</v>
      </c>
      <c r="N26" s="136" t="s">
        <v>181</v>
      </c>
      <c r="O26" s="136" t="s">
        <v>182</v>
      </c>
      <c r="P26" s="136" t="s">
        <v>183</v>
      </c>
      <c r="Q26" s="136" t="s">
        <v>1</v>
      </c>
      <c r="R26" s="136" t="s">
        <v>184</v>
      </c>
      <c r="S26" s="136" t="s">
        <v>106</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Pending</v>
      </c>
      <c r="U26" s="146" t="str">
        <f>IF(OR(C26="Admin optional",LEFT(A26,9)="OPERATOR-",LEFT(A26,8)="PAYMENT-",LEFT(A26,7)="DEPLOY-"),"External","Core")</f>
        <v>Core</v>
      </c>
    </row>
    <row r="27" customFormat="false" ht="15" hidden="false" customHeight="false" outlineLevel="0" collapsed="false">
      <c r="A27" s="138" t="s">
        <v>185</v>
      </c>
      <c r="B27" s="138" t="s">
        <v>186</v>
      </c>
      <c r="C27" s="253" t="s">
        <v>40</v>
      </c>
      <c r="D27" s="138" t="s">
        <v>187</v>
      </c>
      <c r="E27" s="138" t="s">
        <v>188</v>
      </c>
      <c r="F27" s="138" t="s">
        <v>189</v>
      </c>
      <c r="G27" s="138" t="s">
        <v>190</v>
      </c>
      <c r="H27" s="138" t="s">
        <v>4</v>
      </c>
      <c r="I27" s="138" t="s">
        <v>4</v>
      </c>
      <c r="J27" s="138" t="s">
        <v>191</v>
      </c>
      <c r="K27" s="138" t="s">
        <v>137</v>
      </c>
      <c r="L27" s="138" t="s">
        <v>1</v>
      </c>
      <c r="M27" s="138" t="s">
        <v>1</v>
      </c>
      <c r="N27" s="138" t="s">
        <v>1</v>
      </c>
      <c r="O27" s="138" t="s">
        <v>192</v>
      </c>
      <c r="P27" s="138" t="s">
        <v>193</v>
      </c>
      <c r="Q27" s="138" t="s">
        <v>1</v>
      </c>
      <c r="R27" s="138" t="s">
        <v>194</v>
      </c>
      <c r="S27" s="138" t="s">
        <v>106</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Not started</v>
      </c>
      <c r="U27" s="146" t="str">
        <f>IF(OR(C27="Admin optional",LEFT(A27,9)="OPERATOR-",LEFT(A27,8)="PAYMENT-",LEFT(A27,7)="DEPLOY-"),"External","Core")</f>
        <v>Core</v>
      </c>
    </row>
    <row r="28" customFormat="false" ht="15" hidden="false" customHeight="false" outlineLevel="0" collapsed="false">
      <c r="A28" s="138" t="s">
        <v>195</v>
      </c>
      <c r="B28" s="138" t="s">
        <v>186</v>
      </c>
      <c r="C28" s="253" t="s">
        <v>40</v>
      </c>
      <c r="D28" s="138" t="s">
        <v>196</v>
      </c>
      <c r="E28" s="138" t="s">
        <v>197</v>
      </c>
      <c r="F28" s="138" t="s">
        <v>4</v>
      </c>
      <c r="G28" s="138" t="s">
        <v>198</v>
      </c>
      <c r="H28" s="138" t="s">
        <v>4</v>
      </c>
      <c r="I28" s="138" t="s">
        <v>4</v>
      </c>
      <c r="J28" s="138" t="s">
        <v>199</v>
      </c>
      <c r="K28" s="138" t="s">
        <v>137</v>
      </c>
      <c r="L28" s="138" t="s">
        <v>1</v>
      </c>
      <c r="M28" s="138" t="s">
        <v>1</v>
      </c>
      <c r="N28" s="138" t="s">
        <v>1</v>
      </c>
      <c r="O28" s="138" t="s">
        <v>200</v>
      </c>
      <c r="P28" s="138" t="s">
        <v>201</v>
      </c>
      <c r="Q28" s="138" t="s">
        <v>1</v>
      </c>
      <c r="R28" s="138" t="s">
        <v>202</v>
      </c>
      <c r="S28" s="138" t="s">
        <v>203</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Not started</v>
      </c>
      <c r="U28" s="146" t="str">
        <f>IF(OR(C28="Admin optional",LEFT(A28,9)="OPERATOR-",LEFT(A28,8)="PAYMENT-",LEFT(A28,7)="DEPLOY-"),"External","Core")</f>
        <v>Core</v>
      </c>
    </row>
    <row r="29" customFormat="false" ht="15" hidden="false" customHeight="false" outlineLevel="0" collapsed="false">
      <c r="A29" s="138" t="s">
        <v>204</v>
      </c>
      <c r="B29" s="138" t="s">
        <v>186</v>
      </c>
      <c r="C29" s="253" t="s">
        <v>40</v>
      </c>
      <c r="D29" s="138" t="s">
        <v>205</v>
      </c>
      <c r="E29" s="138" t="s">
        <v>206</v>
      </c>
      <c r="F29" s="138" t="s">
        <v>4</v>
      </c>
      <c r="G29" s="138" t="s">
        <v>207</v>
      </c>
      <c r="H29" s="138" t="s">
        <v>4</v>
      </c>
      <c r="I29" s="138" t="s">
        <v>208</v>
      </c>
      <c r="J29" s="138" t="s">
        <v>209</v>
      </c>
      <c r="K29" s="138" t="s">
        <v>137</v>
      </c>
      <c r="L29" s="138" t="s">
        <v>1</v>
      </c>
      <c r="M29" s="138" t="s">
        <v>1</v>
      </c>
      <c r="N29" s="138" t="s">
        <v>1</v>
      </c>
      <c r="O29" s="138" t="s">
        <v>210</v>
      </c>
      <c r="P29" s="138" t="s">
        <v>211</v>
      </c>
      <c r="Q29" s="138" t="s">
        <v>1</v>
      </c>
      <c r="R29" s="138" t="s">
        <v>212</v>
      </c>
      <c r="S29" s="138" t="s">
        <v>106</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Not started</v>
      </c>
      <c r="U29" s="146" t="str">
        <f>IF(OR(C29="Admin optional",LEFT(A29,9)="OPERATOR-",LEFT(A29,8)="PAYMENT-",LEFT(A29,7)="DEPLOY-"),"External","Core")</f>
        <v>Core</v>
      </c>
    </row>
    <row r="30" customFormat="false" ht="15" hidden="false" customHeight="false" outlineLevel="0" collapsed="false">
      <c r="A30" s="138" t="s">
        <v>213</v>
      </c>
      <c r="B30" s="138" t="s">
        <v>186</v>
      </c>
      <c r="C30" s="253" t="s">
        <v>40</v>
      </c>
      <c r="D30" s="138" t="s">
        <v>214</v>
      </c>
      <c r="E30" s="138" t="s">
        <v>215</v>
      </c>
      <c r="F30" s="138" t="s">
        <v>216</v>
      </c>
      <c r="G30" s="138" t="s">
        <v>217</v>
      </c>
      <c r="H30" s="138" t="s">
        <v>4</v>
      </c>
      <c r="I30" s="138" t="s">
        <v>4</v>
      </c>
      <c r="J30" s="138" t="s">
        <v>218</v>
      </c>
      <c r="K30" s="138" t="s">
        <v>137</v>
      </c>
      <c r="L30" s="138" t="s">
        <v>1</v>
      </c>
      <c r="M30" s="138" t="s">
        <v>1</v>
      </c>
      <c r="N30" s="138" t="s">
        <v>1</v>
      </c>
      <c r="O30" s="138" t="s">
        <v>219</v>
      </c>
      <c r="P30" s="138" t="s">
        <v>220</v>
      </c>
      <c r="Q30" s="138" t="s">
        <v>1</v>
      </c>
      <c r="R30" s="138" t="s">
        <v>221</v>
      </c>
      <c r="S30" s="138" t="s">
        <v>106</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Not started</v>
      </c>
      <c r="U30" s="146" t="str">
        <f>IF(OR(C30="Admin optional",LEFT(A30,9)="OPERATOR-",LEFT(A30,8)="PAYMENT-",LEFT(A30,7)="DEPLOY-"),"External","Core")</f>
        <v>Core</v>
      </c>
    </row>
    <row r="31" customFormat="false" ht="15" hidden="false" customHeight="false" outlineLevel="0" collapsed="false">
      <c r="A31" s="138" t="s">
        <v>222</v>
      </c>
      <c r="B31" s="138" t="s">
        <v>186</v>
      </c>
      <c r="C31" s="253" t="s">
        <v>40</v>
      </c>
      <c r="D31" s="138" t="s">
        <v>223</v>
      </c>
      <c r="E31" s="138" t="s">
        <v>224</v>
      </c>
      <c r="F31" s="138" t="s">
        <v>225</v>
      </c>
      <c r="G31" s="138" t="s">
        <v>226</v>
      </c>
      <c r="H31" s="138" t="s">
        <v>4</v>
      </c>
      <c r="I31" s="138" t="s">
        <v>227</v>
      </c>
      <c r="J31" s="138" t="s">
        <v>228</v>
      </c>
      <c r="K31" s="138" t="s">
        <v>137</v>
      </c>
      <c r="L31" s="138" t="s">
        <v>1</v>
      </c>
      <c r="M31" s="138" t="s">
        <v>1</v>
      </c>
      <c r="N31" s="138" t="s">
        <v>1</v>
      </c>
      <c r="O31" s="138" t="s">
        <v>229</v>
      </c>
      <c r="P31" s="138" t="s">
        <v>230</v>
      </c>
      <c r="Q31" s="138" t="s">
        <v>1</v>
      </c>
      <c r="R31" s="138" t="s">
        <v>231</v>
      </c>
      <c r="S31" s="138" t="s">
        <v>106</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Not started</v>
      </c>
      <c r="U31" s="146" t="str">
        <f>IF(OR(C31="Admin optional",LEFT(A31,9)="OPERATOR-",LEFT(A31,8)="PAYMENT-",LEFT(A31,7)="DEPLOY-"),"External","Core")</f>
        <v>Core</v>
      </c>
    </row>
    <row r="32" customFormat="false" ht="15" hidden="false" customHeight="false" outlineLevel="0" collapsed="false">
      <c r="A32" s="138" t="s">
        <v>232</v>
      </c>
      <c r="B32" s="138" t="s">
        <v>233</v>
      </c>
      <c r="C32" s="253" t="s">
        <v>40</v>
      </c>
      <c r="D32" s="138" t="s">
        <v>234</v>
      </c>
      <c r="E32" s="138" t="s">
        <v>235</v>
      </c>
      <c r="F32" s="138" t="s">
        <v>4</v>
      </c>
      <c r="G32" s="138" t="s">
        <v>236</v>
      </c>
      <c r="H32" s="138" t="s">
        <v>4</v>
      </c>
      <c r="I32" s="138" t="s">
        <v>4</v>
      </c>
      <c r="J32" s="138" t="s">
        <v>237</v>
      </c>
      <c r="K32" s="138" t="s">
        <v>137</v>
      </c>
      <c r="L32" s="138" t="s">
        <v>1</v>
      </c>
      <c r="M32" s="138" t="s">
        <v>1</v>
      </c>
      <c r="N32" s="138" t="s">
        <v>1</v>
      </c>
      <c r="O32" s="138" t="s">
        <v>238</v>
      </c>
      <c r="P32" s="138" t="s">
        <v>239</v>
      </c>
      <c r="Q32" s="138" t="s">
        <v>1</v>
      </c>
      <c r="R32" s="138" t="s">
        <v>240</v>
      </c>
      <c r="S32" s="138" t="s">
        <v>106</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U32" s="146" t="str">
        <f>IF(OR(C32="Admin optional",LEFT(A32,9)="OPERATOR-",LEFT(A32,8)="PAYMENT-",LEFT(A32,7)="DEPLOY-"),"External","Core")</f>
        <v>Core</v>
      </c>
    </row>
    <row r="33" customFormat="false" ht="15" hidden="false" customHeight="false" outlineLevel="0" collapsed="false">
      <c r="A33" s="136" t="s">
        <v>241</v>
      </c>
      <c r="B33" s="136" t="s">
        <v>242</v>
      </c>
      <c r="C33" s="253" t="s">
        <v>40</v>
      </c>
      <c r="D33" s="136" t="s">
        <v>243</v>
      </c>
      <c r="E33" s="136" t="s">
        <v>244</v>
      </c>
      <c r="F33" s="136" t="s">
        <v>245</v>
      </c>
      <c r="G33" s="136" t="s">
        <v>246</v>
      </c>
      <c r="H33" s="136" t="s">
        <v>247</v>
      </c>
      <c r="I33" s="136" t="s">
        <v>8</v>
      </c>
      <c r="J33" s="136" t="s">
        <v>248</v>
      </c>
      <c r="K33" s="136" t="s">
        <v>249</v>
      </c>
      <c r="L33" s="136" t="s">
        <v>1</v>
      </c>
      <c r="M33" s="136" t="s">
        <v>1</v>
      </c>
      <c r="N33" s="136" t="s">
        <v>250</v>
      </c>
      <c r="O33" s="136" t="s">
        <v>251</v>
      </c>
      <c r="P33" s="136" t="s">
        <v>252</v>
      </c>
      <c r="Q33" s="136" t="s">
        <v>253</v>
      </c>
      <c r="R33" s="136" t="s">
        <v>254</v>
      </c>
      <c r="S33" s="136" t="s">
        <v>132</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Pending</v>
      </c>
      <c r="U33" s="146" t="str">
        <f>IF(OR(C33="Admin optional",LEFT(A33,9)="OPERATOR-",LEFT(A33,8)="PAYMENT-",LEFT(A33,7)="DEPLOY-"),"External","Core")</f>
        <v>Core</v>
      </c>
    </row>
    <row r="34" customFormat="false" ht="15" hidden="false" customHeight="false" outlineLevel="0" collapsed="false">
      <c r="A34" s="135" t="s">
        <v>255</v>
      </c>
      <c r="B34" s="135" t="s">
        <v>256</v>
      </c>
      <c r="C34" s="256" t="s">
        <v>48</v>
      </c>
      <c r="D34" s="135" t="s">
        <v>257</v>
      </c>
      <c r="E34" s="135" t="s">
        <v>258</v>
      </c>
      <c r="F34" s="135" t="s">
        <v>259</v>
      </c>
      <c r="G34" s="135" t="s">
        <v>260</v>
      </c>
      <c r="H34" s="135" t="s">
        <v>261</v>
      </c>
      <c r="I34" s="135" t="s">
        <v>262</v>
      </c>
      <c r="J34" s="135" t="s">
        <v>263</v>
      </c>
      <c r="K34" s="135" t="s">
        <v>264</v>
      </c>
      <c r="L34" s="135" t="s">
        <v>1</v>
      </c>
      <c r="M34" s="135" t="s">
        <v>1</v>
      </c>
      <c r="N34" s="135" t="s">
        <v>101</v>
      </c>
      <c r="O34" s="135" t="s">
        <v>265</v>
      </c>
      <c r="P34" s="135" t="s">
        <v>266</v>
      </c>
      <c r="Q34" s="135" t="s">
        <v>130</v>
      </c>
      <c r="R34" s="135" t="s">
        <v>267</v>
      </c>
      <c r="S34" s="135" t="s">
        <v>117</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IF(OR(C34="Admin optional",LEFT(A34,9)="OPERATOR-",LEFT(A34,8)="PAYMENT-",LEFT(A34,7)="DEPLOY-"),"External","Core")</f>
        <v>Core</v>
      </c>
    </row>
    <row r="35" customFormat="false" ht="15" hidden="false" customHeight="false" outlineLevel="0" collapsed="false">
      <c r="A35" s="135" t="s">
        <v>268</v>
      </c>
      <c r="B35" s="135" t="s">
        <v>269</v>
      </c>
      <c r="C35" s="256" t="s">
        <v>48</v>
      </c>
      <c r="D35" s="135" t="s">
        <v>270</v>
      </c>
      <c r="E35" s="135" t="s">
        <v>271</v>
      </c>
      <c r="F35" s="135" t="s">
        <v>272</v>
      </c>
      <c r="G35" s="135" t="s">
        <v>273</v>
      </c>
      <c r="H35" s="135" t="s">
        <v>274</v>
      </c>
      <c r="I35" s="135" t="s">
        <v>275</v>
      </c>
      <c r="J35" s="135" t="s">
        <v>276</v>
      </c>
      <c r="K35" s="135" t="s">
        <v>264</v>
      </c>
      <c r="L35" s="135" t="s">
        <v>1</v>
      </c>
      <c r="M35" s="135" t="s">
        <v>1</v>
      </c>
      <c r="N35" s="135" t="s">
        <v>101</v>
      </c>
      <c r="O35" s="135" t="s">
        <v>277</v>
      </c>
      <c r="P35" s="135" t="s">
        <v>278</v>
      </c>
      <c r="Q35" s="135" t="s">
        <v>130</v>
      </c>
      <c r="R35" s="135" t="s">
        <v>279</v>
      </c>
      <c r="S35" s="135" t="s">
        <v>132</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IF(OR(C35="Admin optional",LEFT(A35,9)="OPERATOR-",LEFT(A35,8)="PAYMENT-",LEFT(A35,7)="DEPLOY-"),"External","Core")</f>
        <v>Core</v>
      </c>
    </row>
    <row r="36" customFormat="false" ht="15" hidden="false" customHeight="false" outlineLevel="0" collapsed="false">
      <c r="A36" s="135" t="s">
        <v>280</v>
      </c>
      <c r="B36" s="135" t="s">
        <v>256</v>
      </c>
      <c r="C36" s="256" t="s">
        <v>48</v>
      </c>
      <c r="D36" s="135" t="s">
        <v>257</v>
      </c>
      <c r="E36" s="135" t="s">
        <v>281</v>
      </c>
      <c r="F36" s="135" t="s">
        <v>282</v>
      </c>
      <c r="G36" s="135" t="s">
        <v>283</v>
      </c>
      <c r="H36" s="135" t="s">
        <v>261</v>
      </c>
      <c r="I36" s="135" t="s">
        <v>284</v>
      </c>
      <c r="J36" s="135" t="s">
        <v>285</v>
      </c>
      <c r="K36" s="135" t="s">
        <v>264</v>
      </c>
      <c r="L36" s="135" t="s">
        <v>1</v>
      </c>
      <c r="M36" s="135" t="s">
        <v>1</v>
      </c>
      <c r="N36" s="135" t="s">
        <v>101</v>
      </c>
      <c r="O36" s="135" t="s">
        <v>286</v>
      </c>
      <c r="P36" s="135" t="s">
        <v>287</v>
      </c>
      <c r="Q36" s="135" t="s">
        <v>130</v>
      </c>
      <c r="R36" s="135" t="s">
        <v>288</v>
      </c>
      <c r="S36" s="135" t="s">
        <v>289</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IF(OR(C36="Admin optional",LEFT(A36,9)="OPERATOR-",LEFT(A36,8)="PAYMENT-",LEFT(A36,7)="DEPLOY-"),"External","Core")</f>
        <v>Core</v>
      </c>
    </row>
    <row r="37" customFormat="false" ht="180" hidden="false" customHeight="true" outlineLevel="0" collapsed="false">
      <c r="A37" s="135" t="s">
        <v>290</v>
      </c>
      <c r="B37" s="135" t="s">
        <v>291</v>
      </c>
      <c r="C37" s="256" t="s">
        <v>48</v>
      </c>
      <c r="D37" s="135" t="s">
        <v>292</v>
      </c>
      <c r="E37" s="135" t="s">
        <v>293</v>
      </c>
      <c r="F37" s="135" t="s">
        <v>4</v>
      </c>
      <c r="G37" s="135" t="s">
        <v>294</v>
      </c>
      <c r="H37" s="135" t="s">
        <v>4</v>
      </c>
      <c r="I37" s="135" t="s">
        <v>295</v>
      </c>
      <c r="J37" s="135" t="s">
        <v>296</v>
      </c>
      <c r="K37" s="135" t="s">
        <v>160</v>
      </c>
      <c r="L37" s="135" t="s">
        <v>1</v>
      </c>
      <c r="M37" s="135" t="s">
        <v>1</v>
      </c>
      <c r="N37" s="135" t="s">
        <v>127</v>
      </c>
      <c r="O37" s="135" t="s">
        <v>297</v>
      </c>
      <c r="P37" s="135" t="s">
        <v>298</v>
      </c>
      <c r="Q37" s="135" t="s">
        <v>130</v>
      </c>
      <c r="R37" s="135" t="s">
        <v>299</v>
      </c>
      <c r="S37" s="135" t="s">
        <v>300</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IF(OR(C37="Admin optional",LEFT(A37,9)="OPERATOR-",LEFT(A37,8)="PAYMENT-",LEFT(A37,7)="DEPLOY-"),"External","Core")</f>
        <v>Core</v>
      </c>
    </row>
    <row r="38" customFormat="false" ht="15" hidden="false" customHeight="false" outlineLevel="0" collapsed="false">
      <c r="A38" s="135" t="s">
        <v>301</v>
      </c>
      <c r="B38" s="135" t="s">
        <v>302</v>
      </c>
      <c r="C38" s="256" t="s">
        <v>48</v>
      </c>
      <c r="D38" s="135" t="s">
        <v>303</v>
      </c>
      <c r="E38" s="135" t="s">
        <v>304</v>
      </c>
      <c r="F38" s="135" t="s">
        <v>282</v>
      </c>
      <c r="G38" s="135" t="s">
        <v>305</v>
      </c>
      <c r="H38" s="135" t="s">
        <v>4</v>
      </c>
      <c r="I38" s="135" t="s">
        <v>306</v>
      </c>
      <c r="J38" s="135" t="s">
        <v>307</v>
      </c>
      <c r="K38" s="135" t="s">
        <v>308</v>
      </c>
      <c r="L38" s="135" t="s">
        <v>1</v>
      </c>
      <c r="M38" s="135" t="s">
        <v>1</v>
      </c>
      <c r="N38" s="135" t="s">
        <v>127</v>
      </c>
      <c r="O38" s="135" t="s">
        <v>309</v>
      </c>
      <c r="P38" s="135" t="s">
        <v>310</v>
      </c>
      <c r="Q38" s="135" t="s">
        <v>130</v>
      </c>
      <c r="R38" s="135" t="s">
        <v>311</v>
      </c>
      <c r="S38" s="135" t="s">
        <v>106</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IF(OR(C38="Admin optional",LEFT(A38,9)="OPERATOR-",LEFT(A38,8)="PAYMENT-",LEFT(A38,7)="DEPLOY-"),"External","Core")</f>
        <v>Core</v>
      </c>
    </row>
    <row r="39" customFormat="false" ht="15" hidden="false" customHeight="false" outlineLevel="0" collapsed="false">
      <c r="A39" s="135" t="s">
        <v>312</v>
      </c>
      <c r="B39" s="135" t="s">
        <v>256</v>
      </c>
      <c r="C39" s="256" t="s">
        <v>48</v>
      </c>
      <c r="D39" s="135" t="s">
        <v>313</v>
      </c>
      <c r="E39" s="135" t="s">
        <v>314</v>
      </c>
      <c r="F39" s="135" t="s">
        <v>315</v>
      </c>
      <c r="G39" s="135" t="s">
        <v>316</v>
      </c>
      <c r="H39" s="135" t="s">
        <v>317</v>
      </c>
      <c r="I39" s="135" t="s">
        <v>318</v>
      </c>
      <c r="J39" s="135" t="s">
        <v>319</v>
      </c>
      <c r="K39" s="135" t="s">
        <v>264</v>
      </c>
      <c r="L39" s="135" t="s">
        <v>1</v>
      </c>
      <c r="M39" s="135" t="s">
        <v>1</v>
      </c>
      <c r="N39" s="135" t="s">
        <v>101</v>
      </c>
      <c r="O39" s="135" t="s">
        <v>320</v>
      </c>
      <c r="P39" s="135" t="s">
        <v>321</v>
      </c>
      <c r="Q39" s="135" t="s">
        <v>130</v>
      </c>
      <c r="R39" s="135" t="s">
        <v>322</v>
      </c>
      <c r="S39" s="135" t="s">
        <v>323</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IF(OR(C39="Admin optional",LEFT(A39,9)="OPERATOR-",LEFT(A39,8)="PAYMENT-",LEFT(A39,7)="DEPLOY-"),"External","Core")</f>
        <v>Core</v>
      </c>
    </row>
    <row r="40" customFormat="false" ht="15" hidden="false" customHeight="false" outlineLevel="0" collapsed="false">
      <c r="A40" s="135" t="s">
        <v>324</v>
      </c>
      <c r="B40" s="135" t="s">
        <v>325</v>
      </c>
      <c r="C40" s="256" t="s">
        <v>48</v>
      </c>
      <c r="D40" s="135" t="s">
        <v>326</v>
      </c>
      <c r="E40" s="135" t="s">
        <v>327</v>
      </c>
      <c r="F40" s="135" t="s">
        <v>4</v>
      </c>
      <c r="G40" s="135" t="s">
        <v>328</v>
      </c>
      <c r="H40" s="135" t="s">
        <v>4</v>
      </c>
      <c r="I40" s="135" t="s">
        <v>329</v>
      </c>
      <c r="J40" s="135" t="s">
        <v>330</v>
      </c>
      <c r="K40" s="135" t="s">
        <v>331</v>
      </c>
      <c r="L40" s="135" t="s">
        <v>1</v>
      </c>
      <c r="M40" s="135" t="s">
        <v>1</v>
      </c>
      <c r="N40" s="135" t="s">
        <v>101</v>
      </c>
      <c r="O40" s="135" t="s">
        <v>332</v>
      </c>
      <c r="P40" s="135" t="s">
        <v>333</v>
      </c>
      <c r="Q40" s="135" t="s">
        <v>130</v>
      </c>
      <c r="R40" s="135" t="s">
        <v>334</v>
      </c>
      <c r="S40" s="135" t="s">
        <v>335</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IF(OR(C40="Admin optional",LEFT(A40,9)="OPERATOR-",LEFT(A40,8)="PAYMENT-",LEFT(A40,7)="DEPLOY-"),"External","Core")</f>
        <v>Core</v>
      </c>
    </row>
    <row r="41" customFormat="false" ht="15" hidden="false" customHeight="false" outlineLevel="0" collapsed="false">
      <c r="A41" s="135" t="s">
        <v>336</v>
      </c>
      <c r="B41" s="135" t="s">
        <v>337</v>
      </c>
      <c r="C41" s="256" t="s">
        <v>48</v>
      </c>
      <c r="D41" s="135" t="s">
        <v>338</v>
      </c>
      <c r="E41" s="135" t="s">
        <v>339</v>
      </c>
      <c r="F41" s="135" t="s">
        <v>340</v>
      </c>
      <c r="G41" s="135" t="s">
        <v>341</v>
      </c>
      <c r="H41" s="135" t="s">
        <v>342</v>
      </c>
      <c r="I41" s="135" t="s">
        <v>343</v>
      </c>
      <c r="J41" s="135" t="s">
        <v>344</v>
      </c>
      <c r="K41" s="135" t="s">
        <v>308</v>
      </c>
      <c r="L41" s="135" t="s">
        <v>1</v>
      </c>
      <c r="M41" s="135" t="s">
        <v>1</v>
      </c>
      <c r="N41" s="135" t="s">
        <v>101</v>
      </c>
      <c r="O41" s="135" t="s">
        <v>345</v>
      </c>
      <c r="P41" s="135" t="s">
        <v>346</v>
      </c>
      <c r="Q41" s="135" t="s">
        <v>130</v>
      </c>
      <c r="R41" s="135" t="s">
        <v>347</v>
      </c>
      <c r="S41" s="135" t="s">
        <v>348</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IF(OR(C41="Admin optional",LEFT(A41,9)="OPERATOR-",LEFT(A41,8)="PAYMENT-",LEFT(A41,7)="DEPLOY-"),"External","Core")</f>
        <v>Core</v>
      </c>
    </row>
    <row r="42" customFormat="false" ht="15" hidden="false" customHeight="false" outlineLevel="0" collapsed="false">
      <c r="A42" s="135" t="s">
        <v>349</v>
      </c>
      <c r="B42" s="135" t="s">
        <v>269</v>
      </c>
      <c r="C42" s="256" t="s">
        <v>48</v>
      </c>
      <c r="D42" s="135" t="s">
        <v>350</v>
      </c>
      <c r="E42" s="135" t="s">
        <v>351</v>
      </c>
      <c r="F42" s="135" t="s">
        <v>4</v>
      </c>
      <c r="G42" s="135" t="s">
        <v>352</v>
      </c>
      <c r="H42" s="135" t="s">
        <v>4</v>
      </c>
      <c r="I42" s="135" t="s">
        <v>4</v>
      </c>
      <c r="J42" s="135" t="s">
        <v>353</v>
      </c>
      <c r="K42" s="135" t="s">
        <v>308</v>
      </c>
      <c r="L42" s="135" t="s">
        <v>1</v>
      </c>
      <c r="M42" s="135" t="s">
        <v>1</v>
      </c>
      <c r="N42" s="135" t="s">
        <v>101</v>
      </c>
      <c r="O42" s="135" t="s">
        <v>354</v>
      </c>
      <c r="P42" s="135" t="s">
        <v>355</v>
      </c>
      <c r="Q42" s="135" t="s">
        <v>130</v>
      </c>
      <c r="R42" s="135" t="s">
        <v>356</v>
      </c>
      <c r="S42" s="135" t="s">
        <v>357</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IF(OR(C42="Admin optional",LEFT(A42,9)="OPERATOR-",LEFT(A42,8)="PAYMENT-",LEFT(A42,7)="DEPLOY-"),"External","Core")</f>
        <v>Core</v>
      </c>
    </row>
    <row r="43" customFormat="false" ht="15" hidden="false" customHeight="false" outlineLevel="0" collapsed="false">
      <c r="A43" s="138" t="s">
        <v>358</v>
      </c>
      <c r="B43" s="138" t="s">
        <v>256</v>
      </c>
      <c r="C43" s="256" t="s">
        <v>48</v>
      </c>
      <c r="D43" s="138" t="s">
        <v>359</v>
      </c>
      <c r="E43" s="138" t="s">
        <v>360</v>
      </c>
      <c r="F43" s="138" t="s">
        <v>361</v>
      </c>
      <c r="G43" s="138" t="s">
        <v>362</v>
      </c>
      <c r="H43" s="138" t="s">
        <v>261</v>
      </c>
      <c r="I43" s="138" t="s">
        <v>363</v>
      </c>
      <c r="J43" s="138" t="s">
        <v>364</v>
      </c>
      <c r="K43" s="138" t="s">
        <v>365</v>
      </c>
      <c r="L43" s="138" t="s">
        <v>1</v>
      </c>
      <c r="M43" s="138" t="s">
        <v>1</v>
      </c>
      <c r="N43" s="138" t="s">
        <v>1</v>
      </c>
      <c r="O43" s="138" t="s">
        <v>366</v>
      </c>
      <c r="P43" s="138" t="s">
        <v>367</v>
      </c>
      <c r="Q43" s="138" t="s">
        <v>1</v>
      </c>
      <c r="R43" s="138" t="s">
        <v>368</v>
      </c>
      <c r="S43" s="138" t="s">
        <v>289</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Not started</v>
      </c>
      <c r="U43" s="146" t="str">
        <f>IF(OR(C43="Admin optional",LEFT(A43,9)="OPERATOR-",LEFT(A43,8)="PAYMENT-",LEFT(A43,7)="DEPLOY-"),"External","Core")</f>
        <v>Core</v>
      </c>
    </row>
    <row r="44" customFormat="false" ht="15" hidden="false" customHeight="false" outlineLevel="0" collapsed="false">
      <c r="A44" s="138" t="s">
        <v>369</v>
      </c>
      <c r="B44" s="138" t="s">
        <v>256</v>
      </c>
      <c r="C44" s="256" t="s">
        <v>48</v>
      </c>
      <c r="D44" s="138" t="s">
        <v>257</v>
      </c>
      <c r="E44" s="138" t="s">
        <v>370</v>
      </c>
      <c r="F44" s="138" t="s">
        <v>371</v>
      </c>
      <c r="G44" s="138" t="s">
        <v>372</v>
      </c>
      <c r="H44" s="138" t="s">
        <v>373</v>
      </c>
      <c r="I44" s="138" t="s">
        <v>374</v>
      </c>
      <c r="J44" s="138" t="s">
        <v>375</v>
      </c>
      <c r="K44" s="138" t="s">
        <v>365</v>
      </c>
      <c r="L44" s="138" t="s">
        <v>1</v>
      </c>
      <c r="M44" s="138" t="s">
        <v>1</v>
      </c>
      <c r="N44" s="138" t="s">
        <v>1</v>
      </c>
      <c r="O44" s="138" t="s">
        <v>376</v>
      </c>
      <c r="P44" s="138" t="s">
        <v>377</v>
      </c>
      <c r="Q44" s="138" t="s">
        <v>1</v>
      </c>
      <c r="R44" s="138" t="s">
        <v>378</v>
      </c>
      <c r="S44" s="138" t="s">
        <v>379</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Not started</v>
      </c>
      <c r="U44" s="146" t="str">
        <f>IF(OR(C44="Admin optional",LEFT(A44,9)="OPERATOR-",LEFT(A44,8)="PAYMENT-",LEFT(A44,7)="DEPLOY-"),"External","Core")</f>
        <v>Core</v>
      </c>
    </row>
    <row r="45" customFormat="false" ht="15" hidden="false" customHeight="false" outlineLevel="0" collapsed="false">
      <c r="A45" s="138" t="s">
        <v>380</v>
      </c>
      <c r="B45" s="138" t="s">
        <v>381</v>
      </c>
      <c r="C45" s="256" t="s">
        <v>48</v>
      </c>
      <c r="D45" s="138" t="s">
        <v>382</v>
      </c>
      <c r="E45" s="138" t="s">
        <v>383</v>
      </c>
      <c r="F45" s="138" t="s">
        <v>384</v>
      </c>
      <c r="G45" s="138" t="s">
        <v>385</v>
      </c>
      <c r="H45" s="138" t="s">
        <v>386</v>
      </c>
      <c r="I45" s="138" t="s">
        <v>387</v>
      </c>
      <c r="J45" s="138" t="s">
        <v>388</v>
      </c>
      <c r="K45" s="138" t="s">
        <v>365</v>
      </c>
      <c r="L45" s="138" t="s">
        <v>1</v>
      </c>
      <c r="M45" s="138" t="s">
        <v>1</v>
      </c>
      <c r="N45" s="138" t="s">
        <v>1</v>
      </c>
      <c r="O45" s="138" t="s">
        <v>389</v>
      </c>
      <c r="P45" s="138" t="s">
        <v>390</v>
      </c>
      <c r="Q45" s="138" t="s">
        <v>1</v>
      </c>
      <c r="R45" s="138" t="s">
        <v>391</v>
      </c>
      <c r="S45" s="138" t="s">
        <v>392</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Not started</v>
      </c>
      <c r="U45" s="146" t="str">
        <f>IF(OR(C45="Admin optional",LEFT(A45,9)="OPERATOR-",LEFT(A45,8)="PAYMENT-",LEFT(A45,7)="DEPLOY-"),"External","Core")</f>
        <v>Core</v>
      </c>
    </row>
    <row r="46" customFormat="false" ht="15" hidden="false" customHeight="false" outlineLevel="0" collapsed="false">
      <c r="A46" s="135" t="s">
        <v>393</v>
      </c>
      <c r="B46" s="135" t="s">
        <v>256</v>
      </c>
      <c r="C46" s="256" t="s">
        <v>48</v>
      </c>
      <c r="D46" s="135" t="s">
        <v>394</v>
      </c>
      <c r="E46" s="135" t="s">
        <v>395</v>
      </c>
      <c r="F46" s="135" t="s">
        <v>396</v>
      </c>
      <c r="G46" s="135" t="s">
        <v>283</v>
      </c>
      <c r="H46" s="135" t="s">
        <v>261</v>
      </c>
      <c r="I46" s="135" t="s">
        <v>397</v>
      </c>
      <c r="J46" s="135" t="s">
        <v>398</v>
      </c>
      <c r="K46" s="135" t="s">
        <v>264</v>
      </c>
      <c r="L46" s="135" t="s">
        <v>1</v>
      </c>
      <c r="M46" s="135" t="s">
        <v>1</v>
      </c>
      <c r="N46" s="135" t="s">
        <v>101</v>
      </c>
      <c r="O46" s="135" t="s">
        <v>399</v>
      </c>
      <c r="P46" s="135" t="s">
        <v>400</v>
      </c>
      <c r="Q46" s="135" t="s">
        <v>130</v>
      </c>
      <c r="R46" s="135" t="s">
        <v>401</v>
      </c>
      <c r="S46" s="135" t="s">
        <v>402</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IF(OR(C46="Admin optional",LEFT(A46,9)="OPERATOR-",LEFT(A46,8)="PAYMENT-",LEFT(A46,7)="DEPLOY-"),"External","Core")</f>
        <v>Core</v>
      </c>
    </row>
    <row r="47" customFormat="false" ht="180" hidden="false" customHeight="true" outlineLevel="0" collapsed="false">
      <c r="A47" s="135" t="s">
        <v>403</v>
      </c>
      <c r="B47" s="135" t="s">
        <v>256</v>
      </c>
      <c r="C47" s="256" t="s">
        <v>48</v>
      </c>
      <c r="D47" s="135" t="s">
        <v>394</v>
      </c>
      <c r="E47" s="135" t="s">
        <v>404</v>
      </c>
      <c r="F47" s="135" t="s">
        <v>405</v>
      </c>
      <c r="G47" s="135" t="s">
        <v>406</v>
      </c>
      <c r="H47" s="135" t="s">
        <v>261</v>
      </c>
      <c r="I47" s="135" t="s">
        <v>407</v>
      </c>
      <c r="J47" s="135" t="s">
        <v>408</v>
      </c>
      <c r="K47" s="135" t="s">
        <v>409</v>
      </c>
      <c r="L47" s="135" t="s">
        <v>1</v>
      </c>
      <c r="M47" s="135" t="s">
        <v>1</v>
      </c>
      <c r="N47" s="135" t="s">
        <v>127</v>
      </c>
      <c r="O47" s="135" t="s">
        <v>410</v>
      </c>
      <c r="P47" s="135" t="s">
        <v>411</v>
      </c>
      <c r="Q47" s="135" t="s">
        <v>130</v>
      </c>
      <c r="R47" s="135" t="s">
        <v>412</v>
      </c>
      <c r="S47" s="135" t="s">
        <v>392</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IF(OR(C47="Admin optional",LEFT(A47,9)="OPERATOR-",LEFT(A47,8)="PAYMENT-",LEFT(A47,7)="DEPLOY-"),"External","Core")</f>
        <v>Core</v>
      </c>
    </row>
    <row r="48" customFormat="false" ht="120" hidden="false" customHeight="true" outlineLevel="0" collapsed="false">
      <c r="A48" s="135" t="s">
        <v>413</v>
      </c>
      <c r="B48" s="135" t="s">
        <v>256</v>
      </c>
      <c r="C48" s="256" t="s">
        <v>48</v>
      </c>
      <c r="D48" s="135" t="s">
        <v>394</v>
      </c>
      <c r="E48" s="135" t="s">
        <v>414</v>
      </c>
      <c r="F48" s="135" t="s">
        <v>415</v>
      </c>
      <c r="G48" s="135" t="s">
        <v>416</v>
      </c>
      <c r="H48" s="135" t="s">
        <v>261</v>
      </c>
      <c r="I48" s="135" t="s">
        <v>417</v>
      </c>
      <c r="J48" s="135" t="s">
        <v>418</v>
      </c>
      <c r="K48" s="135" t="s">
        <v>264</v>
      </c>
      <c r="L48" s="135" t="s">
        <v>1</v>
      </c>
      <c r="M48" s="135" t="s">
        <v>1</v>
      </c>
      <c r="N48" s="135" t="s">
        <v>171</v>
      </c>
      <c r="O48" s="135" t="s">
        <v>419</v>
      </c>
      <c r="P48" s="135" t="s">
        <v>420</v>
      </c>
      <c r="Q48" s="135" t="s">
        <v>130</v>
      </c>
      <c r="R48" s="135" t="s">
        <v>421</v>
      </c>
      <c r="S48" s="135" t="s">
        <v>323</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IF(OR(C48="Admin optional",LEFT(A48,9)="OPERATOR-",LEFT(A48,8)="PAYMENT-",LEFT(A48,7)="DEPLOY-"),"External","Core")</f>
        <v>Core</v>
      </c>
    </row>
    <row r="49" customFormat="false" ht="105" hidden="false" customHeight="true" outlineLevel="0" collapsed="false">
      <c r="A49" s="135" t="s">
        <v>422</v>
      </c>
      <c r="B49" s="135" t="s">
        <v>256</v>
      </c>
      <c r="C49" s="256" t="s">
        <v>48</v>
      </c>
      <c r="D49" s="135" t="s">
        <v>423</v>
      </c>
      <c r="E49" s="135" t="s">
        <v>424</v>
      </c>
      <c r="F49" s="135" t="s">
        <v>425</v>
      </c>
      <c r="G49" s="135" t="s">
        <v>426</v>
      </c>
      <c r="H49" s="135" t="s">
        <v>427</v>
      </c>
      <c r="I49" s="135" t="s">
        <v>428</v>
      </c>
      <c r="J49" s="135" t="s">
        <v>429</v>
      </c>
      <c r="K49" s="135" t="s">
        <v>264</v>
      </c>
      <c r="L49" s="135" t="s">
        <v>1</v>
      </c>
      <c r="M49" s="135" t="s">
        <v>1</v>
      </c>
      <c r="N49" s="135" t="s">
        <v>171</v>
      </c>
      <c r="O49" s="135" t="s">
        <v>430</v>
      </c>
      <c r="P49" s="135" t="s">
        <v>431</v>
      </c>
      <c r="Q49" s="135" t="s">
        <v>130</v>
      </c>
      <c r="R49" s="135" t="s">
        <v>432</v>
      </c>
      <c r="S49" s="135" t="s">
        <v>392</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IF(OR(C49="Admin optional",LEFT(A49,9)="OPERATOR-",LEFT(A49,8)="PAYMENT-",LEFT(A49,7)="DEPLOY-"),"External","Core")</f>
        <v>Core</v>
      </c>
    </row>
    <row r="50" customFormat="false" ht="60" hidden="false" customHeight="true" outlineLevel="0" collapsed="false">
      <c r="A50" s="135" t="s">
        <v>433</v>
      </c>
      <c r="B50" s="135" t="s">
        <v>256</v>
      </c>
      <c r="C50" s="256" t="s">
        <v>48</v>
      </c>
      <c r="D50" s="135" t="s">
        <v>434</v>
      </c>
      <c r="E50" s="135" t="s">
        <v>435</v>
      </c>
      <c r="F50" s="135" t="s">
        <v>4</v>
      </c>
      <c r="G50" s="135" t="s">
        <v>4</v>
      </c>
      <c r="H50" s="135" t="s">
        <v>4</v>
      </c>
      <c r="I50" s="135" t="s">
        <v>4</v>
      </c>
      <c r="J50" s="135" t="s">
        <v>436</v>
      </c>
      <c r="K50" s="135" t="s">
        <v>264</v>
      </c>
      <c r="L50" s="135" t="s">
        <v>1</v>
      </c>
      <c r="M50" s="135" t="s">
        <v>1</v>
      </c>
      <c r="N50" s="135" t="s">
        <v>171</v>
      </c>
      <c r="O50" s="135" t="s">
        <v>437</v>
      </c>
      <c r="P50" s="135" t="s">
        <v>438</v>
      </c>
      <c r="Q50" s="135" t="s">
        <v>130</v>
      </c>
      <c r="R50" s="135" t="s">
        <v>439</v>
      </c>
      <c r="S50" s="135" t="s">
        <v>440</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IF(OR(C50="Admin optional",LEFT(A50,9)="OPERATOR-",LEFT(A50,8)="PAYMENT-",LEFT(A50,7)="DEPLOY-"),"External","Core")</f>
        <v>Core</v>
      </c>
    </row>
    <row r="51" customFormat="false" ht="60" hidden="false" customHeight="true" outlineLevel="0" collapsed="false">
      <c r="A51" s="135" t="s">
        <v>441</v>
      </c>
      <c r="B51" s="135" t="s">
        <v>256</v>
      </c>
      <c r="C51" s="256" t="s">
        <v>48</v>
      </c>
      <c r="D51" s="135" t="s">
        <v>442</v>
      </c>
      <c r="E51" s="135" t="s">
        <v>443</v>
      </c>
      <c r="F51" s="135" t="s">
        <v>444</v>
      </c>
      <c r="G51" s="135" t="s">
        <v>445</v>
      </c>
      <c r="H51" s="135" t="s">
        <v>446</v>
      </c>
      <c r="I51" s="135" t="s">
        <v>447</v>
      </c>
      <c r="J51" s="135" t="s">
        <v>448</v>
      </c>
      <c r="K51" s="135" t="s">
        <v>264</v>
      </c>
      <c r="L51" s="135" t="s">
        <v>1</v>
      </c>
      <c r="M51" s="135" t="s">
        <v>1</v>
      </c>
      <c r="N51" s="135" t="s">
        <v>171</v>
      </c>
      <c r="O51" s="135" t="s">
        <v>449</v>
      </c>
      <c r="P51" s="135" t="s">
        <v>450</v>
      </c>
      <c r="Q51" s="135" t="s">
        <v>130</v>
      </c>
      <c r="R51" s="135" t="s">
        <v>451</v>
      </c>
      <c r="S51" s="135" t="s">
        <v>323</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IF(OR(C51="Admin optional",LEFT(A51,9)="OPERATOR-",LEFT(A51,8)="PAYMENT-",LEFT(A51,7)="DEPLOY-"),"External","Core")</f>
        <v>Core</v>
      </c>
    </row>
    <row r="52" customFormat="false" ht="15" hidden="false" customHeight="false" outlineLevel="0" collapsed="false">
      <c r="A52" s="136" t="s">
        <v>452</v>
      </c>
      <c r="B52" s="136" t="s">
        <v>256</v>
      </c>
      <c r="C52" s="256" t="s">
        <v>48</v>
      </c>
      <c r="D52" s="136" t="s">
        <v>453</v>
      </c>
      <c r="E52" s="136" t="s">
        <v>454</v>
      </c>
      <c r="F52" s="136" t="s">
        <v>4</v>
      </c>
      <c r="G52" s="136" t="s">
        <v>4</v>
      </c>
      <c r="H52" s="136" t="s">
        <v>4</v>
      </c>
      <c r="I52" s="136" t="s">
        <v>4</v>
      </c>
      <c r="J52" s="136" t="s">
        <v>455</v>
      </c>
      <c r="K52" s="136" t="s">
        <v>456</v>
      </c>
      <c r="L52" s="136" t="s">
        <v>1</v>
      </c>
      <c r="M52" s="136" t="s">
        <v>1</v>
      </c>
      <c r="N52" s="136" t="s">
        <v>101</v>
      </c>
      <c r="O52" s="136" t="s">
        <v>457</v>
      </c>
      <c r="P52" s="136" t="s">
        <v>458</v>
      </c>
      <c r="Q52" s="136" t="s">
        <v>459</v>
      </c>
      <c r="R52" s="136" t="s">
        <v>460</v>
      </c>
      <c r="S52" s="136" t="s">
        <v>106</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Pending</v>
      </c>
      <c r="U52" s="146" t="str">
        <f>IF(OR(C52="Admin optional",LEFT(A52,9)="OPERATOR-",LEFT(A52,8)="PAYMENT-",LEFT(A52,7)="DEPLOY-"),"External","Core")</f>
        <v>Core</v>
      </c>
    </row>
    <row r="53" customFormat="false" ht="15" hidden="false" customHeight="false" outlineLevel="0" collapsed="false">
      <c r="A53" s="135" t="s">
        <v>461</v>
      </c>
      <c r="B53" s="135" t="s">
        <v>256</v>
      </c>
      <c r="C53" s="256" t="s">
        <v>48</v>
      </c>
      <c r="D53" s="135" t="s">
        <v>442</v>
      </c>
      <c r="E53" s="135" t="s">
        <v>462</v>
      </c>
      <c r="F53" s="135" t="s">
        <v>463</v>
      </c>
      <c r="G53" s="135" t="s">
        <v>464</v>
      </c>
      <c r="H53" s="135" t="s">
        <v>465</v>
      </c>
      <c r="I53" s="135" t="s">
        <v>466</v>
      </c>
      <c r="J53" s="135" t="s">
        <v>467</v>
      </c>
      <c r="K53" s="135" t="s">
        <v>160</v>
      </c>
      <c r="L53" s="135" t="s">
        <v>1</v>
      </c>
      <c r="M53" s="135" t="s">
        <v>1</v>
      </c>
      <c r="N53" s="135" t="s">
        <v>101</v>
      </c>
      <c r="O53" s="135" t="s">
        <v>468</v>
      </c>
      <c r="P53" s="135" t="s">
        <v>469</v>
      </c>
      <c r="Q53" s="135" t="s">
        <v>130</v>
      </c>
      <c r="R53" s="135" t="s">
        <v>470</v>
      </c>
      <c r="S53" s="135" t="s">
        <v>106</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IF(OR(C53="Admin optional",LEFT(A53,9)="OPERATOR-",LEFT(A53,8)="PAYMENT-",LEFT(A53,7)="DEPLOY-"),"External","Core")</f>
        <v>Core</v>
      </c>
    </row>
    <row r="54" customFormat="false" ht="180" hidden="false" customHeight="true" outlineLevel="0" collapsed="false">
      <c r="A54" s="135" t="s">
        <v>471</v>
      </c>
      <c r="B54" s="135" t="s">
        <v>256</v>
      </c>
      <c r="C54" s="256" t="s">
        <v>48</v>
      </c>
      <c r="D54" s="135" t="s">
        <v>472</v>
      </c>
      <c r="E54" s="135" t="s">
        <v>473</v>
      </c>
      <c r="F54" s="135" t="s">
        <v>474</v>
      </c>
      <c r="G54" s="135" t="s">
        <v>475</v>
      </c>
      <c r="H54" s="135" t="s">
        <v>476</v>
      </c>
      <c r="I54" s="135" t="s">
        <v>477</v>
      </c>
      <c r="J54" s="135" t="s">
        <v>478</v>
      </c>
      <c r="K54" s="135" t="s">
        <v>308</v>
      </c>
      <c r="L54" s="135" t="s">
        <v>1</v>
      </c>
      <c r="M54" s="135" t="s">
        <v>1</v>
      </c>
      <c r="N54" s="135" t="s">
        <v>171</v>
      </c>
      <c r="O54" s="135" t="s">
        <v>479</v>
      </c>
      <c r="P54" s="135" t="s">
        <v>480</v>
      </c>
      <c r="Q54" s="135" t="s">
        <v>130</v>
      </c>
      <c r="R54" s="135" t="s">
        <v>481</v>
      </c>
      <c r="S54" s="135" t="s">
        <v>106</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IF(OR(C54="Admin optional",LEFT(A54,9)="OPERATOR-",LEFT(A54,8)="PAYMENT-",LEFT(A54,7)="DEPLOY-"),"External","Core")</f>
        <v>Core</v>
      </c>
    </row>
    <row r="55" customFormat="false" ht="180" hidden="false" customHeight="true" outlineLevel="0" collapsed="false">
      <c r="A55" s="135" t="s">
        <v>482</v>
      </c>
      <c r="B55" s="135" t="s">
        <v>256</v>
      </c>
      <c r="C55" s="256" t="s">
        <v>48</v>
      </c>
      <c r="D55" s="135" t="s">
        <v>483</v>
      </c>
      <c r="E55" s="135" t="s">
        <v>484</v>
      </c>
      <c r="F55" s="135" t="s">
        <v>485</v>
      </c>
      <c r="G55" s="135" t="s">
        <v>486</v>
      </c>
      <c r="H55" s="135" t="s">
        <v>485</v>
      </c>
      <c r="I55" s="135" t="s">
        <v>487</v>
      </c>
      <c r="J55" s="135" t="s">
        <v>488</v>
      </c>
      <c r="K55" s="135" t="s">
        <v>489</v>
      </c>
      <c r="L55" s="135" t="s">
        <v>1</v>
      </c>
      <c r="M55" s="135" t="s">
        <v>1</v>
      </c>
      <c r="N55" s="135" t="s">
        <v>171</v>
      </c>
      <c r="O55" s="135" t="s">
        <v>490</v>
      </c>
      <c r="P55" s="135" t="s">
        <v>491</v>
      </c>
      <c r="Q55" s="135" t="s">
        <v>130</v>
      </c>
      <c r="R55" s="135" t="s">
        <v>492</v>
      </c>
      <c r="S55" s="135" t="s">
        <v>132</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IF(OR(C55="Admin optional",LEFT(A55,9)="OPERATOR-",LEFT(A55,8)="PAYMENT-",LEFT(A55,7)="DEPLOY-"),"External","Core")</f>
        <v>Core</v>
      </c>
    </row>
    <row r="56" customFormat="false" ht="15" hidden="false" customHeight="false" outlineLevel="0" collapsed="false">
      <c r="A56" s="135" t="s">
        <v>493</v>
      </c>
      <c r="B56" s="135" t="s">
        <v>256</v>
      </c>
      <c r="C56" s="256" t="s">
        <v>48</v>
      </c>
      <c r="D56" s="135" t="s">
        <v>494</v>
      </c>
      <c r="E56" s="135" t="s">
        <v>495</v>
      </c>
      <c r="F56" s="135" t="s">
        <v>496</v>
      </c>
      <c r="G56" s="135" t="s">
        <v>497</v>
      </c>
      <c r="H56" s="135" t="s">
        <v>446</v>
      </c>
      <c r="I56" s="135" t="s">
        <v>466</v>
      </c>
      <c r="J56" s="135" t="s">
        <v>498</v>
      </c>
      <c r="K56" s="135" t="s">
        <v>160</v>
      </c>
      <c r="L56" s="135" t="s">
        <v>1</v>
      </c>
      <c r="M56" s="135" t="s">
        <v>1</v>
      </c>
      <c r="N56" s="135" t="s">
        <v>171</v>
      </c>
      <c r="O56" s="135" t="s">
        <v>499</v>
      </c>
      <c r="P56" s="135" t="s">
        <v>500</v>
      </c>
      <c r="Q56" s="135" t="s">
        <v>130</v>
      </c>
      <c r="R56" s="135" t="s">
        <v>501</v>
      </c>
      <c r="S56" s="135" t="s">
        <v>106</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IF(OR(C56="Admin optional",LEFT(A56,9)="OPERATOR-",LEFT(A56,8)="PAYMENT-",LEFT(A56,7)="DEPLOY-"),"External","Core")</f>
        <v>Core</v>
      </c>
    </row>
    <row r="57" customFormat="false" ht="15" hidden="false" customHeight="false" outlineLevel="0" collapsed="false">
      <c r="A57" s="135" t="s">
        <v>502</v>
      </c>
      <c r="B57" s="135" t="s">
        <v>256</v>
      </c>
      <c r="C57" s="256" t="s">
        <v>48</v>
      </c>
      <c r="D57" s="135" t="s">
        <v>503</v>
      </c>
      <c r="E57" s="135" t="s">
        <v>504</v>
      </c>
      <c r="F57" s="135" t="s">
        <v>4</v>
      </c>
      <c r="G57" s="135" t="s">
        <v>505</v>
      </c>
      <c r="H57" s="135" t="s">
        <v>4</v>
      </c>
      <c r="I57" s="135" t="s">
        <v>506</v>
      </c>
      <c r="J57" s="135" t="s">
        <v>507</v>
      </c>
      <c r="K57" s="135" t="s">
        <v>508</v>
      </c>
      <c r="L57" s="135" t="s">
        <v>1</v>
      </c>
      <c r="M57" s="135" t="s">
        <v>1</v>
      </c>
      <c r="N57" s="135" t="s">
        <v>509</v>
      </c>
      <c r="O57" s="135" t="s">
        <v>510</v>
      </c>
      <c r="P57" s="135" t="s">
        <v>511</v>
      </c>
      <c r="Q57" s="135" t="s">
        <v>130</v>
      </c>
      <c r="R57" s="135" t="s">
        <v>512</v>
      </c>
      <c r="S57" s="135" t="s">
        <v>289</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IF(OR(C57="Admin optional",LEFT(A57,9)="OPERATOR-",LEFT(A57,8)="PAYMENT-",LEFT(A57,7)="DEPLOY-"),"External","Core")</f>
        <v>Core</v>
      </c>
    </row>
    <row r="58" customFormat="false" ht="15" hidden="false" customHeight="false" outlineLevel="0" collapsed="false">
      <c r="A58" s="135" t="s">
        <v>513</v>
      </c>
      <c r="B58" s="135" t="s">
        <v>256</v>
      </c>
      <c r="C58" s="256" t="s">
        <v>48</v>
      </c>
      <c r="D58" s="135" t="s">
        <v>503</v>
      </c>
      <c r="E58" s="135" t="s">
        <v>514</v>
      </c>
      <c r="F58" s="135" t="s">
        <v>515</v>
      </c>
      <c r="G58" s="135" t="s">
        <v>516</v>
      </c>
      <c r="H58" s="135" t="s">
        <v>517</v>
      </c>
      <c r="I58" s="135" t="s">
        <v>518</v>
      </c>
      <c r="J58" s="135" t="s">
        <v>519</v>
      </c>
      <c r="K58" s="135" t="s">
        <v>160</v>
      </c>
      <c r="L58" s="135" t="s">
        <v>1</v>
      </c>
      <c r="M58" s="135" t="s">
        <v>1</v>
      </c>
      <c r="N58" s="135" t="s">
        <v>509</v>
      </c>
      <c r="O58" s="135" t="s">
        <v>520</v>
      </c>
      <c r="P58" s="135" t="s">
        <v>521</v>
      </c>
      <c r="Q58" s="135" t="s">
        <v>130</v>
      </c>
      <c r="R58" s="135" t="s">
        <v>522</v>
      </c>
      <c r="S58" s="135" t="s">
        <v>392</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IF(OR(C58="Admin optional",LEFT(A58,9)="OPERATOR-",LEFT(A58,8)="PAYMENT-",LEFT(A58,7)="DEPLOY-"),"External","Core")</f>
        <v>Core</v>
      </c>
    </row>
    <row r="59" customFormat="false" ht="15" hidden="false" customHeight="false" outlineLevel="0" collapsed="false">
      <c r="A59" s="135" t="s">
        <v>523</v>
      </c>
      <c r="B59" s="135" t="s">
        <v>256</v>
      </c>
      <c r="C59" s="256" t="s">
        <v>48</v>
      </c>
      <c r="D59" s="135" t="s">
        <v>524</v>
      </c>
      <c r="E59" s="135" t="s">
        <v>525</v>
      </c>
      <c r="F59" s="135" t="s">
        <v>4</v>
      </c>
      <c r="G59" s="135" t="s">
        <v>526</v>
      </c>
      <c r="H59" s="135" t="s">
        <v>4</v>
      </c>
      <c r="I59" s="135" t="s">
        <v>4</v>
      </c>
      <c r="J59" s="135" t="s">
        <v>527</v>
      </c>
      <c r="K59" s="135" t="s">
        <v>160</v>
      </c>
      <c r="L59" s="135" t="s">
        <v>1</v>
      </c>
      <c r="M59" s="135" t="s">
        <v>1</v>
      </c>
      <c r="N59" s="135" t="s">
        <v>509</v>
      </c>
      <c r="O59" s="135" t="s">
        <v>528</v>
      </c>
      <c r="P59" s="135" t="s">
        <v>529</v>
      </c>
      <c r="Q59" s="135" t="s">
        <v>130</v>
      </c>
      <c r="R59" s="135" t="s">
        <v>530</v>
      </c>
      <c r="S59" s="135" t="s">
        <v>357</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IF(OR(C59="Admin optional",LEFT(A59,9)="OPERATOR-",LEFT(A59,8)="PAYMENT-",LEFT(A59,7)="DEPLOY-"),"External","Core")</f>
        <v>Core</v>
      </c>
    </row>
    <row r="60" customFormat="false" ht="15" hidden="false" customHeight="false" outlineLevel="0" collapsed="false">
      <c r="A60" s="135" t="s">
        <v>531</v>
      </c>
      <c r="B60" s="135" t="s">
        <v>256</v>
      </c>
      <c r="C60" s="256" t="s">
        <v>48</v>
      </c>
      <c r="D60" s="135" t="s">
        <v>532</v>
      </c>
      <c r="E60" s="135" t="s">
        <v>533</v>
      </c>
      <c r="F60" s="135" t="s">
        <v>4</v>
      </c>
      <c r="G60" s="135" t="s">
        <v>534</v>
      </c>
      <c r="H60" s="135" t="s">
        <v>4</v>
      </c>
      <c r="I60" s="135" t="s">
        <v>4</v>
      </c>
      <c r="J60" s="135" t="s">
        <v>535</v>
      </c>
      <c r="K60" s="135" t="s">
        <v>264</v>
      </c>
      <c r="L60" s="135" t="s">
        <v>1</v>
      </c>
      <c r="M60" s="135" t="s">
        <v>1</v>
      </c>
      <c r="N60" s="135" t="s">
        <v>509</v>
      </c>
      <c r="O60" s="135" t="s">
        <v>536</v>
      </c>
      <c r="P60" s="135" t="s">
        <v>537</v>
      </c>
      <c r="Q60" s="135" t="s">
        <v>130</v>
      </c>
      <c r="R60" s="135" t="s">
        <v>538</v>
      </c>
      <c r="S60" s="135" t="s">
        <v>323</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IF(OR(C60="Admin optional",LEFT(A60,9)="OPERATOR-",LEFT(A60,8)="PAYMENT-",LEFT(A60,7)="DEPLOY-"),"External","Core")</f>
        <v>Core</v>
      </c>
    </row>
    <row r="61" customFormat="false" ht="15" hidden="false" customHeight="false" outlineLevel="0" collapsed="false">
      <c r="A61" s="135" t="s">
        <v>539</v>
      </c>
      <c r="B61" s="135" t="s">
        <v>256</v>
      </c>
      <c r="C61" s="256" t="s">
        <v>48</v>
      </c>
      <c r="D61" s="135" t="s">
        <v>540</v>
      </c>
      <c r="E61" s="135" t="s">
        <v>541</v>
      </c>
      <c r="F61" s="135" t="s">
        <v>4</v>
      </c>
      <c r="G61" s="135" t="s">
        <v>542</v>
      </c>
      <c r="H61" s="135" t="s">
        <v>543</v>
      </c>
      <c r="I61" s="135" t="s">
        <v>4</v>
      </c>
      <c r="J61" s="135" t="s">
        <v>544</v>
      </c>
      <c r="K61" s="135" t="s">
        <v>130</v>
      </c>
      <c r="L61" s="135" t="s">
        <v>1</v>
      </c>
      <c r="M61" s="135" t="s">
        <v>1</v>
      </c>
      <c r="N61" s="135" t="s">
        <v>509</v>
      </c>
      <c r="O61" s="135" t="s">
        <v>545</v>
      </c>
      <c r="P61" s="135" t="s">
        <v>546</v>
      </c>
      <c r="Q61" s="135" t="s">
        <v>130</v>
      </c>
      <c r="R61" s="135" t="s">
        <v>547</v>
      </c>
      <c r="S61" s="135" t="s">
        <v>323</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IF(OR(C61="Admin optional",LEFT(A61,9)="OPERATOR-",LEFT(A61,8)="PAYMENT-",LEFT(A61,7)="DEPLOY-"),"External","Core")</f>
        <v>Core</v>
      </c>
    </row>
    <row r="62" customFormat="false" ht="15" hidden="false" customHeight="false" outlineLevel="0" collapsed="false">
      <c r="A62" s="135" t="s">
        <v>548</v>
      </c>
      <c r="B62" s="135" t="s">
        <v>256</v>
      </c>
      <c r="C62" s="256" t="s">
        <v>48</v>
      </c>
      <c r="D62" s="135" t="s">
        <v>540</v>
      </c>
      <c r="E62" s="135" t="s">
        <v>549</v>
      </c>
      <c r="F62" s="135" t="s">
        <v>4</v>
      </c>
      <c r="G62" s="135" t="s">
        <v>542</v>
      </c>
      <c r="H62" s="135" t="s">
        <v>4</v>
      </c>
      <c r="I62" s="135" t="s">
        <v>4</v>
      </c>
      <c r="J62" s="135" t="s">
        <v>550</v>
      </c>
      <c r="K62" s="135" t="s">
        <v>160</v>
      </c>
      <c r="L62" s="135" t="s">
        <v>1</v>
      </c>
      <c r="M62" s="135" t="s">
        <v>1</v>
      </c>
      <c r="N62" s="135" t="s">
        <v>509</v>
      </c>
      <c r="O62" s="135" t="s">
        <v>551</v>
      </c>
      <c r="P62" s="135" t="s">
        <v>552</v>
      </c>
      <c r="Q62" s="135" t="s">
        <v>130</v>
      </c>
      <c r="R62" s="135" t="s">
        <v>553</v>
      </c>
      <c r="S62" s="135" t="s">
        <v>554</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IF(OR(C62="Admin optional",LEFT(A62,9)="OPERATOR-",LEFT(A62,8)="PAYMENT-",LEFT(A62,7)="DEPLOY-"),"External","Core")</f>
        <v>Core</v>
      </c>
    </row>
    <row r="63" customFormat="false" ht="15" hidden="false" customHeight="false" outlineLevel="0" collapsed="false">
      <c r="A63" s="135" t="s">
        <v>555</v>
      </c>
      <c r="B63" s="135" t="s">
        <v>256</v>
      </c>
      <c r="C63" s="256" t="s">
        <v>48</v>
      </c>
      <c r="D63" s="135" t="s">
        <v>556</v>
      </c>
      <c r="E63" s="135" t="s">
        <v>557</v>
      </c>
      <c r="F63" s="135" t="s">
        <v>558</v>
      </c>
      <c r="G63" s="135" t="s">
        <v>559</v>
      </c>
      <c r="H63" s="135" t="s">
        <v>261</v>
      </c>
      <c r="I63" s="135" t="s">
        <v>560</v>
      </c>
      <c r="J63" s="135" t="s">
        <v>561</v>
      </c>
      <c r="K63" s="135" t="s">
        <v>160</v>
      </c>
      <c r="L63" s="135" t="s">
        <v>1</v>
      </c>
      <c r="M63" s="135" t="s">
        <v>1</v>
      </c>
      <c r="N63" s="135" t="s">
        <v>562</v>
      </c>
      <c r="O63" s="135" t="s">
        <v>563</v>
      </c>
      <c r="P63" s="135" t="s">
        <v>564</v>
      </c>
      <c r="Q63" s="135" t="s">
        <v>130</v>
      </c>
      <c r="R63" s="135" t="s">
        <v>565</v>
      </c>
      <c r="S63" s="135" t="s">
        <v>402</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IF(OR(C63="Admin optional",LEFT(A63,9)="OPERATOR-",LEFT(A63,8)="PAYMENT-",LEFT(A63,7)="DEPLOY-"),"External","Core")</f>
        <v>Core</v>
      </c>
    </row>
    <row r="64" customFormat="false" ht="15" hidden="false" customHeight="false" outlineLevel="0" collapsed="false">
      <c r="A64" s="135" t="s">
        <v>566</v>
      </c>
      <c r="B64" s="135" t="s">
        <v>256</v>
      </c>
      <c r="C64" s="256" t="s">
        <v>48</v>
      </c>
      <c r="D64" s="135" t="s">
        <v>556</v>
      </c>
      <c r="E64" s="135" t="s">
        <v>567</v>
      </c>
      <c r="F64" s="135" t="s">
        <v>4</v>
      </c>
      <c r="G64" s="135" t="s">
        <v>568</v>
      </c>
      <c r="H64" s="135" t="s">
        <v>569</v>
      </c>
      <c r="I64" s="135" t="s">
        <v>570</v>
      </c>
      <c r="J64" s="135" t="s">
        <v>571</v>
      </c>
      <c r="K64" s="135" t="s">
        <v>160</v>
      </c>
      <c r="L64" s="135" t="s">
        <v>1</v>
      </c>
      <c r="M64" s="135" t="s">
        <v>1</v>
      </c>
      <c r="N64" s="135" t="s">
        <v>562</v>
      </c>
      <c r="O64" s="135" t="s">
        <v>572</v>
      </c>
      <c r="P64" s="135" t="s">
        <v>573</v>
      </c>
      <c r="Q64" s="135" t="s">
        <v>130</v>
      </c>
      <c r="R64" s="135" t="s">
        <v>574</v>
      </c>
      <c r="S64" s="135" t="s">
        <v>106</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IF(OR(C64="Admin optional",LEFT(A64,9)="OPERATOR-",LEFT(A64,8)="PAYMENT-",LEFT(A64,7)="DEPLOY-"),"External","Core")</f>
        <v>Core</v>
      </c>
    </row>
    <row r="65" customFormat="false" ht="15" hidden="false" customHeight="false" outlineLevel="0" collapsed="false">
      <c r="A65" s="135" t="s">
        <v>575</v>
      </c>
      <c r="B65" s="135" t="s">
        <v>256</v>
      </c>
      <c r="C65" s="256" t="s">
        <v>48</v>
      </c>
      <c r="D65" s="135" t="s">
        <v>576</v>
      </c>
      <c r="E65" s="135" t="s">
        <v>577</v>
      </c>
      <c r="F65" s="135" t="s">
        <v>4</v>
      </c>
      <c r="G65" s="135" t="s">
        <v>578</v>
      </c>
      <c r="H65" s="135" t="s">
        <v>4</v>
      </c>
      <c r="I65" s="135" t="s">
        <v>579</v>
      </c>
      <c r="J65" s="135" t="s">
        <v>580</v>
      </c>
      <c r="K65" s="135" t="s">
        <v>160</v>
      </c>
      <c r="L65" s="135" t="s">
        <v>1</v>
      </c>
      <c r="M65" s="135" t="s">
        <v>1</v>
      </c>
      <c r="N65" s="135" t="s">
        <v>562</v>
      </c>
      <c r="O65" s="135" t="s">
        <v>581</v>
      </c>
      <c r="P65" s="135" t="s">
        <v>582</v>
      </c>
      <c r="Q65" s="135" t="s">
        <v>130</v>
      </c>
      <c r="R65" s="135" t="s">
        <v>583</v>
      </c>
      <c r="S65" s="135" t="s">
        <v>106</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IF(OR(C65="Admin optional",LEFT(A65,9)="OPERATOR-",LEFT(A65,8)="PAYMENT-",LEFT(A65,7)="DEPLOY-"),"External","Core")</f>
        <v>Core</v>
      </c>
    </row>
    <row r="66" customFormat="false" ht="15" hidden="false" customHeight="false" outlineLevel="0" collapsed="false">
      <c r="A66" s="135" t="s">
        <v>584</v>
      </c>
      <c r="B66" s="135" t="s">
        <v>256</v>
      </c>
      <c r="C66" s="256" t="s">
        <v>48</v>
      </c>
      <c r="D66" s="135" t="s">
        <v>556</v>
      </c>
      <c r="E66" s="135" t="s">
        <v>585</v>
      </c>
      <c r="F66" s="135" t="s">
        <v>586</v>
      </c>
      <c r="G66" s="135" t="s">
        <v>4</v>
      </c>
      <c r="H66" s="135" t="s">
        <v>4</v>
      </c>
      <c r="I66" s="135" t="s">
        <v>4</v>
      </c>
      <c r="J66" s="135" t="s">
        <v>587</v>
      </c>
      <c r="K66" s="135" t="s">
        <v>160</v>
      </c>
      <c r="L66" s="135" t="s">
        <v>1</v>
      </c>
      <c r="M66" s="135" t="s">
        <v>1</v>
      </c>
      <c r="N66" s="135" t="s">
        <v>562</v>
      </c>
      <c r="O66" s="135" t="s">
        <v>588</v>
      </c>
      <c r="P66" s="135" t="s">
        <v>589</v>
      </c>
      <c r="Q66" s="135" t="s">
        <v>130</v>
      </c>
      <c r="R66" s="135" t="s">
        <v>590</v>
      </c>
      <c r="S66" s="135" t="s">
        <v>132</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IF(OR(C66="Admin optional",LEFT(A66,9)="OPERATOR-",LEFT(A66,8)="PAYMENT-",LEFT(A66,7)="DEPLOY-"),"External","Core")</f>
        <v>Core</v>
      </c>
    </row>
    <row r="67" customFormat="false" ht="15" hidden="false" customHeight="false" outlineLevel="0" collapsed="false">
      <c r="A67" s="135" t="s">
        <v>591</v>
      </c>
      <c r="B67" s="135" t="s">
        <v>256</v>
      </c>
      <c r="C67" s="256" t="s">
        <v>48</v>
      </c>
      <c r="D67" s="135" t="s">
        <v>592</v>
      </c>
      <c r="E67" s="135" t="s">
        <v>593</v>
      </c>
      <c r="F67" s="135" t="s">
        <v>594</v>
      </c>
      <c r="G67" s="135" t="s">
        <v>595</v>
      </c>
      <c r="H67" s="135" t="s">
        <v>596</v>
      </c>
      <c r="I67" s="135" t="s">
        <v>597</v>
      </c>
      <c r="J67" s="135" t="s">
        <v>598</v>
      </c>
      <c r="K67" s="135" t="s">
        <v>160</v>
      </c>
      <c r="L67" s="135" t="s">
        <v>1</v>
      </c>
      <c r="M67" s="135" t="s">
        <v>1</v>
      </c>
      <c r="N67" s="135" t="s">
        <v>562</v>
      </c>
      <c r="O67" s="135" t="s">
        <v>599</v>
      </c>
      <c r="P67" s="135" t="s">
        <v>600</v>
      </c>
      <c r="Q67" s="135" t="s">
        <v>130</v>
      </c>
      <c r="R67" s="135" t="s">
        <v>601</v>
      </c>
      <c r="S67" s="135" t="s">
        <v>106</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IF(OR(C67="Admin optional",LEFT(A67,9)="OPERATOR-",LEFT(A67,8)="PAYMENT-",LEFT(A67,7)="DEPLOY-"),"External","Core")</f>
        <v>Core</v>
      </c>
    </row>
    <row r="68" customFormat="false" ht="180" hidden="false" customHeight="true" outlineLevel="0" collapsed="false">
      <c r="A68" s="135" t="s">
        <v>602</v>
      </c>
      <c r="B68" s="135" t="s">
        <v>256</v>
      </c>
      <c r="C68" s="256" t="s">
        <v>48</v>
      </c>
      <c r="D68" s="135" t="s">
        <v>603</v>
      </c>
      <c r="E68" s="135" t="s">
        <v>604</v>
      </c>
      <c r="F68" s="135" t="s">
        <v>605</v>
      </c>
      <c r="G68" s="135" t="s">
        <v>606</v>
      </c>
      <c r="H68" s="135" t="s">
        <v>607</v>
      </c>
      <c r="I68" s="135" t="s">
        <v>608</v>
      </c>
      <c r="J68" s="135" t="s">
        <v>609</v>
      </c>
      <c r="K68" s="135" t="s">
        <v>610</v>
      </c>
      <c r="L68" s="135" t="s">
        <v>1</v>
      </c>
      <c r="M68" s="135" t="s">
        <v>1</v>
      </c>
      <c r="N68" s="135" t="s">
        <v>611</v>
      </c>
      <c r="O68" s="135" t="s">
        <v>612</v>
      </c>
      <c r="P68" s="135" t="s">
        <v>613</v>
      </c>
      <c r="Q68" s="135" t="s">
        <v>130</v>
      </c>
      <c r="R68" s="135" t="s">
        <v>614</v>
      </c>
      <c r="S68" s="135" t="s">
        <v>106</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IF(OR(C68="Admin optional",LEFT(A68,9)="OPERATOR-",LEFT(A68,8)="PAYMENT-",LEFT(A68,7)="DEPLOY-"),"External","Core")</f>
        <v>Core</v>
      </c>
    </row>
    <row r="69" customFormat="false" ht="90" hidden="false" customHeight="true" outlineLevel="0" collapsed="false">
      <c r="A69" s="135" t="s">
        <v>615</v>
      </c>
      <c r="B69" s="135" t="s">
        <v>256</v>
      </c>
      <c r="C69" s="256" t="s">
        <v>48</v>
      </c>
      <c r="D69" s="135" t="s">
        <v>616</v>
      </c>
      <c r="E69" s="135" t="s">
        <v>617</v>
      </c>
      <c r="F69" s="135" t="s">
        <v>4</v>
      </c>
      <c r="G69" s="135" t="s">
        <v>4</v>
      </c>
      <c r="H69" s="135" t="s">
        <v>618</v>
      </c>
      <c r="I69" s="135" t="s">
        <v>619</v>
      </c>
      <c r="J69" s="135" t="s">
        <v>620</v>
      </c>
      <c r="K69" s="135" t="s">
        <v>160</v>
      </c>
      <c r="L69" s="135" t="s">
        <v>1</v>
      </c>
      <c r="M69" s="135" t="s">
        <v>1</v>
      </c>
      <c r="N69" s="135" t="s">
        <v>611</v>
      </c>
      <c r="O69" s="135" t="s">
        <v>621</v>
      </c>
      <c r="P69" s="135" t="s">
        <v>622</v>
      </c>
      <c r="Q69" s="135" t="s">
        <v>130</v>
      </c>
      <c r="R69" s="135" t="s">
        <v>623</v>
      </c>
      <c r="S69" s="135" t="s">
        <v>106</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IF(OR(C69="Admin optional",LEFT(A69,9)="OPERATOR-",LEFT(A69,8)="PAYMENT-",LEFT(A69,7)="DEPLOY-"),"External","Core")</f>
        <v>Core</v>
      </c>
    </row>
    <row r="70" customFormat="false" ht="180" hidden="false" customHeight="true" outlineLevel="0" collapsed="false">
      <c r="A70" s="135" t="s">
        <v>624</v>
      </c>
      <c r="B70" s="135" t="s">
        <v>256</v>
      </c>
      <c r="C70" s="256" t="s">
        <v>48</v>
      </c>
      <c r="D70" s="135" t="s">
        <v>625</v>
      </c>
      <c r="E70" s="135" t="s">
        <v>626</v>
      </c>
      <c r="F70" s="135" t="s">
        <v>627</v>
      </c>
      <c r="G70" s="135" t="s">
        <v>628</v>
      </c>
      <c r="H70" s="135" t="s">
        <v>629</v>
      </c>
      <c r="I70" s="135" t="s">
        <v>630</v>
      </c>
      <c r="J70" s="135" t="s">
        <v>631</v>
      </c>
      <c r="K70" s="135" t="s">
        <v>160</v>
      </c>
      <c r="L70" s="135" t="s">
        <v>1</v>
      </c>
      <c r="M70" s="135" t="s">
        <v>1</v>
      </c>
      <c r="N70" s="135" t="s">
        <v>611</v>
      </c>
      <c r="O70" s="135" t="s">
        <v>632</v>
      </c>
      <c r="P70" s="135" t="s">
        <v>633</v>
      </c>
      <c r="Q70" s="135" t="s">
        <v>130</v>
      </c>
      <c r="R70" s="135" t="s">
        <v>634</v>
      </c>
      <c r="S70" s="135" t="s">
        <v>106</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IF(OR(C70="Admin optional",LEFT(A70,9)="OPERATOR-",LEFT(A70,8)="PAYMENT-",LEFT(A70,7)="DEPLOY-"),"External","Core")</f>
        <v>Core</v>
      </c>
    </row>
    <row r="71" customFormat="false" ht="180" hidden="false" customHeight="true" outlineLevel="0" collapsed="false">
      <c r="A71" s="135" t="s">
        <v>635</v>
      </c>
      <c r="B71" s="135" t="s">
        <v>256</v>
      </c>
      <c r="C71" s="256" t="s">
        <v>48</v>
      </c>
      <c r="D71" s="135" t="s">
        <v>636</v>
      </c>
      <c r="E71" s="135" t="s">
        <v>637</v>
      </c>
      <c r="F71" s="135" t="s">
        <v>638</v>
      </c>
      <c r="G71" s="135" t="s">
        <v>639</v>
      </c>
      <c r="H71" s="135" t="s">
        <v>640</v>
      </c>
      <c r="I71" s="135" t="s">
        <v>641</v>
      </c>
      <c r="J71" s="135" t="s">
        <v>642</v>
      </c>
      <c r="K71" s="135" t="s">
        <v>160</v>
      </c>
      <c r="L71" s="135" t="s">
        <v>1</v>
      </c>
      <c r="M71" s="135" t="s">
        <v>1</v>
      </c>
      <c r="N71" s="135" t="s">
        <v>127</v>
      </c>
      <c r="O71" s="135" t="s">
        <v>643</v>
      </c>
      <c r="P71" s="135" t="s">
        <v>644</v>
      </c>
      <c r="Q71" s="135" t="s">
        <v>130</v>
      </c>
      <c r="R71" s="135" t="s">
        <v>645</v>
      </c>
      <c r="S71" s="135" t="s">
        <v>106</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IF(OR(C71="Admin optional",LEFT(A71,9)="OPERATOR-",LEFT(A71,8)="PAYMENT-",LEFT(A71,7)="DEPLOY-"),"External","Core")</f>
        <v>Core</v>
      </c>
    </row>
    <row r="72" customFormat="false" ht="135" hidden="false" customHeight="true" outlineLevel="0" collapsed="false">
      <c r="A72" s="135" t="s">
        <v>646</v>
      </c>
      <c r="B72" s="135" t="s">
        <v>256</v>
      </c>
      <c r="C72" s="256" t="s">
        <v>48</v>
      </c>
      <c r="D72" s="135" t="s">
        <v>647</v>
      </c>
      <c r="E72" s="135" t="s">
        <v>648</v>
      </c>
      <c r="F72" s="135" t="s">
        <v>4</v>
      </c>
      <c r="G72" s="135" t="s">
        <v>649</v>
      </c>
      <c r="H72" s="135" t="s">
        <v>4</v>
      </c>
      <c r="I72" s="135" t="s">
        <v>650</v>
      </c>
      <c r="J72" s="135" t="s">
        <v>651</v>
      </c>
      <c r="K72" s="135" t="s">
        <v>160</v>
      </c>
      <c r="L72" s="135" t="s">
        <v>1</v>
      </c>
      <c r="M72" s="135" t="s">
        <v>1</v>
      </c>
      <c r="N72" s="135" t="s">
        <v>127</v>
      </c>
      <c r="O72" s="135" t="s">
        <v>652</v>
      </c>
      <c r="P72" s="135" t="s">
        <v>653</v>
      </c>
      <c r="Q72" s="135" t="s">
        <v>130</v>
      </c>
      <c r="R72" s="135" t="s">
        <v>654</v>
      </c>
      <c r="S72" s="135" t="s">
        <v>106</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IF(OR(C72="Admin optional",LEFT(A72,9)="OPERATOR-",LEFT(A72,8)="PAYMENT-",LEFT(A72,7)="DEPLOY-"),"External","Core")</f>
        <v>Core</v>
      </c>
    </row>
    <row r="73" customFormat="false" ht="15" hidden="false" customHeight="false" outlineLevel="0" collapsed="false">
      <c r="A73" s="135" t="s">
        <v>655</v>
      </c>
      <c r="B73" s="135" t="s">
        <v>256</v>
      </c>
      <c r="C73" s="256" t="s">
        <v>48</v>
      </c>
      <c r="D73" s="135" t="s">
        <v>656</v>
      </c>
      <c r="E73" s="135" t="s">
        <v>657</v>
      </c>
      <c r="F73" s="135" t="s">
        <v>4</v>
      </c>
      <c r="G73" s="135" t="s">
        <v>658</v>
      </c>
      <c r="H73" s="135" t="s">
        <v>4</v>
      </c>
      <c r="I73" s="135" t="s">
        <v>659</v>
      </c>
      <c r="J73" s="135" t="s">
        <v>660</v>
      </c>
      <c r="K73" s="135" t="s">
        <v>160</v>
      </c>
      <c r="L73" s="135" t="s">
        <v>1</v>
      </c>
      <c r="M73" s="135" t="s">
        <v>1</v>
      </c>
      <c r="N73" s="135" t="s">
        <v>562</v>
      </c>
      <c r="O73" s="135" t="s">
        <v>661</v>
      </c>
      <c r="P73" s="135" t="s">
        <v>662</v>
      </c>
      <c r="Q73" s="135" t="s">
        <v>130</v>
      </c>
      <c r="R73" s="135" t="s">
        <v>663</v>
      </c>
      <c r="S73" s="135" t="s">
        <v>106</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IF(OR(C73="Admin optional",LEFT(A73,9)="OPERATOR-",LEFT(A73,8)="PAYMENT-",LEFT(A73,7)="DEPLOY-"),"External","Core")</f>
        <v>Core</v>
      </c>
    </row>
    <row r="74" customFormat="false" ht="15" hidden="false" customHeight="false" outlineLevel="0" collapsed="false">
      <c r="A74" s="135" t="s">
        <v>664</v>
      </c>
      <c r="B74" s="135" t="s">
        <v>665</v>
      </c>
      <c r="C74" s="256" t="s">
        <v>48</v>
      </c>
      <c r="D74" s="135" t="s">
        <v>666</v>
      </c>
      <c r="E74" s="135" t="s">
        <v>667</v>
      </c>
      <c r="F74" s="135" t="s">
        <v>668</v>
      </c>
      <c r="G74" s="135" t="s">
        <v>669</v>
      </c>
      <c r="H74" s="135" t="s">
        <v>670</v>
      </c>
      <c r="I74" s="135" t="s">
        <v>671</v>
      </c>
      <c r="J74" s="135" t="s">
        <v>672</v>
      </c>
      <c r="K74" s="135" t="s">
        <v>160</v>
      </c>
      <c r="L74" s="135" t="s">
        <v>1</v>
      </c>
      <c r="M74" s="135" t="s">
        <v>1</v>
      </c>
      <c r="N74" s="135" t="s">
        <v>127</v>
      </c>
      <c r="O74" s="135" t="s">
        <v>673</v>
      </c>
      <c r="P74" s="135" t="s">
        <v>674</v>
      </c>
      <c r="Q74" s="135" t="s">
        <v>130</v>
      </c>
      <c r="R74" s="135" t="s">
        <v>675</v>
      </c>
      <c r="S74" s="135" t="s">
        <v>106</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IF(OR(C74="Admin optional",LEFT(A74,9)="OPERATOR-",LEFT(A74,8)="PAYMENT-",LEFT(A74,7)="DEPLOY-"),"External","Core")</f>
        <v>Core</v>
      </c>
    </row>
    <row r="75" customFormat="false" ht="15" hidden="false" customHeight="false" outlineLevel="0" collapsed="false">
      <c r="A75" s="135" t="s">
        <v>676</v>
      </c>
      <c r="B75" s="135" t="s">
        <v>256</v>
      </c>
      <c r="C75" s="256" t="s">
        <v>48</v>
      </c>
      <c r="D75" s="135" t="s">
        <v>677</v>
      </c>
      <c r="E75" s="135" t="s">
        <v>678</v>
      </c>
      <c r="F75" s="135" t="s">
        <v>4</v>
      </c>
      <c r="G75" s="135" t="s">
        <v>679</v>
      </c>
      <c r="H75" s="135" t="s">
        <v>4</v>
      </c>
      <c r="I75" s="135" t="s">
        <v>680</v>
      </c>
      <c r="J75" s="135" t="s">
        <v>681</v>
      </c>
      <c r="K75" s="135" t="s">
        <v>160</v>
      </c>
      <c r="L75" s="135" t="s">
        <v>1</v>
      </c>
      <c r="M75" s="135" t="s">
        <v>1</v>
      </c>
      <c r="N75" s="135" t="s">
        <v>562</v>
      </c>
      <c r="O75" s="135" t="s">
        <v>682</v>
      </c>
      <c r="P75" s="135" t="s">
        <v>683</v>
      </c>
      <c r="Q75" s="135" t="s">
        <v>130</v>
      </c>
      <c r="R75" s="135" t="s">
        <v>684</v>
      </c>
      <c r="S75" s="135" t="s">
        <v>106</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IF(OR(C75="Admin optional",LEFT(A75,9)="OPERATOR-",LEFT(A75,8)="PAYMENT-",LEFT(A75,7)="DEPLOY-"),"External","Core")</f>
        <v>Core</v>
      </c>
    </row>
    <row r="76" customFormat="false" ht="15" hidden="false" customHeight="false" outlineLevel="0" collapsed="false">
      <c r="A76" s="135" t="s">
        <v>685</v>
      </c>
      <c r="B76" s="135" t="s">
        <v>665</v>
      </c>
      <c r="C76" s="256" t="s">
        <v>48</v>
      </c>
      <c r="D76" s="135" t="s">
        <v>686</v>
      </c>
      <c r="E76" s="135" t="s">
        <v>687</v>
      </c>
      <c r="F76" s="135" t="s">
        <v>4</v>
      </c>
      <c r="G76" s="135" t="s">
        <v>688</v>
      </c>
      <c r="H76" s="135" t="s">
        <v>4</v>
      </c>
      <c r="I76" s="135" t="s">
        <v>689</v>
      </c>
      <c r="J76" s="135" t="s">
        <v>690</v>
      </c>
      <c r="K76" s="135" t="s">
        <v>160</v>
      </c>
      <c r="L76" s="135" t="s">
        <v>1</v>
      </c>
      <c r="M76" s="135" t="s">
        <v>1</v>
      </c>
      <c r="N76" s="135" t="s">
        <v>562</v>
      </c>
      <c r="O76" s="135" t="s">
        <v>691</v>
      </c>
      <c r="P76" s="135" t="s">
        <v>692</v>
      </c>
      <c r="Q76" s="135" t="s">
        <v>130</v>
      </c>
      <c r="R76" s="135" t="s">
        <v>693</v>
      </c>
      <c r="S76" s="135" t="s">
        <v>106</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IF(OR(C76="Admin optional",LEFT(A76,9)="OPERATOR-",LEFT(A76,8)="PAYMENT-",LEFT(A76,7)="DEPLOY-"),"External","Core")</f>
        <v>Core</v>
      </c>
    </row>
    <row r="77" customFormat="false" ht="15" hidden="false" customHeight="false" outlineLevel="0" collapsed="false">
      <c r="A77" s="146" t="s">
        <v>694</v>
      </c>
      <c r="B77" s="146" t="s">
        <v>665</v>
      </c>
      <c r="C77" s="256" t="s">
        <v>48</v>
      </c>
      <c r="D77" s="146" t="s">
        <v>695</v>
      </c>
      <c r="E77" s="146" t="s">
        <v>696</v>
      </c>
      <c r="F77" s="146" t="s">
        <v>4</v>
      </c>
      <c r="G77" s="146" t="s">
        <v>697</v>
      </c>
      <c r="H77" s="146" t="s">
        <v>4</v>
      </c>
      <c r="I77" s="146" t="s">
        <v>698</v>
      </c>
      <c r="J77" s="146" t="s">
        <v>699</v>
      </c>
      <c r="K77" s="146" t="s">
        <v>130</v>
      </c>
      <c r="L77" s="146" t="s">
        <v>1</v>
      </c>
      <c r="M77" s="146" t="s">
        <v>1</v>
      </c>
      <c r="N77" s="146" t="s">
        <v>562</v>
      </c>
      <c r="O77" s="146" t="s">
        <v>700</v>
      </c>
      <c r="P77" s="146" t="s">
        <v>701</v>
      </c>
      <c r="Q77" s="146" t="s">
        <v>160</v>
      </c>
      <c r="R77" s="146" t="s">
        <v>702</v>
      </c>
      <c r="S77" s="146" t="s">
        <v>106</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IF(OR(C77="Admin optional",LEFT(A77,9)="OPERATOR-",LEFT(A77,8)="PAYMENT-",LEFT(A77,7)="DEPLOY-"),"External","Core")</f>
        <v>Core</v>
      </c>
    </row>
    <row r="78" customFormat="false" ht="15" hidden="false" customHeight="false" outlineLevel="0" collapsed="false">
      <c r="A78" s="138" t="s">
        <v>703</v>
      </c>
      <c r="B78" s="138" t="s">
        <v>256</v>
      </c>
      <c r="C78" s="256" t="s">
        <v>48</v>
      </c>
      <c r="D78" s="138" t="s">
        <v>704</v>
      </c>
      <c r="E78" s="138" t="s">
        <v>705</v>
      </c>
      <c r="F78" s="138" t="s">
        <v>706</v>
      </c>
      <c r="G78" s="138" t="s">
        <v>707</v>
      </c>
      <c r="H78" s="138" t="s">
        <v>596</v>
      </c>
      <c r="I78" s="138" t="s">
        <v>708</v>
      </c>
      <c r="J78" s="138" t="s">
        <v>709</v>
      </c>
      <c r="K78" s="138" t="s">
        <v>365</v>
      </c>
      <c r="L78" s="138" t="s">
        <v>1</v>
      </c>
      <c r="M78" s="138" t="s">
        <v>1</v>
      </c>
      <c r="N78" s="138" t="s">
        <v>1</v>
      </c>
      <c r="O78" s="138" t="s">
        <v>710</v>
      </c>
      <c r="P78" s="138" t="s">
        <v>711</v>
      </c>
      <c r="Q78" s="138" t="s">
        <v>1</v>
      </c>
      <c r="R78" s="138" t="s">
        <v>712</v>
      </c>
      <c r="S78" s="138" t="s">
        <v>323</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Not started</v>
      </c>
      <c r="U78" s="146" t="str">
        <f>IF(OR(C78="Admin optional",LEFT(A78,9)="OPERATOR-",LEFT(A78,8)="PAYMENT-",LEFT(A78,7)="DEPLOY-"),"External","Core")</f>
        <v>Core</v>
      </c>
    </row>
    <row r="79" customFormat="false" ht="15" hidden="false" customHeight="false" outlineLevel="0" collapsed="false">
      <c r="A79" s="138" t="s">
        <v>713</v>
      </c>
      <c r="B79" s="138" t="s">
        <v>256</v>
      </c>
      <c r="C79" s="256" t="s">
        <v>48</v>
      </c>
      <c r="D79" s="138" t="s">
        <v>714</v>
      </c>
      <c r="E79" s="138" t="s">
        <v>715</v>
      </c>
      <c r="F79" s="138" t="s">
        <v>4</v>
      </c>
      <c r="G79" s="138" t="s">
        <v>4</v>
      </c>
      <c r="H79" s="138" t="s">
        <v>4</v>
      </c>
      <c r="I79" s="138" t="s">
        <v>4</v>
      </c>
      <c r="J79" s="138" t="s">
        <v>716</v>
      </c>
      <c r="K79" s="138" t="s">
        <v>365</v>
      </c>
      <c r="L79" s="138" t="s">
        <v>1</v>
      </c>
      <c r="M79" s="138" t="s">
        <v>1</v>
      </c>
      <c r="N79" s="138" t="s">
        <v>1</v>
      </c>
      <c r="O79" s="138" t="s">
        <v>717</v>
      </c>
      <c r="P79" s="138" t="s">
        <v>718</v>
      </c>
      <c r="Q79" s="138" t="s">
        <v>1</v>
      </c>
      <c r="R79" s="138" t="s">
        <v>719</v>
      </c>
      <c r="S79" s="138" t="s">
        <v>392</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Not started</v>
      </c>
      <c r="U79" s="146" t="str">
        <f>IF(OR(C79="Admin optional",LEFT(A79,9)="OPERATOR-",LEFT(A79,8)="PAYMENT-",LEFT(A79,7)="DEPLOY-"),"External","Core")</f>
        <v>Core</v>
      </c>
    </row>
    <row r="80" customFormat="false" ht="15" hidden="false" customHeight="false" outlineLevel="0" collapsed="false">
      <c r="A80" s="138" t="s">
        <v>720</v>
      </c>
      <c r="B80" s="138" t="s">
        <v>256</v>
      </c>
      <c r="C80" s="256" t="s">
        <v>48</v>
      </c>
      <c r="D80" s="138" t="s">
        <v>721</v>
      </c>
      <c r="E80" s="138" t="s">
        <v>722</v>
      </c>
      <c r="F80" s="138" t="s">
        <v>723</v>
      </c>
      <c r="G80" s="138" t="s">
        <v>724</v>
      </c>
      <c r="H80" s="138" t="s">
        <v>261</v>
      </c>
      <c r="I80" s="138" t="s">
        <v>725</v>
      </c>
      <c r="J80" s="138" t="s">
        <v>726</v>
      </c>
      <c r="K80" s="138" t="s">
        <v>365</v>
      </c>
      <c r="L80" s="138" t="s">
        <v>1</v>
      </c>
      <c r="M80" s="138" t="s">
        <v>1</v>
      </c>
      <c r="N80" s="138" t="s">
        <v>1</v>
      </c>
      <c r="O80" s="138" t="s">
        <v>727</v>
      </c>
      <c r="P80" s="138" t="s">
        <v>728</v>
      </c>
      <c r="Q80" s="138" t="s">
        <v>1</v>
      </c>
      <c r="R80" s="138" t="s">
        <v>729</v>
      </c>
      <c r="S80" s="138" t="s">
        <v>132</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Not started</v>
      </c>
      <c r="U80" s="146" t="str">
        <f>IF(OR(C80="Admin optional",LEFT(A80,9)="OPERATOR-",LEFT(A80,8)="PAYMENT-",LEFT(A80,7)="DEPLOY-"),"External","Core")</f>
        <v>Core</v>
      </c>
    </row>
    <row r="81" customFormat="false" ht="15" hidden="false" customHeight="false" outlineLevel="0" collapsed="false">
      <c r="A81" s="138" t="s">
        <v>730</v>
      </c>
      <c r="B81" s="138" t="s">
        <v>256</v>
      </c>
      <c r="C81" s="256" t="s">
        <v>48</v>
      </c>
      <c r="D81" s="138" t="s">
        <v>731</v>
      </c>
      <c r="E81" s="138" t="s">
        <v>732</v>
      </c>
      <c r="F81" s="138" t="s">
        <v>733</v>
      </c>
      <c r="G81" s="138" t="s">
        <v>734</v>
      </c>
      <c r="H81" s="138" t="s">
        <v>261</v>
      </c>
      <c r="I81" s="138" t="s">
        <v>735</v>
      </c>
      <c r="J81" s="138" t="s">
        <v>736</v>
      </c>
      <c r="K81" s="138" t="s">
        <v>365</v>
      </c>
      <c r="L81" s="138" t="s">
        <v>1</v>
      </c>
      <c r="M81" s="138" t="s">
        <v>1</v>
      </c>
      <c r="N81" s="138" t="s">
        <v>1</v>
      </c>
      <c r="O81" s="138" t="s">
        <v>737</v>
      </c>
      <c r="P81" s="138" t="s">
        <v>738</v>
      </c>
      <c r="Q81" s="138" t="s">
        <v>1</v>
      </c>
      <c r="R81" s="138" t="s">
        <v>739</v>
      </c>
      <c r="S81" s="138" t="s">
        <v>132</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Not started</v>
      </c>
      <c r="U81" s="146" t="str">
        <f>IF(OR(C81="Admin optional",LEFT(A81,9)="OPERATOR-",LEFT(A81,8)="PAYMENT-",LEFT(A81,7)="DEPLOY-"),"External","Core")</f>
        <v>Core</v>
      </c>
    </row>
    <row r="82" customFormat="false" ht="15" hidden="false" customHeight="false" outlineLevel="0" collapsed="false">
      <c r="A82" s="135" t="s">
        <v>740</v>
      </c>
      <c r="B82" s="135" t="s">
        <v>741</v>
      </c>
      <c r="C82" s="256" t="s">
        <v>48</v>
      </c>
      <c r="D82" s="135" t="s">
        <v>257</v>
      </c>
      <c r="E82" s="135" t="s">
        <v>742</v>
      </c>
      <c r="F82" s="135" t="s">
        <v>4</v>
      </c>
      <c r="G82" s="135" t="s">
        <v>4</v>
      </c>
      <c r="H82" s="135" t="s">
        <v>4</v>
      </c>
      <c r="I82" s="135" t="s">
        <v>4</v>
      </c>
      <c r="J82" s="135" t="s">
        <v>743</v>
      </c>
      <c r="K82" s="135" t="s">
        <v>744</v>
      </c>
      <c r="L82" s="135" t="s">
        <v>1</v>
      </c>
      <c r="M82" s="135" t="s">
        <v>1</v>
      </c>
      <c r="N82" s="135" t="s">
        <v>509</v>
      </c>
      <c r="O82" s="135" t="s">
        <v>745</v>
      </c>
      <c r="P82" s="135" t="s">
        <v>746</v>
      </c>
      <c r="Q82" s="135" t="s">
        <v>130</v>
      </c>
      <c r="R82" s="135" t="s">
        <v>747</v>
      </c>
      <c r="S82" s="135" t="s">
        <v>392</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IF(OR(C82="Admin optional",LEFT(A82,9)="OPERATOR-",LEFT(A82,8)="PAYMENT-",LEFT(A82,7)="DEPLOY-"),"External","Core")</f>
        <v>Core</v>
      </c>
    </row>
    <row r="83" customFormat="false" ht="15" hidden="false" customHeight="false" outlineLevel="0" collapsed="false">
      <c r="A83" s="136" t="s">
        <v>748</v>
      </c>
      <c r="B83" s="136" t="s">
        <v>242</v>
      </c>
      <c r="C83" s="256" t="s">
        <v>48</v>
      </c>
      <c r="D83" s="136" t="s">
        <v>749</v>
      </c>
      <c r="E83" s="136" t="s">
        <v>750</v>
      </c>
      <c r="F83" s="136" t="s">
        <v>4</v>
      </c>
      <c r="G83" s="136" t="s">
        <v>751</v>
      </c>
      <c r="H83" s="136" t="s">
        <v>4</v>
      </c>
      <c r="I83" s="136" t="s">
        <v>752</v>
      </c>
      <c r="J83" s="136" t="s">
        <v>753</v>
      </c>
      <c r="K83" s="136" t="s">
        <v>754</v>
      </c>
      <c r="L83" s="136" t="s">
        <v>1</v>
      </c>
      <c r="M83" s="136" t="s">
        <v>1</v>
      </c>
      <c r="N83" s="136" t="s">
        <v>755</v>
      </c>
      <c r="O83" s="136" t="s">
        <v>756</v>
      </c>
      <c r="P83" s="136" t="s">
        <v>757</v>
      </c>
      <c r="Q83" s="136" t="s">
        <v>253</v>
      </c>
      <c r="R83" s="136" t="s">
        <v>758</v>
      </c>
      <c r="S83" s="136" t="s">
        <v>759</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Pending</v>
      </c>
      <c r="U83" s="146" t="str">
        <f>IF(OR(C83="Admin optional",LEFT(A83,9)="OPERATOR-",LEFT(A83,8)="PAYMENT-",LEFT(A83,7)="DEPLOY-"),"External","Core")</f>
        <v>Core</v>
      </c>
    </row>
    <row r="84" customFormat="false" ht="15" hidden="false" customHeight="false" outlineLevel="0" collapsed="false">
      <c r="A84" s="135" t="s">
        <v>760</v>
      </c>
      <c r="B84" s="135" t="s">
        <v>242</v>
      </c>
      <c r="C84" s="256" t="s">
        <v>48</v>
      </c>
      <c r="D84" s="135" t="s">
        <v>761</v>
      </c>
      <c r="E84" s="135" t="s">
        <v>762</v>
      </c>
      <c r="F84" s="135" t="s">
        <v>763</v>
      </c>
      <c r="G84" s="135" t="s">
        <v>764</v>
      </c>
      <c r="H84" s="135" t="s">
        <v>765</v>
      </c>
      <c r="I84" s="135" t="s">
        <v>8</v>
      </c>
      <c r="J84" s="135" t="s">
        <v>766</v>
      </c>
      <c r="K84" s="135" t="s">
        <v>264</v>
      </c>
      <c r="L84" s="135" t="s">
        <v>1</v>
      </c>
      <c r="M84" s="135" t="s">
        <v>1</v>
      </c>
      <c r="N84" s="135" t="s">
        <v>101</v>
      </c>
      <c r="O84" s="135" t="s">
        <v>767</v>
      </c>
      <c r="P84" s="135" t="s">
        <v>768</v>
      </c>
      <c r="Q84" s="135" t="s">
        <v>130</v>
      </c>
      <c r="R84" s="135" t="s">
        <v>769</v>
      </c>
      <c r="S84" s="135" t="s">
        <v>770</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IF(OR(C84="Admin optional",LEFT(A84,9)="OPERATOR-",LEFT(A84,8)="PAYMENT-",LEFT(A84,7)="DEPLOY-"),"External","Core")</f>
        <v>Core</v>
      </c>
    </row>
    <row r="85" customFormat="false" ht="15" hidden="false" customHeight="false" outlineLevel="0" collapsed="false">
      <c r="A85" s="136" t="s">
        <v>771</v>
      </c>
      <c r="B85" s="136" t="s">
        <v>242</v>
      </c>
      <c r="C85" s="256" t="s">
        <v>48</v>
      </c>
      <c r="D85" s="136" t="s">
        <v>772</v>
      </c>
      <c r="E85" s="136" t="s">
        <v>773</v>
      </c>
      <c r="F85" s="136" t="s">
        <v>4</v>
      </c>
      <c r="G85" s="136" t="s">
        <v>774</v>
      </c>
      <c r="H85" s="136" t="s">
        <v>4</v>
      </c>
      <c r="I85" s="136" t="s">
        <v>8</v>
      </c>
      <c r="J85" s="136" t="s">
        <v>775</v>
      </c>
      <c r="K85" s="136" t="s">
        <v>249</v>
      </c>
      <c r="L85" s="136" t="s">
        <v>1</v>
      </c>
      <c r="M85" s="136" t="s">
        <v>1</v>
      </c>
      <c r="N85" s="136" t="s">
        <v>250</v>
      </c>
      <c r="O85" s="136" t="s">
        <v>251</v>
      </c>
      <c r="P85" s="136" t="s">
        <v>776</v>
      </c>
      <c r="Q85" s="136" t="s">
        <v>253</v>
      </c>
      <c r="R85" s="136" t="s">
        <v>254</v>
      </c>
      <c r="S85" s="136" t="s">
        <v>777</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Pending</v>
      </c>
      <c r="U85" s="146" t="str">
        <f>IF(OR(C85="Admin optional",LEFT(A85,9)="OPERATOR-",LEFT(A85,8)="PAYMENT-",LEFT(A85,7)="DEPLOY-"),"External","Core")</f>
        <v>Core</v>
      </c>
    </row>
    <row r="86" customFormat="false" ht="15" hidden="false" customHeight="false" outlineLevel="0" collapsed="false">
      <c r="A86" s="136" t="s">
        <v>778</v>
      </c>
      <c r="B86" s="136" t="s">
        <v>242</v>
      </c>
      <c r="C86" s="256" t="s">
        <v>48</v>
      </c>
      <c r="D86" s="136" t="s">
        <v>779</v>
      </c>
      <c r="E86" s="136" t="s">
        <v>780</v>
      </c>
      <c r="F86" s="136" t="s">
        <v>4</v>
      </c>
      <c r="G86" s="136" t="s">
        <v>781</v>
      </c>
      <c r="H86" s="136" t="s">
        <v>4</v>
      </c>
      <c r="I86" s="136" t="s">
        <v>8</v>
      </c>
      <c r="J86" s="136" t="s">
        <v>782</v>
      </c>
      <c r="K86" s="136" t="s">
        <v>249</v>
      </c>
      <c r="L86" s="136" t="s">
        <v>1</v>
      </c>
      <c r="M86" s="136" t="s">
        <v>1</v>
      </c>
      <c r="N86" s="136" t="s">
        <v>250</v>
      </c>
      <c r="O86" s="136" t="s">
        <v>251</v>
      </c>
      <c r="P86" s="136" t="s">
        <v>783</v>
      </c>
      <c r="Q86" s="136" t="s">
        <v>253</v>
      </c>
      <c r="R86" s="136" t="s">
        <v>254</v>
      </c>
      <c r="S86" s="136" t="s">
        <v>759</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Pending</v>
      </c>
      <c r="U86" s="146" t="str">
        <f>IF(OR(C86="Admin optional",LEFT(A86,9)="OPERATOR-",LEFT(A86,8)="PAYMENT-",LEFT(A86,7)="DEPLOY-"),"External","Core")</f>
        <v>Core</v>
      </c>
    </row>
    <row r="87" customFormat="false" ht="15" hidden="false" customHeight="false" outlineLevel="0" collapsed="false">
      <c r="A87" s="135" t="s">
        <v>784</v>
      </c>
      <c r="B87" s="135" t="s">
        <v>256</v>
      </c>
      <c r="C87" s="257" t="s">
        <v>57</v>
      </c>
      <c r="D87" s="135" t="s">
        <v>57</v>
      </c>
      <c r="E87" s="135" t="s">
        <v>785</v>
      </c>
      <c r="F87" s="135" t="s">
        <v>786</v>
      </c>
      <c r="G87" s="135" t="s">
        <v>787</v>
      </c>
      <c r="H87" s="135" t="s">
        <v>596</v>
      </c>
      <c r="I87" s="135" t="s">
        <v>788</v>
      </c>
      <c r="J87" s="135" t="s">
        <v>789</v>
      </c>
      <c r="K87" s="135" t="s">
        <v>790</v>
      </c>
      <c r="L87" s="135" t="s">
        <v>1</v>
      </c>
      <c r="M87" s="135" t="s">
        <v>1</v>
      </c>
      <c r="N87" s="135" t="s">
        <v>181</v>
      </c>
      <c r="O87" s="135" t="s">
        <v>791</v>
      </c>
      <c r="P87" s="135" t="s">
        <v>792</v>
      </c>
      <c r="Q87" s="135" t="s">
        <v>130</v>
      </c>
      <c r="R87" s="135" t="s">
        <v>793</v>
      </c>
      <c r="S87" s="135" t="s">
        <v>289</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IF(OR(C87="Admin optional",LEFT(A87,9)="OPERATOR-",LEFT(A87,8)="PAYMENT-",LEFT(A87,7)="DEPLOY-"),"External","Core")</f>
        <v>Core</v>
      </c>
    </row>
    <row r="88" customFormat="false" ht="15" hidden="false" customHeight="false" outlineLevel="0" collapsed="false">
      <c r="A88" s="135" t="s">
        <v>794</v>
      </c>
      <c r="B88" s="135" t="s">
        <v>256</v>
      </c>
      <c r="C88" s="257" t="s">
        <v>57</v>
      </c>
      <c r="D88" s="135" t="s">
        <v>57</v>
      </c>
      <c r="E88" s="135" t="s">
        <v>795</v>
      </c>
      <c r="F88" s="135" t="s">
        <v>315</v>
      </c>
      <c r="G88" s="135" t="s">
        <v>796</v>
      </c>
      <c r="H88" s="135" t="s">
        <v>797</v>
      </c>
      <c r="I88" s="135" t="s">
        <v>798</v>
      </c>
      <c r="J88" s="135" t="s">
        <v>799</v>
      </c>
      <c r="K88" s="135" t="s">
        <v>160</v>
      </c>
      <c r="L88" s="135" t="s">
        <v>1</v>
      </c>
      <c r="M88" s="135" t="s">
        <v>1</v>
      </c>
      <c r="N88" s="135" t="s">
        <v>181</v>
      </c>
      <c r="O88" s="135" t="s">
        <v>800</v>
      </c>
      <c r="P88" s="135" t="s">
        <v>801</v>
      </c>
      <c r="Q88" s="135" t="s">
        <v>130</v>
      </c>
      <c r="R88" s="135" t="s">
        <v>802</v>
      </c>
      <c r="S88" s="135" t="s">
        <v>392</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IF(OR(C88="Admin optional",LEFT(A88,9)="OPERATOR-",LEFT(A88,8)="PAYMENT-",LEFT(A88,7)="DEPLOY-"),"External","Core")</f>
        <v>Core</v>
      </c>
    </row>
    <row r="89" customFormat="false" ht="15" hidden="false" customHeight="false" outlineLevel="0" collapsed="false">
      <c r="A89" s="135" t="s">
        <v>803</v>
      </c>
      <c r="B89" s="135" t="s">
        <v>256</v>
      </c>
      <c r="C89" s="257" t="s">
        <v>57</v>
      </c>
      <c r="D89" s="135" t="s">
        <v>57</v>
      </c>
      <c r="E89" s="135" t="s">
        <v>804</v>
      </c>
      <c r="F89" s="135" t="s">
        <v>805</v>
      </c>
      <c r="G89" s="135" t="s">
        <v>806</v>
      </c>
      <c r="H89" s="135" t="s">
        <v>807</v>
      </c>
      <c r="I89" s="135" t="s">
        <v>808</v>
      </c>
      <c r="J89" s="135" t="s">
        <v>809</v>
      </c>
      <c r="K89" s="135" t="s">
        <v>160</v>
      </c>
      <c r="L89" s="135" t="s">
        <v>1</v>
      </c>
      <c r="M89" s="135" t="s">
        <v>1</v>
      </c>
      <c r="N89" s="135" t="s">
        <v>181</v>
      </c>
      <c r="O89" s="135" t="s">
        <v>810</v>
      </c>
      <c r="P89" s="135" t="s">
        <v>811</v>
      </c>
      <c r="Q89" s="135" t="s">
        <v>130</v>
      </c>
      <c r="R89" s="135" t="s">
        <v>812</v>
      </c>
      <c r="S89" s="135" t="s">
        <v>132</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IF(OR(C89="Admin optional",LEFT(A89,9)="OPERATOR-",LEFT(A89,8)="PAYMENT-",LEFT(A89,7)="DEPLOY-"),"External","Core")</f>
        <v>Core</v>
      </c>
    </row>
    <row r="90" customFormat="false" ht="75" hidden="false" customHeight="true" outlineLevel="0" collapsed="false">
      <c r="A90" s="135" t="s">
        <v>813</v>
      </c>
      <c r="B90" s="135" t="s">
        <v>814</v>
      </c>
      <c r="C90" s="257" t="s">
        <v>57</v>
      </c>
      <c r="D90" s="135" t="s">
        <v>815</v>
      </c>
      <c r="E90" s="135" t="s">
        <v>816</v>
      </c>
      <c r="F90" s="135" t="s">
        <v>817</v>
      </c>
      <c r="G90" s="135" t="s">
        <v>818</v>
      </c>
      <c r="H90" s="135" t="s">
        <v>4</v>
      </c>
      <c r="I90" s="135" t="s">
        <v>819</v>
      </c>
      <c r="J90" s="135" t="s">
        <v>820</v>
      </c>
      <c r="K90" s="135" t="s">
        <v>160</v>
      </c>
      <c r="L90" s="135" t="s">
        <v>1</v>
      </c>
      <c r="M90" s="135" t="s">
        <v>1</v>
      </c>
      <c r="N90" s="135" t="s">
        <v>821</v>
      </c>
      <c r="O90" s="135" t="s">
        <v>822</v>
      </c>
      <c r="P90" s="135" t="s">
        <v>823</v>
      </c>
      <c r="Q90" s="135" t="s">
        <v>130</v>
      </c>
      <c r="R90" s="135" t="s">
        <v>824</v>
      </c>
      <c r="S90" s="135" t="s">
        <v>348</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IF(OR(C90="Admin optional",LEFT(A90,9)="OPERATOR-",LEFT(A90,8)="PAYMENT-",LEFT(A90,7)="DEPLOY-"),"External","Core")</f>
        <v>Core</v>
      </c>
    </row>
    <row r="91" customFormat="false" ht="15" hidden="false" customHeight="false" outlineLevel="0" collapsed="false">
      <c r="A91" s="135" t="s">
        <v>825</v>
      </c>
      <c r="B91" s="135" t="s">
        <v>814</v>
      </c>
      <c r="C91" s="257" t="s">
        <v>57</v>
      </c>
      <c r="D91" s="135" t="s">
        <v>826</v>
      </c>
      <c r="E91" s="135" t="s">
        <v>827</v>
      </c>
      <c r="F91" s="135" t="s">
        <v>828</v>
      </c>
      <c r="G91" s="135" t="s">
        <v>829</v>
      </c>
      <c r="H91" s="135" t="s">
        <v>4</v>
      </c>
      <c r="I91" s="135" t="s">
        <v>4</v>
      </c>
      <c r="J91" s="135" t="s">
        <v>830</v>
      </c>
      <c r="K91" s="135" t="s">
        <v>160</v>
      </c>
      <c r="L91" s="135" t="s">
        <v>1</v>
      </c>
      <c r="M91" s="135" t="s">
        <v>1</v>
      </c>
      <c r="N91" s="135" t="s">
        <v>821</v>
      </c>
      <c r="O91" s="135" t="s">
        <v>831</v>
      </c>
      <c r="P91" s="135" t="s">
        <v>832</v>
      </c>
      <c r="Q91" s="135" t="s">
        <v>130</v>
      </c>
      <c r="R91" s="135" t="s">
        <v>833</v>
      </c>
      <c r="S91" s="135" t="s">
        <v>132</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IF(OR(C91="Admin optional",LEFT(A91,9)="OPERATOR-",LEFT(A91,8)="PAYMENT-",LEFT(A91,7)="DEPLOY-"),"External","Core")</f>
        <v>Core</v>
      </c>
    </row>
    <row r="92" customFormat="false" ht="15" hidden="false" customHeight="false" outlineLevel="0" collapsed="false">
      <c r="A92" s="135" t="s">
        <v>834</v>
      </c>
      <c r="B92" s="135" t="s">
        <v>814</v>
      </c>
      <c r="C92" s="257" t="s">
        <v>57</v>
      </c>
      <c r="D92" s="135" t="s">
        <v>835</v>
      </c>
      <c r="E92" s="135" t="s">
        <v>836</v>
      </c>
      <c r="F92" s="135" t="s">
        <v>837</v>
      </c>
      <c r="G92" s="135" t="s">
        <v>838</v>
      </c>
      <c r="H92" s="135" t="s">
        <v>4</v>
      </c>
      <c r="I92" s="135" t="s">
        <v>4</v>
      </c>
      <c r="J92" s="135" t="s">
        <v>839</v>
      </c>
      <c r="K92" s="135" t="s">
        <v>160</v>
      </c>
      <c r="L92" s="135" t="s">
        <v>1</v>
      </c>
      <c r="M92" s="135" t="s">
        <v>1</v>
      </c>
      <c r="N92" s="135" t="s">
        <v>821</v>
      </c>
      <c r="O92" s="135" t="s">
        <v>840</v>
      </c>
      <c r="P92" s="135" t="s">
        <v>841</v>
      </c>
      <c r="Q92" s="135" t="s">
        <v>130</v>
      </c>
      <c r="R92" s="135" t="s">
        <v>842</v>
      </c>
      <c r="S92" s="135" t="s">
        <v>843</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IF(OR(C92="Admin optional",LEFT(A92,9)="OPERATOR-",LEFT(A92,8)="PAYMENT-",LEFT(A92,7)="DEPLOY-"),"External","Core")</f>
        <v>Core</v>
      </c>
    </row>
    <row r="93" customFormat="false" ht="15" hidden="false" customHeight="false" outlineLevel="0" collapsed="false">
      <c r="A93" s="135" t="s">
        <v>844</v>
      </c>
      <c r="B93" s="135" t="s">
        <v>814</v>
      </c>
      <c r="C93" s="257" t="s">
        <v>57</v>
      </c>
      <c r="D93" s="135" t="s">
        <v>845</v>
      </c>
      <c r="E93" s="135" t="s">
        <v>846</v>
      </c>
      <c r="F93" s="135" t="s">
        <v>847</v>
      </c>
      <c r="G93" s="135" t="s">
        <v>848</v>
      </c>
      <c r="H93" s="135" t="s">
        <v>4</v>
      </c>
      <c r="I93" s="135" t="s">
        <v>4</v>
      </c>
      <c r="J93" s="135" t="s">
        <v>849</v>
      </c>
      <c r="K93" s="135" t="s">
        <v>160</v>
      </c>
      <c r="L93" s="135" t="s">
        <v>4</v>
      </c>
      <c r="M93" s="135" t="s">
        <v>850</v>
      </c>
      <c r="N93" s="135" t="s">
        <v>851</v>
      </c>
      <c r="O93" s="135" t="s">
        <v>852</v>
      </c>
      <c r="P93" s="135" t="s">
        <v>853</v>
      </c>
      <c r="Q93" s="135" t="s">
        <v>130</v>
      </c>
      <c r="R93" s="135" t="s">
        <v>854</v>
      </c>
      <c r="S93" s="135" t="s">
        <v>106</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IF(OR(C93="Admin optional",LEFT(A93,9)="OPERATOR-",LEFT(A93,8)="PAYMENT-",LEFT(A93,7)="DEPLOY-"),"External","Core")</f>
        <v>Core</v>
      </c>
    </row>
    <row r="94" customFormat="false" ht="15" hidden="false" customHeight="false" outlineLevel="0" collapsed="false">
      <c r="A94" s="135" t="s">
        <v>855</v>
      </c>
      <c r="B94" s="135" t="s">
        <v>814</v>
      </c>
      <c r="C94" s="257" t="s">
        <v>57</v>
      </c>
      <c r="D94" s="135" t="s">
        <v>856</v>
      </c>
      <c r="E94" s="135" t="s">
        <v>857</v>
      </c>
      <c r="F94" s="135" t="s">
        <v>858</v>
      </c>
      <c r="G94" s="135" t="s">
        <v>859</v>
      </c>
      <c r="H94" s="135" t="s">
        <v>4</v>
      </c>
      <c r="I94" s="135" t="s">
        <v>860</v>
      </c>
      <c r="J94" s="135" t="s">
        <v>861</v>
      </c>
      <c r="K94" s="135" t="s">
        <v>160</v>
      </c>
      <c r="L94" s="135" t="s">
        <v>4</v>
      </c>
      <c r="M94" s="135" t="s">
        <v>850</v>
      </c>
      <c r="N94" s="135" t="s">
        <v>851</v>
      </c>
      <c r="O94" s="135" t="s">
        <v>862</v>
      </c>
      <c r="P94" s="135" t="s">
        <v>863</v>
      </c>
      <c r="Q94" s="135" t="s">
        <v>130</v>
      </c>
      <c r="R94" s="135" t="s">
        <v>864</v>
      </c>
      <c r="S94" s="135" t="s">
        <v>106</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IF(OR(C94="Admin optional",LEFT(A94,9)="OPERATOR-",LEFT(A94,8)="PAYMENT-",LEFT(A94,7)="DEPLOY-"),"External","Core")</f>
        <v>Core</v>
      </c>
    </row>
    <row r="95" customFormat="false" ht="15" hidden="false" customHeight="false" outlineLevel="0" collapsed="false">
      <c r="A95" s="135" t="s">
        <v>865</v>
      </c>
      <c r="B95" s="135" t="s">
        <v>814</v>
      </c>
      <c r="C95" s="257" t="s">
        <v>57</v>
      </c>
      <c r="D95" s="135" t="s">
        <v>866</v>
      </c>
      <c r="E95" s="135" t="s">
        <v>867</v>
      </c>
      <c r="F95" s="135" t="s">
        <v>4</v>
      </c>
      <c r="G95" s="135" t="s">
        <v>868</v>
      </c>
      <c r="H95" s="135" t="s">
        <v>4</v>
      </c>
      <c r="I95" s="135" t="s">
        <v>4</v>
      </c>
      <c r="J95" s="135" t="s">
        <v>869</v>
      </c>
      <c r="K95" s="135" t="s">
        <v>160</v>
      </c>
      <c r="L95" s="135" t="s">
        <v>4</v>
      </c>
      <c r="M95" s="135" t="s">
        <v>850</v>
      </c>
      <c r="N95" s="135" t="s">
        <v>851</v>
      </c>
      <c r="O95" s="135" t="s">
        <v>870</v>
      </c>
      <c r="P95" s="135" t="s">
        <v>871</v>
      </c>
      <c r="Q95" s="135" t="s">
        <v>130</v>
      </c>
      <c r="R95" s="135" t="s">
        <v>872</v>
      </c>
      <c r="S95" s="135" t="s">
        <v>106</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IF(OR(C95="Admin optional",LEFT(A95,9)="OPERATOR-",LEFT(A95,8)="PAYMENT-",LEFT(A95,7)="DEPLOY-"),"External","Core")</f>
        <v>Core</v>
      </c>
    </row>
    <row r="96" customFormat="false" ht="15" hidden="false" customHeight="false" outlineLevel="0" collapsed="false">
      <c r="A96" s="135" t="s">
        <v>873</v>
      </c>
      <c r="B96" s="135" t="s">
        <v>874</v>
      </c>
      <c r="C96" s="257" t="s">
        <v>57</v>
      </c>
      <c r="D96" s="135" t="s">
        <v>875</v>
      </c>
      <c r="E96" s="135" t="s">
        <v>876</v>
      </c>
      <c r="F96" s="135" t="s">
        <v>877</v>
      </c>
      <c r="G96" s="135" t="s">
        <v>878</v>
      </c>
      <c r="H96" s="135" t="s">
        <v>879</v>
      </c>
      <c r="I96" s="135" t="s">
        <v>880</v>
      </c>
      <c r="J96" s="135" t="s">
        <v>881</v>
      </c>
      <c r="K96" s="135" t="s">
        <v>882</v>
      </c>
      <c r="L96" s="135" t="s">
        <v>1</v>
      </c>
      <c r="M96" s="135" t="s">
        <v>1</v>
      </c>
      <c r="N96" s="135" t="s">
        <v>883</v>
      </c>
      <c r="O96" s="135" t="s">
        <v>884</v>
      </c>
      <c r="P96" s="135" t="s">
        <v>885</v>
      </c>
      <c r="Q96" s="135" t="s">
        <v>130</v>
      </c>
      <c r="R96" s="135" t="s">
        <v>886</v>
      </c>
      <c r="S96" s="135" t="s">
        <v>106</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U96" s="146" t="str">
        <f>IF(OR(C96="Admin optional",LEFT(A96,9)="OPERATOR-",LEFT(A96,8)="PAYMENT-",LEFT(A96,7)="DEPLOY-"),"External","Core")</f>
        <v>Core</v>
      </c>
    </row>
    <row r="97" customFormat="false" ht="15" hidden="false" customHeight="false" outlineLevel="0" collapsed="false">
      <c r="A97" s="135" t="s">
        <v>887</v>
      </c>
      <c r="B97" s="135" t="s">
        <v>874</v>
      </c>
      <c r="C97" s="257" t="s">
        <v>57</v>
      </c>
      <c r="D97" s="135" t="s">
        <v>888</v>
      </c>
      <c r="E97" s="135" t="s">
        <v>889</v>
      </c>
      <c r="F97" s="135" t="s">
        <v>890</v>
      </c>
      <c r="G97" s="135" t="s">
        <v>891</v>
      </c>
      <c r="H97" s="135" t="s">
        <v>4</v>
      </c>
      <c r="I97" s="135" t="s">
        <v>4</v>
      </c>
      <c r="J97" s="135" t="s">
        <v>892</v>
      </c>
      <c r="K97" s="135" t="s">
        <v>160</v>
      </c>
      <c r="L97" s="135" t="s">
        <v>130</v>
      </c>
      <c r="M97" s="135" t="s">
        <v>893</v>
      </c>
      <c r="N97" s="135" t="s">
        <v>894</v>
      </c>
      <c r="O97" s="135" t="s">
        <v>895</v>
      </c>
      <c r="P97" s="135" t="s">
        <v>896</v>
      </c>
      <c r="Q97" s="135" t="s">
        <v>130</v>
      </c>
      <c r="R97" s="135" t="s">
        <v>897</v>
      </c>
      <c r="S97" s="135" t="s">
        <v>106</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U97" s="146" t="str">
        <f>IF(OR(C97="Admin optional",LEFT(A97,9)="OPERATOR-",LEFT(A97,8)="PAYMENT-",LEFT(A97,7)="DEPLOY-"),"External","Core")</f>
        <v>Core</v>
      </c>
    </row>
    <row r="98" customFormat="false" ht="15" hidden="false" customHeight="false" outlineLevel="0" collapsed="false">
      <c r="A98" s="135" t="s">
        <v>898</v>
      </c>
      <c r="B98" s="135" t="s">
        <v>874</v>
      </c>
      <c r="C98" s="257" t="s">
        <v>57</v>
      </c>
      <c r="D98" s="135" t="s">
        <v>899</v>
      </c>
      <c r="E98" s="135" t="s">
        <v>900</v>
      </c>
      <c r="F98" s="135" t="s">
        <v>890</v>
      </c>
      <c r="G98" s="135" t="s">
        <v>901</v>
      </c>
      <c r="H98" s="135" t="s">
        <v>4</v>
      </c>
      <c r="I98" s="135" t="s">
        <v>4</v>
      </c>
      <c r="J98" s="135" t="s">
        <v>902</v>
      </c>
      <c r="K98" s="135" t="s">
        <v>160</v>
      </c>
      <c r="L98" s="135" t="s">
        <v>130</v>
      </c>
      <c r="M98" s="135" t="s">
        <v>893</v>
      </c>
      <c r="N98" s="135" t="s">
        <v>894</v>
      </c>
      <c r="O98" s="135" t="s">
        <v>903</v>
      </c>
      <c r="P98" s="135" t="s">
        <v>904</v>
      </c>
      <c r="Q98" s="135" t="s">
        <v>130</v>
      </c>
      <c r="R98" s="135" t="s">
        <v>905</v>
      </c>
      <c r="S98" s="135" t="s">
        <v>106</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U98" s="146" t="str">
        <f>IF(OR(C98="Admin optional",LEFT(A98,9)="OPERATOR-",LEFT(A98,8)="PAYMENT-",LEFT(A98,7)="DEPLOY-"),"External","Core")</f>
        <v>Core</v>
      </c>
    </row>
    <row r="99" customFormat="false" ht="15" hidden="false" customHeight="false" outlineLevel="0" collapsed="false">
      <c r="A99" s="135" t="s">
        <v>906</v>
      </c>
      <c r="B99" s="135" t="s">
        <v>874</v>
      </c>
      <c r="C99" s="257" t="s">
        <v>57</v>
      </c>
      <c r="D99" s="135" t="s">
        <v>907</v>
      </c>
      <c r="E99" s="135" t="s">
        <v>908</v>
      </c>
      <c r="F99" s="135" t="s">
        <v>909</v>
      </c>
      <c r="G99" s="135" t="s">
        <v>910</v>
      </c>
      <c r="H99" s="135" t="s">
        <v>4</v>
      </c>
      <c r="I99" s="135" t="s">
        <v>911</v>
      </c>
      <c r="J99" s="135" t="s">
        <v>912</v>
      </c>
      <c r="K99" s="135" t="s">
        <v>160</v>
      </c>
      <c r="L99" s="135" t="s">
        <v>1</v>
      </c>
      <c r="M99" s="135" t="s">
        <v>1</v>
      </c>
      <c r="N99" s="135" t="s">
        <v>894</v>
      </c>
      <c r="O99" s="135" t="s">
        <v>913</v>
      </c>
      <c r="P99" s="135" t="s">
        <v>914</v>
      </c>
      <c r="Q99" s="135" t="s">
        <v>130</v>
      </c>
      <c r="R99" s="135" t="s">
        <v>915</v>
      </c>
      <c r="S99" s="135" t="s">
        <v>106</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U99" s="146" t="str">
        <f>IF(OR(C99="Admin optional",LEFT(A99,9)="OPERATOR-",LEFT(A99,8)="PAYMENT-",LEFT(A99,7)="DEPLOY-"),"External","Core")</f>
        <v>Core</v>
      </c>
    </row>
    <row r="100" customFormat="false" ht="15" hidden="false" customHeight="false" outlineLevel="0" collapsed="false">
      <c r="A100" s="135" t="s">
        <v>916</v>
      </c>
      <c r="B100" s="135" t="s">
        <v>874</v>
      </c>
      <c r="C100" s="257" t="s">
        <v>57</v>
      </c>
      <c r="D100" s="135" t="s">
        <v>917</v>
      </c>
      <c r="E100" s="135" t="s">
        <v>918</v>
      </c>
      <c r="F100" s="135" t="s">
        <v>919</v>
      </c>
      <c r="G100" s="135" t="s">
        <v>920</v>
      </c>
      <c r="H100" s="135" t="s">
        <v>4</v>
      </c>
      <c r="I100" s="135" t="s">
        <v>921</v>
      </c>
      <c r="J100" s="135" t="s">
        <v>922</v>
      </c>
      <c r="K100" s="135" t="s">
        <v>160</v>
      </c>
      <c r="L100" s="135" t="s">
        <v>130</v>
      </c>
      <c r="M100" s="135" t="s">
        <v>893</v>
      </c>
      <c r="N100" s="135" t="s">
        <v>894</v>
      </c>
      <c r="O100" s="135" t="s">
        <v>923</v>
      </c>
      <c r="P100" s="135" t="s">
        <v>924</v>
      </c>
      <c r="Q100" s="135" t="s">
        <v>130</v>
      </c>
      <c r="R100" s="135" t="s">
        <v>925</v>
      </c>
      <c r="S100" s="135" t="s">
        <v>132</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U100" s="146" t="str">
        <f>IF(OR(C100="Admin optional",LEFT(A100,9)="OPERATOR-",LEFT(A100,8)="PAYMENT-",LEFT(A100,7)="DEPLOY-"),"External","Core")</f>
        <v>Core</v>
      </c>
    </row>
    <row r="101" customFormat="false" ht="15" hidden="false" customHeight="false" outlineLevel="0" collapsed="false">
      <c r="A101" s="135" t="s">
        <v>926</v>
      </c>
      <c r="B101" s="135" t="s">
        <v>242</v>
      </c>
      <c r="C101" s="257" t="s">
        <v>57</v>
      </c>
      <c r="D101" s="135" t="s">
        <v>927</v>
      </c>
      <c r="E101" s="135" t="s">
        <v>928</v>
      </c>
      <c r="F101" s="135" t="s">
        <v>4</v>
      </c>
      <c r="G101" s="135" t="s">
        <v>929</v>
      </c>
      <c r="H101" s="135" t="s">
        <v>4</v>
      </c>
      <c r="I101" s="135" t="s">
        <v>8</v>
      </c>
      <c r="J101" s="135" t="s">
        <v>930</v>
      </c>
      <c r="K101" s="135" t="s">
        <v>160</v>
      </c>
      <c r="L101" s="135" t="s">
        <v>130</v>
      </c>
      <c r="M101" s="135" t="s">
        <v>893</v>
      </c>
      <c r="N101" s="135" t="s">
        <v>894</v>
      </c>
      <c r="O101" s="135" t="s">
        <v>931</v>
      </c>
      <c r="P101" s="135" t="s">
        <v>932</v>
      </c>
      <c r="Q101" s="135" t="s">
        <v>130</v>
      </c>
      <c r="R101" s="135" t="s">
        <v>933</v>
      </c>
      <c r="S101" s="135" t="s">
        <v>379</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U101" s="146" t="str">
        <f>IF(OR(C101="Admin optional",LEFT(A101,9)="OPERATOR-",LEFT(A101,8)="PAYMENT-",LEFT(A101,7)="DEPLOY-"),"External","Core")</f>
        <v>Core</v>
      </c>
    </row>
    <row r="102" customFormat="false" ht="15" hidden="false" customHeight="false" outlineLevel="0" collapsed="false">
      <c r="A102" s="135" t="s">
        <v>934</v>
      </c>
      <c r="B102" s="135" t="s">
        <v>256</v>
      </c>
      <c r="C102" s="258" t="s">
        <v>66</v>
      </c>
      <c r="D102" s="135" t="s">
        <v>935</v>
      </c>
      <c r="E102" s="135" t="s">
        <v>936</v>
      </c>
      <c r="F102" s="135" t="s">
        <v>937</v>
      </c>
      <c r="G102" s="135" t="s">
        <v>938</v>
      </c>
      <c r="H102" s="135" t="s">
        <v>4</v>
      </c>
      <c r="I102" s="135" t="s">
        <v>939</v>
      </c>
      <c r="J102" s="135" t="s">
        <v>940</v>
      </c>
      <c r="K102" s="135" t="s">
        <v>941</v>
      </c>
      <c r="L102" s="135" t="s">
        <v>1</v>
      </c>
      <c r="M102" s="135" t="s">
        <v>1</v>
      </c>
      <c r="N102" s="135" t="s">
        <v>509</v>
      </c>
      <c r="O102" s="135" t="s">
        <v>942</v>
      </c>
      <c r="P102" s="135" t="s">
        <v>943</v>
      </c>
      <c r="Q102" s="135" t="s">
        <v>130</v>
      </c>
      <c r="R102" s="135" t="s">
        <v>944</v>
      </c>
      <c r="S102" s="135" t="s">
        <v>106</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U102" s="146" t="str">
        <f>IF(OR(C102="Admin optional",LEFT(A102,9)="OPERATOR-",LEFT(A102,8)="PAYMENT-",LEFT(A102,7)="DEPLOY-"),"External","Core")</f>
        <v>Core</v>
      </c>
    </row>
    <row r="103" customFormat="false" ht="15" hidden="false" customHeight="false" outlineLevel="0" collapsed="false">
      <c r="A103" s="138" t="s">
        <v>945</v>
      </c>
      <c r="B103" s="138" t="s">
        <v>946</v>
      </c>
      <c r="C103" s="258" t="s">
        <v>66</v>
      </c>
      <c r="D103" s="138" t="s">
        <v>947</v>
      </c>
      <c r="E103" s="138" t="s">
        <v>948</v>
      </c>
      <c r="F103" s="138" t="s">
        <v>4</v>
      </c>
      <c r="G103" s="138" t="s">
        <v>949</v>
      </c>
      <c r="H103" s="138" t="s">
        <v>4</v>
      </c>
      <c r="I103" s="138" t="s">
        <v>4</v>
      </c>
      <c r="J103" s="138" t="s">
        <v>950</v>
      </c>
      <c r="K103" s="138" t="s">
        <v>137</v>
      </c>
      <c r="L103" s="138" t="s">
        <v>1</v>
      </c>
      <c r="M103" s="138" t="s">
        <v>1</v>
      </c>
      <c r="N103" s="138" t="s">
        <v>1</v>
      </c>
      <c r="O103" s="138" t="s">
        <v>951</v>
      </c>
      <c r="P103" s="138" t="s">
        <v>952</v>
      </c>
      <c r="Q103" s="138" t="s">
        <v>1</v>
      </c>
      <c r="R103" s="138" t="s">
        <v>953</v>
      </c>
      <c r="S103" s="138" t="s">
        <v>323</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Not started</v>
      </c>
      <c r="U103" s="146" t="str">
        <f>IF(OR(C103="Admin optional",LEFT(A103,9)="OPERATOR-",LEFT(A103,8)="PAYMENT-",LEFT(A103,7)="DEPLOY-"),"External","Core")</f>
        <v>Core</v>
      </c>
    </row>
    <row r="104" customFormat="false" ht="15" hidden="false" customHeight="false" outlineLevel="0" collapsed="false">
      <c r="A104" s="138" t="s">
        <v>954</v>
      </c>
      <c r="B104" s="138" t="s">
        <v>946</v>
      </c>
      <c r="C104" s="258" t="s">
        <v>66</v>
      </c>
      <c r="D104" s="138" t="s">
        <v>955</v>
      </c>
      <c r="E104" s="138" t="s">
        <v>956</v>
      </c>
      <c r="F104" s="138" t="s">
        <v>4</v>
      </c>
      <c r="G104" s="138" t="s">
        <v>957</v>
      </c>
      <c r="H104" s="138" t="s">
        <v>4</v>
      </c>
      <c r="I104" s="138" t="s">
        <v>4</v>
      </c>
      <c r="J104" s="138" t="s">
        <v>958</v>
      </c>
      <c r="K104" s="138" t="s">
        <v>137</v>
      </c>
      <c r="L104" s="138" t="s">
        <v>1</v>
      </c>
      <c r="M104" s="138" t="s">
        <v>1</v>
      </c>
      <c r="N104" s="138" t="s">
        <v>1</v>
      </c>
      <c r="O104" s="138" t="s">
        <v>959</v>
      </c>
      <c r="P104" s="138" t="s">
        <v>960</v>
      </c>
      <c r="Q104" s="138" t="s">
        <v>1</v>
      </c>
      <c r="R104" s="138" t="s">
        <v>961</v>
      </c>
      <c r="S104" s="138" t="s">
        <v>392</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Not started</v>
      </c>
      <c r="U104" s="146" t="str">
        <f>IF(OR(C104="Admin optional",LEFT(A104,9)="OPERATOR-",LEFT(A104,8)="PAYMENT-",LEFT(A104,7)="DEPLOY-"),"External","Core")</f>
        <v>Core</v>
      </c>
    </row>
    <row r="105" customFormat="false" ht="15" hidden="false" customHeight="false" outlineLevel="0" collapsed="false">
      <c r="A105" s="138" t="s">
        <v>962</v>
      </c>
      <c r="B105" s="138" t="s">
        <v>946</v>
      </c>
      <c r="C105" s="258" t="s">
        <v>66</v>
      </c>
      <c r="D105" s="138" t="s">
        <v>963</v>
      </c>
      <c r="E105" s="138" t="s">
        <v>964</v>
      </c>
      <c r="F105" s="138" t="s">
        <v>965</v>
      </c>
      <c r="G105" s="138" t="s">
        <v>966</v>
      </c>
      <c r="H105" s="138" t="s">
        <v>4</v>
      </c>
      <c r="I105" s="138" t="s">
        <v>4</v>
      </c>
      <c r="J105" s="138" t="s">
        <v>967</v>
      </c>
      <c r="K105" s="138" t="s">
        <v>137</v>
      </c>
      <c r="L105" s="138" t="s">
        <v>1</v>
      </c>
      <c r="M105" s="138" t="s">
        <v>1</v>
      </c>
      <c r="N105" s="138" t="s">
        <v>1</v>
      </c>
      <c r="O105" s="138" t="s">
        <v>968</v>
      </c>
      <c r="P105" s="138" t="s">
        <v>969</v>
      </c>
      <c r="Q105" s="138" t="s">
        <v>1</v>
      </c>
      <c r="R105" s="138" t="s">
        <v>970</v>
      </c>
      <c r="S105" s="138" t="s">
        <v>106</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U105" s="146" t="str">
        <f>IF(OR(C105="Admin optional",LEFT(A105,9)="OPERATOR-",LEFT(A105,8)="PAYMENT-",LEFT(A105,7)="DEPLOY-"),"External","Core")</f>
        <v>Core</v>
      </c>
    </row>
    <row r="106" customFormat="false" ht="15" hidden="false" customHeight="false" outlineLevel="0" collapsed="false">
      <c r="A106" s="138" t="s">
        <v>971</v>
      </c>
      <c r="B106" s="138" t="s">
        <v>946</v>
      </c>
      <c r="C106" s="258" t="s">
        <v>66</v>
      </c>
      <c r="D106" s="138" t="s">
        <v>972</v>
      </c>
      <c r="E106" s="138" t="s">
        <v>973</v>
      </c>
      <c r="F106" s="138" t="s">
        <v>974</v>
      </c>
      <c r="G106" s="138" t="s">
        <v>975</v>
      </c>
      <c r="H106" s="138" t="s">
        <v>4</v>
      </c>
      <c r="I106" s="138" t="s">
        <v>4</v>
      </c>
      <c r="J106" s="138" t="s">
        <v>976</v>
      </c>
      <c r="K106" s="138" t="s">
        <v>137</v>
      </c>
      <c r="L106" s="138" t="s">
        <v>1</v>
      </c>
      <c r="M106" s="138" t="s">
        <v>1</v>
      </c>
      <c r="N106" s="138" t="s">
        <v>1</v>
      </c>
      <c r="O106" s="138" t="s">
        <v>977</v>
      </c>
      <c r="P106" s="138" t="s">
        <v>978</v>
      </c>
      <c r="Q106" s="138" t="s">
        <v>1</v>
      </c>
      <c r="R106" s="138" t="s">
        <v>979</v>
      </c>
      <c r="S106" s="138" t="s">
        <v>106</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U106" s="146" t="str">
        <f>IF(OR(C106="Admin optional",LEFT(A106,9)="OPERATOR-",LEFT(A106,8)="PAYMENT-",LEFT(A106,7)="DEPLOY-"),"External","Core")</f>
        <v>Core</v>
      </c>
    </row>
    <row r="107" customFormat="false" ht="15" hidden="false" customHeight="false" outlineLevel="0" collapsed="false">
      <c r="A107" s="138" t="s">
        <v>980</v>
      </c>
      <c r="B107" s="138" t="s">
        <v>946</v>
      </c>
      <c r="C107" s="258" t="s">
        <v>66</v>
      </c>
      <c r="D107" s="138" t="s">
        <v>981</v>
      </c>
      <c r="E107" s="138" t="s">
        <v>982</v>
      </c>
      <c r="F107" s="138" t="s">
        <v>4</v>
      </c>
      <c r="G107" s="138" t="s">
        <v>983</v>
      </c>
      <c r="H107" s="138" t="s">
        <v>4</v>
      </c>
      <c r="I107" s="138" t="s">
        <v>4</v>
      </c>
      <c r="J107" s="138" t="s">
        <v>984</v>
      </c>
      <c r="K107" s="138" t="s">
        <v>137</v>
      </c>
      <c r="L107" s="138" t="s">
        <v>1</v>
      </c>
      <c r="M107" s="138" t="s">
        <v>1</v>
      </c>
      <c r="N107" s="138" t="s">
        <v>1</v>
      </c>
      <c r="O107" s="138" t="s">
        <v>985</v>
      </c>
      <c r="P107" s="138" t="s">
        <v>986</v>
      </c>
      <c r="Q107" s="138" t="s">
        <v>1</v>
      </c>
      <c r="R107" s="138" t="s">
        <v>987</v>
      </c>
      <c r="S107" s="138" t="s">
        <v>106</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U107" s="146" t="str">
        <f>IF(OR(C107="Admin optional",LEFT(A107,9)="OPERATOR-",LEFT(A107,8)="PAYMENT-",LEFT(A107,7)="DEPLOY-"),"External","Core")</f>
        <v>Core</v>
      </c>
    </row>
    <row r="108" customFormat="false" ht="15" hidden="false" customHeight="false" outlineLevel="0" collapsed="false">
      <c r="A108" s="138" t="s">
        <v>988</v>
      </c>
      <c r="B108" s="138" t="s">
        <v>946</v>
      </c>
      <c r="C108" s="258" t="s">
        <v>66</v>
      </c>
      <c r="D108" s="138" t="s">
        <v>989</v>
      </c>
      <c r="E108" s="138" t="s">
        <v>990</v>
      </c>
      <c r="F108" s="138" t="s">
        <v>991</v>
      </c>
      <c r="G108" s="138" t="s">
        <v>992</v>
      </c>
      <c r="H108" s="138" t="s">
        <v>4</v>
      </c>
      <c r="I108" s="138" t="s">
        <v>4</v>
      </c>
      <c r="J108" s="138" t="s">
        <v>993</v>
      </c>
      <c r="K108" s="138" t="s">
        <v>137</v>
      </c>
      <c r="L108" s="138" t="s">
        <v>1</v>
      </c>
      <c r="M108" s="138" t="s">
        <v>1</v>
      </c>
      <c r="N108" s="138" t="s">
        <v>1</v>
      </c>
      <c r="O108" s="138" t="s">
        <v>994</v>
      </c>
      <c r="P108" s="138" t="s">
        <v>995</v>
      </c>
      <c r="Q108" s="138" t="s">
        <v>1</v>
      </c>
      <c r="R108" s="138" t="s">
        <v>996</v>
      </c>
      <c r="S108" s="138" t="s">
        <v>132</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IF(OR(C108="Admin optional",LEFT(A108,9)="OPERATOR-",LEFT(A108,8)="PAYMENT-",LEFT(A108,7)="DEPLOY-"),"External","Core")</f>
        <v>Core</v>
      </c>
    </row>
    <row r="109" customFormat="false" ht="15" hidden="false" customHeight="false" outlineLevel="0" collapsed="false">
      <c r="A109" s="138" t="s">
        <v>997</v>
      </c>
      <c r="B109" s="138" t="s">
        <v>946</v>
      </c>
      <c r="C109" s="258" t="s">
        <v>66</v>
      </c>
      <c r="D109" s="138" t="s">
        <v>998</v>
      </c>
      <c r="E109" s="138" t="s">
        <v>999</v>
      </c>
      <c r="F109" s="138" t="s">
        <v>4</v>
      </c>
      <c r="G109" s="138" t="s">
        <v>1000</v>
      </c>
      <c r="H109" s="138" t="s">
        <v>4</v>
      </c>
      <c r="I109" s="138" t="s">
        <v>4</v>
      </c>
      <c r="J109" s="138" t="s">
        <v>1001</v>
      </c>
      <c r="K109" s="138" t="s">
        <v>137</v>
      </c>
      <c r="L109" s="138" t="s">
        <v>1</v>
      </c>
      <c r="M109" s="138" t="s">
        <v>1</v>
      </c>
      <c r="N109" s="138" t="s">
        <v>1</v>
      </c>
      <c r="O109" s="138" t="s">
        <v>1002</v>
      </c>
      <c r="P109" s="138" t="s">
        <v>1003</v>
      </c>
      <c r="Q109" s="138" t="s">
        <v>1</v>
      </c>
      <c r="R109" s="138" t="s">
        <v>1004</v>
      </c>
      <c r="S109" s="138" t="s">
        <v>1005</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Not started</v>
      </c>
      <c r="U109" s="146" t="str">
        <f>IF(OR(C109="Admin optional",LEFT(A109,9)="OPERATOR-",LEFT(A109,8)="PAYMENT-",LEFT(A109,7)="DEPLOY-"),"External","Core")</f>
        <v>Core</v>
      </c>
    </row>
    <row r="110" customFormat="false" ht="15" hidden="false" customHeight="false" outlineLevel="0" collapsed="false">
      <c r="A110" s="138" t="s">
        <v>1006</v>
      </c>
      <c r="B110" s="138" t="s">
        <v>946</v>
      </c>
      <c r="C110" s="258" t="s">
        <v>66</v>
      </c>
      <c r="D110" s="138" t="s">
        <v>1007</v>
      </c>
      <c r="E110" s="138" t="s">
        <v>1008</v>
      </c>
      <c r="F110" s="138" t="s">
        <v>1009</v>
      </c>
      <c r="G110" s="138" t="s">
        <v>1010</v>
      </c>
      <c r="H110" s="138" t="s">
        <v>4</v>
      </c>
      <c r="I110" s="138" t="s">
        <v>4</v>
      </c>
      <c r="J110" s="138" t="s">
        <v>1011</v>
      </c>
      <c r="K110" s="138" t="s">
        <v>137</v>
      </c>
      <c r="L110" s="138" t="s">
        <v>1</v>
      </c>
      <c r="M110" s="138" t="s">
        <v>1</v>
      </c>
      <c r="N110" s="138" t="s">
        <v>1</v>
      </c>
      <c r="O110" s="138" t="s">
        <v>1012</v>
      </c>
      <c r="P110" s="138" t="s">
        <v>1013</v>
      </c>
      <c r="Q110" s="138" t="s">
        <v>1</v>
      </c>
      <c r="R110" s="138" t="s">
        <v>1014</v>
      </c>
      <c r="S110" s="138" t="s">
        <v>843</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U110" s="146" t="str">
        <f>IF(OR(C110="Admin optional",LEFT(A110,9)="OPERATOR-",LEFT(A110,8)="PAYMENT-",LEFT(A110,7)="DEPLOY-"),"External","Core")</f>
        <v>Core</v>
      </c>
    </row>
    <row r="111" customFormat="false" ht="15" hidden="false" customHeight="false" outlineLevel="0" collapsed="false">
      <c r="A111" s="138" t="s">
        <v>1015</v>
      </c>
      <c r="B111" s="138" t="s">
        <v>946</v>
      </c>
      <c r="C111" s="258" t="s">
        <v>66</v>
      </c>
      <c r="D111" s="138" t="s">
        <v>1016</v>
      </c>
      <c r="E111" s="138" t="s">
        <v>1017</v>
      </c>
      <c r="F111" s="138" t="s">
        <v>4</v>
      </c>
      <c r="G111" s="138" t="s">
        <v>1018</v>
      </c>
      <c r="H111" s="138" t="s">
        <v>4</v>
      </c>
      <c r="I111" s="138" t="s">
        <v>4</v>
      </c>
      <c r="J111" s="138" t="s">
        <v>1019</v>
      </c>
      <c r="K111" s="138" t="s">
        <v>137</v>
      </c>
      <c r="L111" s="138" t="s">
        <v>1</v>
      </c>
      <c r="M111" s="138" t="s">
        <v>1</v>
      </c>
      <c r="N111" s="138" t="s">
        <v>1</v>
      </c>
      <c r="O111" s="138" t="s">
        <v>1020</v>
      </c>
      <c r="P111" s="138" t="s">
        <v>1021</v>
      </c>
      <c r="Q111" s="138" t="s">
        <v>1</v>
      </c>
      <c r="R111" s="138" t="s">
        <v>1022</v>
      </c>
      <c r="S111" s="138" t="s">
        <v>392</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IF(OR(C111="Admin optional",LEFT(A111,9)="OPERATOR-",LEFT(A111,8)="PAYMENT-",LEFT(A111,7)="DEPLOY-"),"External","Core")</f>
        <v>Core</v>
      </c>
    </row>
    <row r="112" customFormat="false" ht="15" hidden="false" customHeight="false" outlineLevel="0" collapsed="false">
      <c r="A112" s="138" t="s">
        <v>1023</v>
      </c>
      <c r="B112" s="138" t="s">
        <v>946</v>
      </c>
      <c r="C112" s="258" t="s">
        <v>66</v>
      </c>
      <c r="D112" s="138" t="s">
        <v>1024</v>
      </c>
      <c r="E112" s="138" t="s">
        <v>1025</v>
      </c>
      <c r="F112" s="138" t="s">
        <v>4</v>
      </c>
      <c r="G112" s="138" t="s">
        <v>1026</v>
      </c>
      <c r="H112" s="138" t="s">
        <v>4</v>
      </c>
      <c r="I112" s="138" t="s">
        <v>4</v>
      </c>
      <c r="J112" s="138" t="s">
        <v>1027</v>
      </c>
      <c r="K112" s="138" t="s">
        <v>137</v>
      </c>
      <c r="L112" s="138" t="s">
        <v>1</v>
      </c>
      <c r="M112" s="138" t="s">
        <v>1</v>
      </c>
      <c r="N112" s="138" t="s">
        <v>1</v>
      </c>
      <c r="O112" s="138" t="s">
        <v>1028</v>
      </c>
      <c r="P112" s="138" t="s">
        <v>1029</v>
      </c>
      <c r="Q112" s="138" t="s">
        <v>1</v>
      </c>
      <c r="R112" s="138" t="s">
        <v>1030</v>
      </c>
      <c r="S112" s="138" t="s">
        <v>392</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Not started</v>
      </c>
      <c r="U112" s="146" t="str">
        <f>IF(OR(C112="Admin optional",LEFT(A112,9)="OPERATOR-",LEFT(A112,8)="PAYMENT-",LEFT(A112,7)="DEPLOY-"),"External","Core")</f>
        <v>Core</v>
      </c>
    </row>
    <row r="113" customFormat="false" ht="15" hidden="false" customHeight="false" outlineLevel="0" collapsed="false">
      <c r="A113" s="138" t="s">
        <v>1031</v>
      </c>
      <c r="B113" s="138" t="s">
        <v>946</v>
      </c>
      <c r="C113" s="258" t="s">
        <v>66</v>
      </c>
      <c r="D113" s="138" t="s">
        <v>1032</v>
      </c>
      <c r="E113" s="138" t="s">
        <v>1033</v>
      </c>
      <c r="F113" s="138" t="s">
        <v>4</v>
      </c>
      <c r="G113" s="138" t="s">
        <v>1034</v>
      </c>
      <c r="H113" s="138" t="s">
        <v>4</v>
      </c>
      <c r="I113" s="138" t="s">
        <v>4</v>
      </c>
      <c r="J113" s="138" t="s">
        <v>1035</v>
      </c>
      <c r="K113" s="138" t="s">
        <v>137</v>
      </c>
      <c r="L113" s="138" t="s">
        <v>1</v>
      </c>
      <c r="M113" s="138" t="s">
        <v>1</v>
      </c>
      <c r="N113" s="138" t="s">
        <v>1</v>
      </c>
      <c r="O113" s="138" t="s">
        <v>1036</v>
      </c>
      <c r="P113" s="138" t="s">
        <v>1037</v>
      </c>
      <c r="Q113" s="138" t="s">
        <v>1</v>
      </c>
      <c r="R113" s="138" t="s">
        <v>1038</v>
      </c>
      <c r="S113" s="138" t="s">
        <v>1039</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IF(OR(C113="Admin optional",LEFT(A113,9)="OPERATOR-",LEFT(A113,8)="PAYMENT-",LEFT(A113,7)="DEPLOY-"),"External","Core")</f>
        <v>Core</v>
      </c>
    </row>
    <row r="114" customFormat="false" ht="15" hidden="false" customHeight="false" outlineLevel="0" collapsed="false">
      <c r="A114" s="138" t="s">
        <v>1040</v>
      </c>
      <c r="B114" s="138" t="s">
        <v>946</v>
      </c>
      <c r="C114" s="258" t="s">
        <v>66</v>
      </c>
      <c r="D114" s="138" t="s">
        <v>1041</v>
      </c>
      <c r="E114" s="138" t="s">
        <v>1042</v>
      </c>
      <c r="F114" s="138" t="s">
        <v>4</v>
      </c>
      <c r="G114" s="138" t="s">
        <v>1043</v>
      </c>
      <c r="H114" s="138" t="s">
        <v>4</v>
      </c>
      <c r="I114" s="138" t="s">
        <v>4</v>
      </c>
      <c r="J114" s="138" t="s">
        <v>1044</v>
      </c>
      <c r="K114" s="138" t="s">
        <v>137</v>
      </c>
      <c r="L114" s="138" t="s">
        <v>1</v>
      </c>
      <c r="M114" s="138" t="s">
        <v>1</v>
      </c>
      <c r="N114" s="138" t="s">
        <v>1</v>
      </c>
      <c r="O114" s="138" t="s">
        <v>1045</v>
      </c>
      <c r="P114" s="138" t="s">
        <v>1046</v>
      </c>
      <c r="Q114" s="138" t="s">
        <v>1</v>
      </c>
      <c r="R114" s="138" t="s">
        <v>1047</v>
      </c>
      <c r="S114" s="138" t="s">
        <v>1039</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IF(OR(C114="Admin optional",LEFT(A114,9)="OPERATOR-",LEFT(A114,8)="PAYMENT-",LEFT(A114,7)="DEPLOY-"),"External","Core")</f>
        <v>Core</v>
      </c>
    </row>
    <row r="115" customFormat="false" ht="15" hidden="false" customHeight="false" outlineLevel="0" collapsed="false">
      <c r="A115" s="138" t="s">
        <v>1048</v>
      </c>
      <c r="B115" s="138" t="s">
        <v>946</v>
      </c>
      <c r="C115" s="258" t="s">
        <v>66</v>
      </c>
      <c r="D115" s="138" t="s">
        <v>1049</v>
      </c>
      <c r="E115" s="138" t="s">
        <v>1050</v>
      </c>
      <c r="F115" s="138" t="s">
        <v>1051</v>
      </c>
      <c r="G115" s="138" t="s">
        <v>1052</v>
      </c>
      <c r="H115" s="138" t="s">
        <v>4</v>
      </c>
      <c r="I115" s="138" t="s">
        <v>4</v>
      </c>
      <c r="J115" s="138" t="s">
        <v>1053</v>
      </c>
      <c r="K115" s="138" t="s">
        <v>137</v>
      </c>
      <c r="L115" s="138" t="s">
        <v>1</v>
      </c>
      <c r="M115" s="138" t="s">
        <v>1</v>
      </c>
      <c r="N115" s="138" t="s">
        <v>1</v>
      </c>
      <c r="O115" s="138" t="s">
        <v>1054</v>
      </c>
      <c r="P115" s="138" t="s">
        <v>1055</v>
      </c>
      <c r="Q115" s="138" t="s">
        <v>1</v>
      </c>
      <c r="R115" s="138" t="s">
        <v>1056</v>
      </c>
      <c r="S115" s="138" t="s">
        <v>323</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IF(OR(C115="Admin optional",LEFT(A115,9)="OPERATOR-",LEFT(A115,8)="PAYMENT-",LEFT(A115,7)="DEPLOY-"),"External","Core")</f>
        <v>Core</v>
      </c>
    </row>
    <row r="116" customFormat="false" ht="15" hidden="false" customHeight="false" outlineLevel="0" collapsed="false">
      <c r="A116" s="138" t="s">
        <v>1057</v>
      </c>
      <c r="B116" s="138" t="s">
        <v>946</v>
      </c>
      <c r="C116" s="258" t="s">
        <v>66</v>
      </c>
      <c r="D116" s="138" t="s">
        <v>1058</v>
      </c>
      <c r="E116" s="138" t="s">
        <v>1059</v>
      </c>
      <c r="F116" s="138" t="s">
        <v>1051</v>
      </c>
      <c r="G116" s="138" t="s">
        <v>1060</v>
      </c>
      <c r="H116" s="138" t="s">
        <v>4</v>
      </c>
      <c r="I116" s="138" t="s">
        <v>4</v>
      </c>
      <c r="J116" s="138" t="s">
        <v>1061</v>
      </c>
      <c r="K116" s="138" t="s">
        <v>137</v>
      </c>
      <c r="L116" s="138" t="s">
        <v>1</v>
      </c>
      <c r="M116" s="138" t="s">
        <v>1</v>
      </c>
      <c r="N116" s="138" t="s">
        <v>1</v>
      </c>
      <c r="O116" s="138" t="s">
        <v>1062</v>
      </c>
      <c r="P116" s="138" t="s">
        <v>1063</v>
      </c>
      <c r="Q116" s="138" t="s">
        <v>1</v>
      </c>
      <c r="R116" s="138" t="s">
        <v>1064</v>
      </c>
      <c r="S116" s="138" t="s">
        <v>1039</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IF(OR(C116="Admin optional",LEFT(A116,9)="OPERATOR-",LEFT(A116,8)="PAYMENT-",LEFT(A116,7)="DEPLOY-"),"External","Core")</f>
        <v>Core</v>
      </c>
    </row>
    <row r="117" customFormat="false" ht="15" hidden="false" customHeight="false" outlineLevel="0" collapsed="false">
      <c r="A117" s="138" t="s">
        <v>1065</v>
      </c>
      <c r="B117" s="138" t="s">
        <v>946</v>
      </c>
      <c r="C117" s="258" t="s">
        <v>66</v>
      </c>
      <c r="D117" s="138" t="s">
        <v>1066</v>
      </c>
      <c r="E117" s="138" t="s">
        <v>1067</v>
      </c>
      <c r="F117" s="138" t="s">
        <v>1051</v>
      </c>
      <c r="G117" s="138" t="s">
        <v>1068</v>
      </c>
      <c r="H117" s="138" t="s">
        <v>4</v>
      </c>
      <c r="I117" s="138" t="s">
        <v>4</v>
      </c>
      <c r="J117" s="138" t="s">
        <v>1069</v>
      </c>
      <c r="K117" s="138" t="s">
        <v>137</v>
      </c>
      <c r="L117" s="138" t="s">
        <v>1</v>
      </c>
      <c r="M117" s="138" t="s">
        <v>1</v>
      </c>
      <c r="N117" s="138" t="s">
        <v>1</v>
      </c>
      <c r="O117" s="138" t="s">
        <v>1070</v>
      </c>
      <c r="P117" s="138" t="s">
        <v>1071</v>
      </c>
      <c r="Q117" s="138" t="s">
        <v>1</v>
      </c>
      <c r="R117" s="138" t="s">
        <v>1072</v>
      </c>
      <c r="S117" s="138" t="s">
        <v>843</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IF(OR(C117="Admin optional",LEFT(A117,9)="OPERATOR-",LEFT(A117,8)="PAYMENT-",LEFT(A117,7)="DEPLOY-"),"External","Core")</f>
        <v>Core</v>
      </c>
    </row>
    <row r="118" customFormat="false" ht="15" hidden="false" customHeight="false" outlineLevel="0" collapsed="false">
      <c r="A118" s="138" t="s">
        <v>1073</v>
      </c>
      <c r="B118" s="138" t="s">
        <v>946</v>
      </c>
      <c r="C118" s="258" t="s">
        <v>66</v>
      </c>
      <c r="D118" s="138" t="s">
        <v>1074</v>
      </c>
      <c r="E118" s="138" t="s">
        <v>1075</v>
      </c>
      <c r="F118" s="138" t="s">
        <v>1076</v>
      </c>
      <c r="G118" s="138" t="s">
        <v>1077</v>
      </c>
      <c r="H118" s="138" t="s">
        <v>4</v>
      </c>
      <c r="I118" s="138" t="s">
        <v>4</v>
      </c>
      <c r="J118" s="138" t="s">
        <v>1078</v>
      </c>
      <c r="K118" s="138" t="s">
        <v>137</v>
      </c>
      <c r="L118" s="138" t="s">
        <v>1</v>
      </c>
      <c r="M118" s="138" t="s">
        <v>1</v>
      </c>
      <c r="N118" s="138" t="s">
        <v>1</v>
      </c>
      <c r="O118" s="138" t="s">
        <v>1079</v>
      </c>
      <c r="P118" s="138" t="s">
        <v>1080</v>
      </c>
      <c r="Q118" s="138" t="s">
        <v>1</v>
      </c>
      <c r="R118" s="138" t="s">
        <v>1081</v>
      </c>
      <c r="S118" s="138" t="s">
        <v>1005</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IF(OR(C118="Admin optional",LEFT(A118,9)="OPERATOR-",LEFT(A118,8)="PAYMENT-",LEFT(A118,7)="DEPLOY-"),"External","Core")</f>
        <v>Core</v>
      </c>
    </row>
    <row r="119" customFormat="false" ht="15" hidden="false" customHeight="false" outlineLevel="0" collapsed="false">
      <c r="A119" s="138" t="s">
        <v>1082</v>
      </c>
      <c r="B119" s="138" t="s">
        <v>946</v>
      </c>
      <c r="C119" s="258" t="s">
        <v>66</v>
      </c>
      <c r="D119" s="138" t="s">
        <v>1083</v>
      </c>
      <c r="E119" s="138" t="s">
        <v>1084</v>
      </c>
      <c r="F119" s="138" t="s">
        <v>4</v>
      </c>
      <c r="G119" s="138" t="s">
        <v>1085</v>
      </c>
      <c r="H119" s="138" t="s">
        <v>4</v>
      </c>
      <c r="I119" s="138" t="s">
        <v>4</v>
      </c>
      <c r="J119" s="138" t="s">
        <v>1086</v>
      </c>
      <c r="K119" s="138" t="s">
        <v>137</v>
      </c>
      <c r="L119" s="138" t="s">
        <v>1</v>
      </c>
      <c r="M119" s="138" t="s">
        <v>1</v>
      </c>
      <c r="N119" s="138" t="s">
        <v>1</v>
      </c>
      <c r="O119" s="138" t="s">
        <v>1087</v>
      </c>
      <c r="P119" s="138" t="s">
        <v>1088</v>
      </c>
      <c r="Q119" s="138" t="s">
        <v>1</v>
      </c>
      <c r="R119" s="138" t="s">
        <v>1089</v>
      </c>
      <c r="S119" s="138" t="s">
        <v>323</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IF(OR(C119="Admin optional",LEFT(A119,9)="OPERATOR-",LEFT(A119,8)="PAYMENT-",LEFT(A119,7)="DEPLOY-"),"External","Core")</f>
        <v>Core</v>
      </c>
    </row>
    <row r="120" customFormat="false" ht="15" hidden="false" customHeight="false" outlineLevel="0" collapsed="false">
      <c r="A120" s="138" t="s">
        <v>1090</v>
      </c>
      <c r="B120" s="138" t="s">
        <v>946</v>
      </c>
      <c r="C120" s="258" t="s">
        <v>66</v>
      </c>
      <c r="D120" s="138" t="s">
        <v>1091</v>
      </c>
      <c r="E120" s="138" t="s">
        <v>1092</v>
      </c>
      <c r="F120" s="138" t="s">
        <v>1093</v>
      </c>
      <c r="G120" s="138" t="s">
        <v>1094</v>
      </c>
      <c r="H120" s="138" t="s">
        <v>4</v>
      </c>
      <c r="I120" s="138" t="s">
        <v>4</v>
      </c>
      <c r="J120" s="138" t="s">
        <v>1095</v>
      </c>
      <c r="K120" s="138" t="s">
        <v>137</v>
      </c>
      <c r="L120" s="138" t="s">
        <v>1</v>
      </c>
      <c r="M120" s="138" t="s">
        <v>1</v>
      </c>
      <c r="N120" s="138" t="s">
        <v>1</v>
      </c>
      <c r="O120" s="138" t="s">
        <v>1096</v>
      </c>
      <c r="P120" s="138" t="s">
        <v>1097</v>
      </c>
      <c r="Q120" s="138" t="s">
        <v>1</v>
      </c>
      <c r="R120" s="138" t="s">
        <v>1098</v>
      </c>
      <c r="S120" s="138" t="s">
        <v>402</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IF(OR(C120="Admin optional",LEFT(A120,9)="OPERATOR-",LEFT(A120,8)="PAYMENT-",LEFT(A120,7)="DEPLOY-"),"External","Core")</f>
        <v>Core</v>
      </c>
    </row>
    <row r="121" customFormat="false" ht="15" hidden="false" customHeight="false" outlineLevel="0" collapsed="false">
      <c r="A121" s="138" t="s">
        <v>1099</v>
      </c>
      <c r="B121" s="138" t="s">
        <v>946</v>
      </c>
      <c r="C121" s="258" t="s">
        <v>66</v>
      </c>
      <c r="D121" s="138" t="s">
        <v>1100</v>
      </c>
      <c r="E121" s="138" t="s">
        <v>1101</v>
      </c>
      <c r="F121" s="138" t="s">
        <v>1102</v>
      </c>
      <c r="G121" s="138" t="s">
        <v>1103</v>
      </c>
      <c r="H121" s="138" t="s">
        <v>4</v>
      </c>
      <c r="I121" s="138" t="s">
        <v>4</v>
      </c>
      <c r="J121" s="138" t="s">
        <v>1104</v>
      </c>
      <c r="K121" s="138" t="s">
        <v>137</v>
      </c>
      <c r="L121" s="138" t="s">
        <v>1</v>
      </c>
      <c r="M121" s="138" t="s">
        <v>1</v>
      </c>
      <c r="N121" s="138" t="s">
        <v>1</v>
      </c>
      <c r="O121" s="138" t="s">
        <v>1105</v>
      </c>
      <c r="P121" s="138" t="s">
        <v>1106</v>
      </c>
      <c r="Q121" s="138" t="s">
        <v>1</v>
      </c>
      <c r="R121" s="138" t="s">
        <v>1107</v>
      </c>
      <c r="S121" s="138" t="s">
        <v>132</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IF(OR(C121="Admin optional",LEFT(A121,9)="OPERATOR-",LEFT(A121,8)="PAYMENT-",LEFT(A121,7)="DEPLOY-"),"External","Core")</f>
        <v>Core</v>
      </c>
    </row>
    <row r="122" customFormat="false" ht="15" hidden="false" customHeight="false" outlineLevel="0" collapsed="false">
      <c r="A122" s="138" t="s">
        <v>1108</v>
      </c>
      <c r="B122" s="138" t="s">
        <v>874</v>
      </c>
      <c r="C122" s="259" t="s">
        <v>34</v>
      </c>
      <c r="D122" s="138" t="s">
        <v>1109</v>
      </c>
      <c r="E122" s="138" t="s">
        <v>1110</v>
      </c>
      <c r="F122" s="138" t="s">
        <v>1111</v>
      </c>
      <c r="G122" s="138" t="s">
        <v>1112</v>
      </c>
      <c r="H122" s="138" t="s">
        <v>4</v>
      </c>
      <c r="I122" s="138" t="s">
        <v>4</v>
      </c>
      <c r="J122" s="138" t="s">
        <v>1113</v>
      </c>
      <c r="K122" s="138" t="s">
        <v>137</v>
      </c>
      <c r="L122" s="138" t="s">
        <v>1</v>
      </c>
      <c r="M122" s="138" t="s">
        <v>1</v>
      </c>
      <c r="N122" s="138" t="s">
        <v>1</v>
      </c>
      <c r="O122" s="138" t="s">
        <v>1114</v>
      </c>
      <c r="P122" s="138" t="s">
        <v>1115</v>
      </c>
      <c r="Q122" s="138" t="s">
        <v>1</v>
      </c>
      <c r="R122" s="138" t="s">
        <v>1116</v>
      </c>
      <c r="S122" s="138" t="s">
        <v>132</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IF(OR(C122="Admin optional",LEFT(A122,9)="OPERATOR-",LEFT(A122,8)="PAYMENT-",LEFT(A122,7)="DEPLOY-"),"External","Core")</f>
        <v>Core</v>
      </c>
    </row>
    <row r="123" customFormat="false" ht="15" hidden="false" customHeight="false" outlineLevel="0" collapsed="false">
      <c r="A123" s="138" t="s">
        <v>1117</v>
      </c>
      <c r="B123" s="138" t="s">
        <v>874</v>
      </c>
      <c r="C123" s="259" t="s">
        <v>34</v>
      </c>
      <c r="D123" s="138" t="s">
        <v>1118</v>
      </c>
      <c r="E123" s="138" t="s">
        <v>1119</v>
      </c>
      <c r="F123" s="138" t="s">
        <v>1120</v>
      </c>
      <c r="G123" s="138" t="s">
        <v>1121</v>
      </c>
      <c r="H123" s="138" t="s">
        <v>1122</v>
      </c>
      <c r="I123" s="138" t="s">
        <v>4</v>
      </c>
      <c r="J123" s="138" t="s">
        <v>1123</v>
      </c>
      <c r="K123" s="138" t="s">
        <v>137</v>
      </c>
      <c r="L123" s="138" t="s">
        <v>1</v>
      </c>
      <c r="M123" s="138" t="s">
        <v>1</v>
      </c>
      <c r="N123" s="138" t="s">
        <v>1</v>
      </c>
      <c r="O123" s="138" t="s">
        <v>1124</v>
      </c>
      <c r="P123" s="138" t="s">
        <v>1125</v>
      </c>
      <c r="Q123" s="138" t="s">
        <v>1</v>
      </c>
      <c r="R123" s="138" t="s">
        <v>1126</v>
      </c>
      <c r="S123" s="138" t="s">
        <v>392</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U123" s="146" t="str">
        <f>IF(OR(C123="Admin optional",LEFT(A123,9)="OPERATOR-",LEFT(A123,8)="PAYMENT-",LEFT(A123,7)="DEPLOY-"),"External","Core")</f>
        <v>Core</v>
      </c>
    </row>
    <row r="124" customFormat="false" ht="15" hidden="false" customHeight="false" outlineLevel="0" collapsed="false">
      <c r="A124" s="138" t="s">
        <v>1127</v>
      </c>
      <c r="B124" s="138" t="s">
        <v>256</v>
      </c>
      <c r="C124" s="259" t="s">
        <v>34</v>
      </c>
      <c r="D124" s="138" t="s">
        <v>1128</v>
      </c>
      <c r="E124" s="138" t="s">
        <v>1129</v>
      </c>
      <c r="F124" s="138" t="s">
        <v>1130</v>
      </c>
      <c r="G124" s="138" t="s">
        <v>1131</v>
      </c>
      <c r="H124" s="138" t="s">
        <v>4</v>
      </c>
      <c r="I124" s="138" t="s">
        <v>447</v>
      </c>
      <c r="J124" s="138" t="s">
        <v>1132</v>
      </c>
      <c r="K124" s="138" t="s">
        <v>365</v>
      </c>
      <c r="L124" s="138" t="s">
        <v>1</v>
      </c>
      <c r="M124" s="138" t="s">
        <v>1</v>
      </c>
      <c r="N124" s="138" t="s">
        <v>1</v>
      </c>
      <c r="O124" s="138" t="s">
        <v>1133</v>
      </c>
      <c r="P124" s="138" t="s">
        <v>1134</v>
      </c>
      <c r="Q124" s="138" t="s">
        <v>1</v>
      </c>
      <c r="R124" s="138" t="s">
        <v>1135</v>
      </c>
      <c r="S124" s="138" t="s">
        <v>289</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U124" s="146" t="str">
        <f>IF(OR(C124="Admin optional",LEFT(A124,9)="OPERATOR-",LEFT(A124,8)="PAYMENT-",LEFT(A124,7)="DEPLOY-"),"External","Core")</f>
        <v>Core</v>
      </c>
    </row>
    <row r="125" customFormat="false" ht="15" hidden="false" customHeight="false" outlineLevel="0" collapsed="false">
      <c r="A125" s="138" t="s">
        <v>1136</v>
      </c>
      <c r="B125" s="138" t="s">
        <v>256</v>
      </c>
      <c r="C125" s="259" t="s">
        <v>34</v>
      </c>
      <c r="D125" s="138" t="s">
        <v>1128</v>
      </c>
      <c r="E125" s="138" t="s">
        <v>1137</v>
      </c>
      <c r="F125" s="138" t="s">
        <v>1130</v>
      </c>
      <c r="G125" s="138" t="s">
        <v>1138</v>
      </c>
      <c r="H125" s="138" t="s">
        <v>4</v>
      </c>
      <c r="I125" s="138" t="s">
        <v>1139</v>
      </c>
      <c r="J125" s="138" t="s">
        <v>1140</v>
      </c>
      <c r="K125" s="138" t="s">
        <v>365</v>
      </c>
      <c r="L125" s="138" t="s">
        <v>1</v>
      </c>
      <c r="M125" s="138" t="s">
        <v>1</v>
      </c>
      <c r="N125" s="138" t="s">
        <v>1</v>
      </c>
      <c r="O125" s="138" t="s">
        <v>1141</v>
      </c>
      <c r="P125" s="138" t="s">
        <v>1142</v>
      </c>
      <c r="Q125" s="138" t="s">
        <v>1</v>
      </c>
      <c r="R125" s="138" t="s">
        <v>1143</v>
      </c>
      <c r="S125" s="138" t="s">
        <v>323</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Not started</v>
      </c>
      <c r="U125" s="146" t="str">
        <f>IF(OR(C125="Admin optional",LEFT(A125,9)="OPERATOR-",LEFT(A125,8)="PAYMENT-",LEFT(A125,7)="DEPLOY-"),"External","Core")</f>
        <v>Core</v>
      </c>
    </row>
    <row r="126" customFormat="false" ht="15" hidden="false" customHeight="false" outlineLevel="0" collapsed="false">
      <c r="A126" s="138" t="s">
        <v>1144</v>
      </c>
      <c r="B126" s="138" t="s">
        <v>874</v>
      </c>
      <c r="C126" s="259" t="s">
        <v>34</v>
      </c>
      <c r="D126" s="138" t="s">
        <v>1145</v>
      </c>
      <c r="E126" s="138" t="s">
        <v>1146</v>
      </c>
      <c r="F126" s="138" t="s">
        <v>1147</v>
      </c>
      <c r="G126" s="138" t="s">
        <v>1148</v>
      </c>
      <c r="H126" s="138" t="s">
        <v>4</v>
      </c>
      <c r="I126" s="138" t="s">
        <v>1149</v>
      </c>
      <c r="J126" s="138" t="s">
        <v>1150</v>
      </c>
      <c r="K126" s="138" t="s">
        <v>137</v>
      </c>
      <c r="L126" s="138" t="s">
        <v>1</v>
      </c>
      <c r="M126" s="138" t="s">
        <v>1</v>
      </c>
      <c r="N126" s="138" t="s">
        <v>1</v>
      </c>
      <c r="O126" s="138" t="s">
        <v>1151</v>
      </c>
      <c r="P126" s="138" t="s">
        <v>1152</v>
      </c>
      <c r="Q126" s="138" t="s">
        <v>1</v>
      </c>
      <c r="R126" s="138" t="s">
        <v>1153</v>
      </c>
      <c r="S126" s="138" t="s">
        <v>106</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U126" s="146" t="str">
        <f>IF(OR(C126="Admin optional",LEFT(A126,9)="OPERATOR-",LEFT(A126,8)="PAYMENT-",LEFT(A126,7)="DEPLOY-"),"External","Core")</f>
        <v>Core</v>
      </c>
    </row>
    <row r="127" customFormat="false" ht="15" hidden="false" customHeight="false" outlineLevel="0" collapsed="false">
      <c r="A127" s="138" t="s">
        <v>1154</v>
      </c>
      <c r="B127" s="138" t="s">
        <v>874</v>
      </c>
      <c r="C127" s="259" t="s">
        <v>34</v>
      </c>
      <c r="D127" s="138" t="s">
        <v>1155</v>
      </c>
      <c r="E127" s="138" t="s">
        <v>1156</v>
      </c>
      <c r="F127" s="138" t="s">
        <v>1157</v>
      </c>
      <c r="G127" s="138" t="s">
        <v>1158</v>
      </c>
      <c r="H127" s="138" t="s">
        <v>4</v>
      </c>
      <c r="I127" s="138" t="s">
        <v>1159</v>
      </c>
      <c r="J127" s="138" t="s">
        <v>1160</v>
      </c>
      <c r="K127" s="138" t="s">
        <v>137</v>
      </c>
      <c r="L127" s="138" t="s">
        <v>1</v>
      </c>
      <c r="M127" s="138" t="s">
        <v>1</v>
      </c>
      <c r="N127" s="138" t="s">
        <v>1</v>
      </c>
      <c r="O127" s="138" t="s">
        <v>1161</v>
      </c>
      <c r="P127" s="138" t="s">
        <v>1162</v>
      </c>
      <c r="Q127" s="138" t="s">
        <v>1</v>
      </c>
      <c r="R127" s="138" t="s">
        <v>1163</v>
      </c>
      <c r="S127" s="138" t="s">
        <v>132</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U127" s="146" t="str">
        <f>IF(OR(C127="Admin optional",LEFT(A127,9)="OPERATOR-",LEFT(A127,8)="PAYMENT-",LEFT(A127,7)="DEPLOY-"),"External","Core")</f>
        <v>Core</v>
      </c>
    </row>
    <row r="128" customFormat="false" ht="15" hidden="false" customHeight="false" outlineLevel="0" collapsed="false">
      <c r="A128" s="138" t="s">
        <v>1164</v>
      </c>
      <c r="B128" s="138" t="s">
        <v>256</v>
      </c>
      <c r="C128" s="259" t="s">
        <v>34</v>
      </c>
      <c r="D128" s="138" t="s">
        <v>1165</v>
      </c>
      <c r="E128" s="138" t="s">
        <v>1166</v>
      </c>
      <c r="F128" s="138" t="s">
        <v>1167</v>
      </c>
      <c r="G128" s="138" t="s">
        <v>1168</v>
      </c>
      <c r="H128" s="138" t="s">
        <v>4</v>
      </c>
      <c r="I128" s="138" t="s">
        <v>1169</v>
      </c>
      <c r="J128" s="138" t="s">
        <v>1170</v>
      </c>
      <c r="K128" s="138" t="s">
        <v>365</v>
      </c>
      <c r="L128" s="138" t="s">
        <v>1</v>
      </c>
      <c r="M128" s="138" t="s">
        <v>1</v>
      </c>
      <c r="N128" s="138" t="s">
        <v>1</v>
      </c>
      <c r="O128" s="138" t="s">
        <v>1171</v>
      </c>
      <c r="P128" s="138" t="s">
        <v>1172</v>
      </c>
      <c r="Q128" s="138" t="s">
        <v>1</v>
      </c>
      <c r="R128" s="138" t="s">
        <v>1173</v>
      </c>
      <c r="S128" s="138" t="s">
        <v>323</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IF(OR(C128="Admin optional",LEFT(A128,9)="OPERATOR-",LEFT(A128,8)="PAYMENT-",LEFT(A128,7)="DEPLOY-"),"External","Core")</f>
        <v>Core</v>
      </c>
    </row>
    <row r="129" customFormat="false" ht="15" hidden="false" customHeight="false" outlineLevel="0" collapsed="false">
      <c r="A129" s="138" t="s">
        <v>1174</v>
      </c>
      <c r="B129" s="138" t="s">
        <v>874</v>
      </c>
      <c r="C129" s="259" t="s">
        <v>34</v>
      </c>
      <c r="D129" s="138" t="s">
        <v>1175</v>
      </c>
      <c r="E129" s="138" t="s">
        <v>1176</v>
      </c>
      <c r="F129" s="138" t="s">
        <v>1177</v>
      </c>
      <c r="G129" s="138" t="s">
        <v>1178</v>
      </c>
      <c r="H129" s="138" t="s">
        <v>4</v>
      </c>
      <c r="I129" s="138" t="s">
        <v>1179</v>
      </c>
      <c r="J129" s="138" t="s">
        <v>1180</v>
      </c>
      <c r="K129" s="138" t="s">
        <v>137</v>
      </c>
      <c r="L129" s="138" t="s">
        <v>1</v>
      </c>
      <c r="M129" s="138" t="s">
        <v>1</v>
      </c>
      <c r="N129" s="138" t="s">
        <v>1</v>
      </c>
      <c r="O129" s="138" t="s">
        <v>1181</v>
      </c>
      <c r="P129" s="138" t="s">
        <v>1182</v>
      </c>
      <c r="Q129" s="138" t="s">
        <v>1</v>
      </c>
      <c r="R129" s="138" t="s">
        <v>1183</v>
      </c>
      <c r="S129" s="138" t="s">
        <v>106</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U129" s="146" t="str">
        <f>IF(OR(C129="Admin optional",LEFT(A129,9)="OPERATOR-",LEFT(A129,8)="PAYMENT-",LEFT(A129,7)="DEPLOY-"),"External","Core")</f>
        <v>Core</v>
      </c>
    </row>
    <row r="130" customFormat="false" ht="15" hidden="false" customHeight="false" outlineLevel="0" collapsed="false">
      <c r="A130" s="138" t="s">
        <v>1184</v>
      </c>
      <c r="B130" s="138" t="s">
        <v>874</v>
      </c>
      <c r="C130" s="259" t="s">
        <v>34</v>
      </c>
      <c r="D130" s="138" t="s">
        <v>1185</v>
      </c>
      <c r="E130" s="138" t="s">
        <v>1186</v>
      </c>
      <c r="F130" s="138" t="s">
        <v>1187</v>
      </c>
      <c r="G130" s="138" t="s">
        <v>1188</v>
      </c>
      <c r="H130" s="138" t="s">
        <v>4</v>
      </c>
      <c r="I130" s="138" t="s">
        <v>4</v>
      </c>
      <c r="J130" s="138" t="s">
        <v>1189</v>
      </c>
      <c r="K130" s="138" t="s">
        <v>137</v>
      </c>
      <c r="L130" s="138" t="s">
        <v>1</v>
      </c>
      <c r="M130" s="138" t="s">
        <v>1</v>
      </c>
      <c r="N130" s="138" t="s">
        <v>1</v>
      </c>
      <c r="O130" s="138" t="s">
        <v>1190</v>
      </c>
      <c r="P130" s="138" t="s">
        <v>1191</v>
      </c>
      <c r="Q130" s="138" t="s">
        <v>1</v>
      </c>
      <c r="R130" s="138" t="s">
        <v>1192</v>
      </c>
      <c r="S130" s="138" t="s">
        <v>106</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U130" s="146" t="str">
        <f>IF(OR(C130="Admin optional",LEFT(A130,9)="OPERATOR-",LEFT(A130,8)="PAYMENT-",LEFT(A130,7)="DEPLOY-"),"External","Core")</f>
        <v>Core</v>
      </c>
    </row>
    <row r="131" customFormat="false" ht="15" hidden="false" customHeight="false" outlineLevel="0" collapsed="false">
      <c r="A131" s="135" t="s">
        <v>1193</v>
      </c>
      <c r="B131" s="135" t="s">
        <v>256</v>
      </c>
      <c r="C131" s="261" t="s">
        <v>42</v>
      </c>
      <c r="D131" s="135" t="s">
        <v>1194</v>
      </c>
      <c r="E131" s="135" t="s">
        <v>1195</v>
      </c>
      <c r="F131" s="135" t="s">
        <v>4</v>
      </c>
      <c r="G131" s="135" t="s">
        <v>4</v>
      </c>
      <c r="H131" s="135" t="s">
        <v>4</v>
      </c>
      <c r="I131" s="135" t="s">
        <v>4</v>
      </c>
      <c r="J131" s="135" t="s">
        <v>1196</v>
      </c>
      <c r="K131" s="135" t="s">
        <v>790</v>
      </c>
      <c r="L131" s="135" t="s">
        <v>1</v>
      </c>
      <c r="M131" s="135" t="s">
        <v>1</v>
      </c>
      <c r="N131" s="135" t="s">
        <v>509</v>
      </c>
      <c r="O131" s="135" t="s">
        <v>1197</v>
      </c>
      <c r="P131" s="135" t="s">
        <v>1198</v>
      </c>
      <c r="Q131" s="135" t="s">
        <v>130</v>
      </c>
      <c r="R131" s="135" t="s">
        <v>1199</v>
      </c>
      <c r="S131" s="135" t="s">
        <v>323</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U131" s="146" t="str">
        <f>IF(OR(C131="Admin optional",LEFT(A131,9)="OPERATOR-",LEFT(A131,8)="PAYMENT-",LEFT(A131,7)="DEPLOY-"),"External","Core")</f>
        <v>Core</v>
      </c>
    </row>
    <row r="132" customFormat="false" ht="15" hidden="false" customHeight="false" outlineLevel="0" collapsed="false">
      <c r="A132" s="135" t="s">
        <v>1200</v>
      </c>
      <c r="B132" s="135" t="s">
        <v>256</v>
      </c>
      <c r="C132" s="261" t="s">
        <v>42</v>
      </c>
      <c r="D132" s="135" t="s">
        <v>1201</v>
      </c>
      <c r="E132" s="135" t="s">
        <v>1202</v>
      </c>
      <c r="F132" s="135" t="s">
        <v>4</v>
      </c>
      <c r="G132" s="135" t="s">
        <v>4</v>
      </c>
      <c r="H132" s="135" t="s">
        <v>4</v>
      </c>
      <c r="I132" s="135" t="s">
        <v>4</v>
      </c>
      <c r="J132" s="135" t="s">
        <v>1203</v>
      </c>
      <c r="K132" s="135" t="s">
        <v>790</v>
      </c>
      <c r="L132" s="135" t="s">
        <v>1</v>
      </c>
      <c r="M132" s="135" t="s">
        <v>1</v>
      </c>
      <c r="N132" s="135" t="s">
        <v>509</v>
      </c>
      <c r="O132" s="135" t="s">
        <v>1204</v>
      </c>
      <c r="P132" s="135" t="s">
        <v>1205</v>
      </c>
      <c r="Q132" s="135" t="s">
        <v>130</v>
      </c>
      <c r="R132" s="135" t="s">
        <v>1206</v>
      </c>
      <c r="S132" s="135" t="s">
        <v>402</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U132" s="146" t="str">
        <f>IF(OR(C132="Admin optional",LEFT(A132,9)="OPERATOR-",LEFT(A132,8)="PAYMENT-",LEFT(A132,7)="DEPLOY-"),"External","Core")</f>
        <v>Core</v>
      </c>
    </row>
    <row r="133" customFormat="false" ht="15" hidden="false" customHeight="false" outlineLevel="0" collapsed="false">
      <c r="A133" s="138" t="s">
        <v>1207</v>
      </c>
      <c r="B133" s="138" t="s">
        <v>1208</v>
      </c>
      <c r="C133" s="255" t="s">
        <v>51</v>
      </c>
      <c r="D133" s="138" t="s">
        <v>1209</v>
      </c>
      <c r="E133" s="138" t="s">
        <v>1210</v>
      </c>
      <c r="F133" s="138" t="s">
        <v>1211</v>
      </c>
      <c r="G133" s="138" t="s">
        <v>1212</v>
      </c>
      <c r="H133" s="138" t="s">
        <v>4</v>
      </c>
      <c r="I133" s="138" t="s">
        <v>1213</v>
      </c>
      <c r="J133" s="138" t="s">
        <v>1214</v>
      </c>
      <c r="K133" s="138" t="s">
        <v>1215</v>
      </c>
      <c r="L133" s="138" t="s">
        <v>1</v>
      </c>
      <c r="M133" s="138" t="s">
        <v>1</v>
      </c>
      <c r="N133" s="138" t="s">
        <v>1</v>
      </c>
      <c r="O133" s="138" t="s">
        <v>1216</v>
      </c>
      <c r="P133" s="138" t="s">
        <v>1217</v>
      </c>
      <c r="Q133" s="138" t="s">
        <v>1</v>
      </c>
      <c r="R133" s="138" t="s">
        <v>1218</v>
      </c>
      <c r="S133" s="138" t="s">
        <v>106</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IF(OR(C133="Admin optional",LEFT(A133,9)="OPERATOR-",LEFT(A133,8)="PAYMENT-",LEFT(A133,7)="DEPLOY-"),"External","Core")</f>
        <v>Core</v>
      </c>
    </row>
    <row r="134" customFormat="false" ht="15" hidden="false" customHeight="false" outlineLevel="0" collapsed="false">
      <c r="A134" s="138" t="s">
        <v>1219</v>
      </c>
      <c r="B134" s="138" t="s">
        <v>1208</v>
      </c>
      <c r="C134" s="255" t="s">
        <v>51</v>
      </c>
      <c r="D134" s="138" t="s">
        <v>1209</v>
      </c>
      <c r="E134" s="138" t="s">
        <v>1220</v>
      </c>
      <c r="F134" s="138" t="s">
        <v>1211</v>
      </c>
      <c r="G134" s="138" t="s">
        <v>1221</v>
      </c>
      <c r="H134" s="138" t="s">
        <v>4</v>
      </c>
      <c r="I134" s="138" t="s">
        <v>1213</v>
      </c>
      <c r="J134" s="138" t="s">
        <v>1222</v>
      </c>
      <c r="K134" s="138" t="s">
        <v>1215</v>
      </c>
      <c r="L134" s="138" t="s">
        <v>1</v>
      </c>
      <c r="M134" s="138" t="s">
        <v>1</v>
      </c>
      <c r="N134" s="138" t="s">
        <v>1</v>
      </c>
      <c r="O134" s="138" t="s">
        <v>1223</v>
      </c>
      <c r="P134" s="138" t="s">
        <v>1224</v>
      </c>
      <c r="Q134" s="138" t="s">
        <v>1</v>
      </c>
      <c r="R134" s="138" t="s">
        <v>1225</v>
      </c>
      <c r="S134" s="138" t="s">
        <v>106</v>
      </c>
      <c r="T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U134" s="146" t="str">
        <f>IF(OR(C134="Admin optional",LEFT(A134,9)="OPERATOR-",LEFT(A134,8)="PAYMENT-",LEFT(A134,7)="DEPLOY-"),"External","Core")</f>
        <v>Core</v>
      </c>
    </row>
    <row r="135" customFormat="false" ht="15" hidden="false" customHeight="false" outlineLevel="0" collapsed="false">
      <c r="A135" s="138" t="s">
        <v>1226</v>
      </c>
      <c r="B135" s="138" t="s">
        <v>1208</v>
      </c>
      <c r="C135" s="255" t="s">
        <v>51</v>
      </c>
      <c r="D135" s="138" t="s">
        <v>1227</v>
      </c>
      <c r="E135" s="138" t="s">
        <v>1228</v>
      </c>
      <c r="F135" s="138" t="s">
        <v>1229</v>
      </c>
      <c r="G135" s="138" t="s">
        <v>1230</v>
      </c>
      <c r="H135" s="138" t="s">
        <v>4</v>
      </c>
      <c r="I135" s="138" t="s">
        <v>4</v>
      </c>
      <c r="J135" s="138" t="s">
        <v>1231</v>
      </c>
      <c r="K135" s="138" t="s">
        <v>1215</v>
      </c>
      <c r="L135" s="138" t="s">
        <v>1</v>
      </c>
      <c r="M135" s="138" t="s">
        <v>1</v>
      </c>
      <c r="N135" s="138" t="s">
        <v>1</v>
      </c>
      <c r="O135" s="138" t="s">
        <v>1232</v>
      </c>
      <c r="P135" s="138" t="s">
        <v>1233</v>
      </c>
      <c r="Q135" s="138" t="s">
        <v>1</v>
      </c>
      <c r="R135" s="138" t="s">
        <v>1234</v>
      </c>
      <c r="S135" s="138" t="s">
        <v>106</v>
      </c>
      <c r="T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U135" s="146" t="str">
        <f>IF(OR(C135="Admin optional",LEFT(A135,9)="OPERATOR-",LEFT(A135,8)="PAYMENT-",LEFT(A135,7)="DEPLOY-"),"External","Core")</f>
        <v>Core</v>
      </c>
    </row>
    <row r="136" customFormat="false" ht="15" hidden="false" customHeight="false" outlineLevel="0" collapsed="false">
      <c r="A136" s="138" t="s">
        <v>1235</v>
      </c>
      <c r="B136" s="138" t="s">
        <v>1208</v>
      </c>
      <c r="C136" s="255" t="s">
        <v>51</v>
      </c>
      <c r="D136" s="138" t="s">
        <v>1236</v>
      </c>
      <c r="E136" s="138" t="s">
        <v>1237</v>
      </c>
      <c r="F136" s="138" t="s">
        <v>4</v>
      </c>
      <c r="G136" s="138" t="s">
        <v>1238</v>
      </c>
      <c r="H136" s="138" t="s">
        <v>4</v>
      </c>
      <c r="I136" s="138" t="s">
        <v>1239</v>
      </c>
      <c r="J136" s="138" t="s">
        <v>1240</v>
      </c>
      <c r="K136" s="138" t="s">
        <v>1215</v>
      </c>
      <c r="L136" s="138" t="s">
        <v>1</v>
      </c>
      <c r="M136" s="138" t="s">
        <v>1</v>
      </c>
      <c r="N136" s="138" t="s">
        <v>1</v>
      </c>
      <c r="O136" s="138" t="s">
        <v>1241</v>
      </c>
      <c r="P136" s="138" t="s">
        <v>1242</v>
      </c>
      <c r="Q136" s="138" t="s">
        <v>1</v>
      </c>
      <c r="R136" s="138" t="s">
        <v>1243</v>
      </c>
      <c r="S136" s="138" t="s">
        <v>132</v>
      </c>
      <c r="T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Not started</v>
      </c>
      <c r="U136" s="146" t="str">
        <f>IF(OR(C136="Admin optional",LEFT(A136,9)="OPERATOR-",LEFT(A136,8)="PAYMENT-",LEFT(A136,7)="DEPLOY-"),"External","Core")</f>
        <v>Core</v>
      </c>
    </row>
    <row r="137" customFormat="false" ht="15" hidden="false" customHeight="false" outlineLevel="0" collapsed="false">
      <c r="A137" s="136" t="s">
        <v>1244</v>
      </c>
      <c r="B137" s="136" t="s">
        <v>1245</v>
      </c>
      <c r="C137" s="255" t="s">
        <v>51</v>
      </c>
      <c r="D137" s="136" t="s">
        <v>1246</v>
      </c>
      <c r="E137" s="136" t="s">
        <v>1247</v>
      </c>
      <c r="F137" s="136" t="s">
        <v>1248</v>
      </c>
      <c r="G137" s="136" t="s">
        <v>1249</v>
      </c>
      <c r="H137" s="136" t="s">
        <v>1250</v>
      </c>
      <c r="I137" s="136" t="s">
        <v>1251</v>
      </c>
      <c r="J137" s="136" t="s">
        <v>1252</v>
      </c>
      <c r="K137" s="136" t="s">
        <v>1253</v>
      </c>
      <c r="L137" s="136" t="s">
        <v>1</v>
      </c>
      <c r="M137" s="136" t="s">
        <v>1</v>
      </c>
      <c r="N137" s="136" t="s">
        <v>101</v>
      </c>
      <c r="O137" s="136" t="s">
        <v>1254</v>
      </c>
      <c r="P137" s="136" t="s">
        <v>1255</v>
      </c>
      <c r="Q137" s="136" t="s">
        <v>253</v>
      </c>
      <c r="R137" s="136" t="s">
        <v>1256</v>
      </c>
      <c r="S137" s="136" t="s">
        <v>379</v>
      </c>
      <c r="T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Pending</v>
      </c>
      <c r="U137" s="146" t="str">
        <f>IF(OR(C137="Admin optional",LEFT(A137,9)="OPERATOR-",LEFT(A137,8)="PAYMENT-",LEFT(A137,7)="DEPLOY-"),"External","Core")</f>
        <v>Core</v>
      </c>
    </row>
    <row r="138" customFormat="false" ht="15" hidden="false" customHeight="false" outlineLevel="0" collapsed="false">
      <c r="A138" s="136" t="s">
        <v>1257</v>
      </c>
      <c r="B138" s="136" t="s">
        <v>242</v>
      </c>
      <c r="C138" s="255" t="s">
        <v>51</v>
      </c>
      <c r="D138" s="136" t="s">
        <v>1258</v>
      </c>
      <c r="E138" s="136" t="s">
        <v>1259</v>
      </c>
      <c r="F138" s="136" t="s">
        <v>4</v>
      </c>
      <c r="G138" s="136" t="s">
        <v>1260</v>
      </c>
      <c r="H138" s="136" t="s">
        <v>4</v>
      </c>
      <c r="I138" s="136" t="s">
        <v>8</v>
      </c>
      <c r="J138" s="136" t="s">
        <v>1261</v>
      </c>
      <c r="K138" s="136" t="s">
        <v>249</v>
      </c>
      <c r="L138" s="136" t="s">
        <v>1</v>
      </c>
      <c r="M138" s="136" t="s">
        <v>1</v>
      </c>
      <c r="N138" s="136" t="s">
        <v>250</v>
      </c>
      <c r="O138" s="136" t="s">
        <v>1262</v>
      </c>
      <c r="P138" s="136" t="s">
        <v>1263</v>
      </c>
      <c r="Q138" s="136" t="s">
        <v>253</v>
      </c>
      <c r="R138" s="136" t="s">
        <v>1264</v>
      </c>
      <c r="S138" s="136" t="s">
        <v>323</v>
      </c>
      <c r="T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Pending</v>
      </c>
      <c r="U138" s="146" t="str">
        <f>IF(OR(C138="Admin optional",LEFT(A138,9)="OPERATOR-",LEFT(A138,8)="PAYMENT-",LEFT(A138,7)="DEPLOY-"),"External","Core")</f>
        <v>Core</v>
      </c>
    </row>
    <row r="139" customFormat="false" ht="15" hidden="false" customHeight="false" outlineLevel="0" collapsed="false">
      <c r="A139" s="136" t="s">
        <v>1265</v>
      </c>
      <c r="B139" s="136" t="s">
        <v>242</v>
      </c>
      <c r="C139" s="255" t="s">
        <v>51</v>
      </c>
      <c r="D139" s="136" t="s">
        <v>1266</v>
      </c>
      <c r="E139" s="136" t="s">
        <v>1267</v>
      </c>
      <c r="F139" s="136" t="s">
        <v>4</v>
      </c>
      <c r="G139" s="136" t="s">
        <v>1268</v>
      </c>
      <c r="H139" s="136" t="s">
        <v>4</v>
      </c>
      <c r="I139" s="136" t="s">
        <v>8</v>
      </c>
      <c r="J139" s="136" t="s">
        <v>1269</v>
      </c>
      <c r="K139" s="136" t="s">
        <v>249</v>
      </c>
      <c r="L139" s="136" t="s">
        <v>1</v>
      </c>
      <c r="M139" s="136" t="s">
        <v>1</v>
      </c>
      <c r="N139" s="136" t="s">
        <v>250</v>
      </c>
      <c r="O139" s="136" t="s">
        <v>251</v>
      </c>
      <c r="P139" s="136" t="s">
        <v>1270</v>
      </c>
      <c r="Q139" s="136" t="s">
        <v>253</v>
      </c>
      <c r="R139" s="136" t="s">
        <v>254</v>
      </c>
      <c r="S139" s="136" t="s">
        <v>379</v>
      </c>
      <c r="T139" s="146" t="str">
        <f>IF(OR(ISNUMBER(SEARCH("FAIL",K139&amp;" "&amp;Q139)),ISNUMBER(SEARCH("CLEAN RETEST REQUIRED",K139&amp;" "&amp;Q139))),"Failed",IF(OR(ISNUMBER(SEARCH("NOT RUN",K139&amp;" "&amp;Q139)),ISNUMBER(SEARCH("NOT IMPLEMENTED",K139&amp;" "&amp;Q139))),"Not started",IF(OR(ISNUMBER(SEARCH("PARTIAL",K139&amp;" "&amp;Q139)),ISNUMBER(SEARCH("PENDING",K139&amp;" "&amp;Q139)),ISNUMBER(SEARCH("IN PROGRESS",K139&amp;" "&amp;Q139)),ISNUMBER(SEARCH("OPEN",K139&amp;" "&amp;Q139)),ISNUMBER(SEARCH("RETEST REQUIRED",K139&amp;" "&amp;Q139)),ISNUMBER(SEARCH("IMPLEMENTATION UPDATED",K139&amp;" "&amp;Q139)),ISNUMBER(SEARCH("REQUIRED EVERY SESSION",K139&amp;" "&amp;Q139))),"Pending",IF(OR(Q139="PASS",ISNUMBER(SEARCH("PASS",K139&amp;" "&amp;Q139))),"Done","Pending"))))</f>
        <v>Pending</v>
      </c>
      <c r="U139" s="146" t="str">
        <f>IF(OR(C139="Admin optional",LEFT(A139,9)="OPERATOR-",LEFT(A139,8)="PAYMENT-",LEFT(A139,7)="DEPLOY-"),"External","Core")</f>
        <v>Core</v>
      </c>
    </row>
    <row r="140" customFormat="false" ht="15" hidden="false" customHeight="false" outlineLevel="0" collapsed="false">
      <c r="A140" s="138" t="s">
        <v>1271</v>
      </c>
      <c r="B140" s="138" t="s">
        <v>1272</v>
      </c>
      <c r="C140" s="262" t="s">
        <v>60</v>
      </c>
      <c r="D140" s="138" t="s">
        <v>1273</v>
      </c>
      <c r="E140" s="138" t="s">
        <v>1274</v>
      </c>
      <c r="F140" s="138" t="s">
        <v>4</v>
      </c>
      <c r="G140" s="138" t="s">
        <v>1275</v>
      </c>
      <c r="H140" s="138" t="s">
        <v>4</v>
      </c>
      <c r="I140" s="138" t="s">
        <v>4</v>
      </c>
      <c r="J140" s="138" t="s">
        <v>1276</v>
      </c>
      <c r="K140" s="138" t="s">
        <v>1215</v>
      </c>
      <c r="L140" s="138" t="s">
        <v>1</v>
      </c>
      <c r="M140" s="138" t="s">
        <v>1</v>
      </c>
      <c r="N140" s="138" t="s">
        <v>1</v>
      </c>
      <c r="O140" s="138" t="s">
        <v>1277</v>
      </c>
      <c r="P140" s="138" t="s">
        <v>1278</v>
      </c>
      <c r="Q140" s="138" t="s">
        <v>1</v>
      </c>
      <c r="R140" s="138" t="s">
        <v>1279</v>
      </c>
      <c r="S140" s="138" t="s">
        <v>106</v>
      </c>
      <c r="T140" s="146" t="str">
        <f>IF(OR(ISNUMBER(SEARCH("FAIL",K140&amp;" "&amp;Q140)),ISNUMBER(SEARCH("CLEAN RETEST REQUIRED",K140&amp;" "&amp;Q140))),"Failed",IF(OR(ISNUMBER(SEARCH("NOT RUN",K140&amp;" "&amp;Q140)),ISNUMBER(SEARCH("NOT IMPLEMENTED",K140&amp;" "&amp;Q140))),"Not started",IF(OR(ISNUMBER(SEARCH("PARTIAL",K140&amp;" "&amp;Q140)),ISNUMBER(SEARCH("PENDING",K140&amp;" "&amp;Q140)),ISNUMBER(SEARCH("IN PROGRESS",K140&amp;" "&amp;Q140)),ISNUMBER(SEARCH("OPEN",K140&amp;" "&amp;Q140)),ISNUMBER(SEARCH("RETEST REQUIRED",K140&amp;" "&amp;Q140)),ISNUMBER(SEARCH("IMPLEMENTATION UPDATED",K140&amp;" "&amp;Q140)),ISNUMBER(SEARCH("REQUIRED EVERY SESSION",K140&amp;" "&amp;Q140))),"Pending",IF(OR(Q140="PASS",ISNUMBER(SEARCH("PASS",K140&amp;" "&amp;Q140))),"Done","Pending"))))</f>
        <v>Not started</v>
      </c>
      <c r="U140" s="146" t="str">
        <f>IF(OR(C140="Admin optional",LEFT(A140,9)="OPERATOR-",LEFT(A140,8)="PAYMENT-",LEFT(A140,7)="DEPLOY-"),"External","Core")</f>
        <v>Core</v>
      </c>
    </row>
    <row r="141" customFormat="false" ht="15" hidden="false" customHeight="false" outlineLevel="0" collapsed="false">
      <c r="A141" s="138" t="s">
        <v>1280</v>
      </c>
      <c r="B141" s="138" t="s">
        <v>1272</v>
      </c>
      <c r="C141" s="262" t="s">
        <v>60</v>
      </c>
      <c r="D141" s="138" t="s">
        <v>1281</v>
      </c>
      <c r="E141" s="138" t="s">
        <v>1282</v>
      </c>
      <c r="F141" s="138" t="s">
        <v>1283</v>
      </c>
      <c r="G141" s="138" t="s">
        <v>1284</v>
      </c>
      <c r="H141" s="138" t="s">
        <v>4</v>
      </c>
      <c r="I141" s="138" t="s">
        <v>1285</v>
      </c>
      <c r="J141" s="138" t="s">
        <v>1286</v>
      </c>
      <c r="K141" s="138" t="s">
        <v>1215</v>
      </c>
      <c r="L141" s="138" t="s">
        <v>1</v>
      </c>
      <c r="M141" s="138" t="s">
        <v>1</v>
      </c>
      <c r="N141" s="138" t="s">
        <v>1</v>
      </c>
      <c r="O141" s="138" t="s">
        <v>1287</v>
      </c>
      <c r="P141" s="138" t="s">
        <v>1288</v>
      </c>
      <c r="Q141" s="138" t="s">
        <v>1</v>
      </c>
      <c r="R141" s="138" t="s">
        <v>1289</v>
      </c>
      <c r="S141" s="138" t="s">
        <v>106</v>
      </c>
      <c r="T141" s="146" t="str">
        <f>IF(OR(ISNUMBER(SEARCH("FAIL",K141&amp;" "&amp;Q141)),ISNUMBER(SEARCH("CLEAN RETEST REQUIRED",K141&amp;" "&amp;Q141))),"Failed",IF(OR(ISNUMBER(SEARCH("NOT RUN",K141&amp;" "&amp;Q141)),ISNUMBER(SEARCH("NOT IMPLEMENTED",K141&amp;" "&amp;Q141))),"Not started",IF(OR(ISNUMBER(SEARCH("PARTIAL",K141&amp;" "&amp;Q141)),ISNUMBER(SEARCH("PENDING",K141&amp;" "&amp;Q141)),ISNUMBER(SEARCH("IN PROGRESS",K141&amp;" "&amp;Q141)),ISNUMBER(SEARCH("OPEN",K141&amp;" "&amp;Q141)),ISNUMBER(SEARCH("RETEST REQUIRED",K141&amp;" "&amp;Q141)),ISNUMBER(SEARCH("IMPLEMENTATION UPDATED",K141&amp;" "&amp;Q141)),ISNUMBER(SEARCH("REQUIRED EVERY SESSION",K141&amp;" "&amp;Q141))),"Pending",IF(OR(Q141="PASS",ISNUMBER(SEARCH("PASS",K141&amp;" "&amp;Q141))),"Done","Pending"))))</f>
        <v>Not started</v>
      </c>
      <c r="U141" s="146" t="str">
        <f>IF(OR(C141="Admin optional",LEFT(A141,9)="OPERATOR-",LEFT(A141,8)="PAYMENT-",LEFT(A141,7)="DEPLOY-"),"External","Core")</f>
        <v>Core</v>
      </c>
    </row>
    <row r="142" customFormat="false" ht="15" hidden="false" customHeight="false" outlineLevel="0" collapsed="false">
      <c r="A142" s="138" t="s">
        <v>1290</v>
      </c>
      <c r="B142" s="138" t="s">
        <v>1272</v>
      </c>
      <c r="C142" s="262" t="s">
        <v>60</v>
      </c>
      <c r="D142" s="138" t="s">
        <v>1291</v>
      </c>
      <c r="E142" s="138" t="s">
        <v>1292</v>
      </c>
      <c r="F142" s="138" t="s">
        <v>4</v>
      </c>
      <c r="G142" s="138" t="s">
        <v>1293</v>
      </c>
      <c r="H142" s="138" t="s">
        <v>4</v>
      </c>
      <c r="I142" s="138" t="s">
        <v>4</v>
      </c>
      <c r="J142" s="138" t="s">
        <v>1294</v>
      </c>
      <c r="K142" s="138" t="s">
        <v>1215</v>
      </c>
      <c r="L142" s="138" t="s">
        <v>1</v>
      </c>
      <c r="M142" s="138" t="s">
        <v>1</v>
      </c>
      <c r="N142" s="138" t="s">
        <v>1</v>
      </c>
      <c r="O142" s="138" t="s">
        <v>1295</v>
      </c>
      <c r="P142" s="138" t="s">
        <v>1296</v>
      </c>
      <c r="Q142" s="138" t="s">
        <v>1</v>
      </c>
      <c r="R142" s="138" t="s">
        <v>1297</v>
      </c>
      <c r="S142" s="138" t="s">
        <v>106</v>
      </c>
      <c r="T142" s="146" t="str">
        <f>IF(OR(ISNUMBER(SEARCH("FAIL",K142&amp;" "&amp;Q142)),ISNUMBER(SEARCH("CLEAN RETEST REQUIRED",K142&amp;" "&amp;Q142))),"Failed",IF(OR(ISNUMBER(SEARCH("NOT RUN",K142&amp;" "&amp;Q142)),ISNUMBER(SEARCH("NOT IMPLEMENTED",K142&amp;" "&amp;Q142))),"Not started",IF(OR(ISNUMBER(SEARCH("PARTIAL",K142&amp;" "&amp;Q142)),ISNUMBER(SEARCH("PENDING",K142&amp;" "&amp;Q142)),ISNUMBER(SEARCH("IN PROGRESS",K142&amp;" "&amp;Q142)),ISNUMBER(SEARCH("OPEN",K142&amp;" "&amp;Q142)),ISNUMBER(SEARCH("RETEST REQUIRED",K142&amp;" "&amp;Q142)),ISNUMBER(SEARCH("IMPLEMENTATION UPDATED",K142&amp;" "&amp;Q142)),ISNUMBER(SEARCH("REQUIRED EVERY SESSION",K142&amp;" "&amp;Q142))),"Pending",IF(OR(Q142="PASS",ISNUMBER(SEARCH("PASS",K142&amp;" "&amp;Q142))),"Done","Pending"))))</f>
        <v>Not started</v>
      </c>
      <c r="U142" s="146" t="str">
        <f>IF(OR(C142="Admin optional",LEFT(A142,9)="OPERATOR-",LEFT(A142,8)="PAYMENT-",LEFT(A142,7)="DEPLOY-"),"External","Core")</f>
        <v>Core</v>
      </c>
    </row>
    <row r="143" customFormat="false" ht="15" hidden="false" customHeight="false" outlineLevel="0" collapsed="false">
      <c r="A143" s="138" t="s">
        <v>1298</v>
      </c>
      <c r="B143" s="138" t="s">
        <v>1272</v>
      </c>
      <c r="C143" s="262" t="s">
        <v>60</v>
      </c>
      <c r="D143" s="138" t="s">
        <v>1299</v>
      </c>
      <c r="E143" s="138" t="s">
        <v>1300</v>
      </c>
      <c r="F143" s="138" t="s">
        <v>4</v>
      </c>
      <c r="G143" s="138" t="s">
        <v>1301</v>
      </c>
      <c r="H143" s="138" t="s">
        <v>4</v>
      </c>
      <c r="I143" s="138" t="s">
        <v>4</v>
      </c>
      <c r="J143" s="138" t="s">
        <v>1302</v>
      </c>
      <c r="K143" s="138" t="s">
        <v>1215</v>
      </c>
      <c r="L143" s="138" t="s">
        <v>1</v>
      </c>
      <c r="M143" s="138" t="s">
        <v>1</v>
      </c>
      <c r="N143" s="138" t="s">
        <v>1</v>
      </c>
      <c r="O143" s="138" t="s">
        <v>1303</v>
      </c>
      <c r="P143" s="138" t="s">
        <v>1304</v>
      </c>
      <c r="Q143" s="138" t="s">
        <v>1</v>
      </c>
      <c r="R143" s="138" t="s">
        <v>1305</v>
      </c>
      <c r="S143" s="138" t="s">
        <v>106</v>
      </c>
      <c r="T143" s="146" t="str">
        <f>IF(OR(ISNUMBER(SEARCH("FAIL",K143&amp;" "&amp;Q143)),ISNUMBER(SEARCH("CLEAN RETEST REQUIRED",K143&amp;" "&amp;Q143))),"Failed",IF(OR(ISNUMBER(SEARCH("NOT RUN",K143&amp;" "&amp;Q143)),ISNUMBER(SEARCH("NOT IMPLEMENTED",K143&amp;" "&amp;Q143))),"Not started",IF(OR(ISNUMBER(SEARCH("PARTIAL",K143&amp;" "&amp;Q143)),ISNUMBER(SEARCH("PENDING",K143&amp;" "&amp;Q143)),ISNUMBER(SEARCH("IN PROGRESS",K143&amp;" "&amp;Q143)),ISNUMBER(SEARCH("OPEN",K143&amp;" "&amp;Q143)),ISNUMBER(SEARCH("RETEST REQUIRED",K143&amp;" "&amp;Q143)),ISNUMBER(SEARCH("IMPLEMENTATION UPDATED",K143&amp;" "&amp;Q143)),ISNUMBER(SEARCH("REQUIRED EVERY SESSION",K143&amp;" "&amp;Q143))),"Pending",IF(OR(Q143="PASS",ISNUMBER(SEARCH("PASS",K143&amp;" "&amp;Q143))),"Done","Pending"))))</f>
        <v>Not started</v>
      </c>
      <c r="U143" s="146" t="str">
        <f>IF(OR(C143="Admin optional",LEFT(A143,9)="OPERATOR-",LEFT(A143,8)="PAYMENT-",LEFT(A143,7)="DEPLOY-"),"External","Core")</f>
        <v>Core</v>
      </c>
    </row>
    <row r="144" customFormat="false" ht="15" hidden="false" customHeight="false" outlineLevel="0" collapsed="false">
      <c r="A144" s="136" t="s">
        <v>1306</v>
      </c>
      <c r="B144" s="136" t="s">
        <v>1307</v>
      </c>
      <c r="C144" s="262" t="s">
        <v>60</v>
      </c>
      <c r="D144" s="136" t="s">
        <v>1308</v>
      </c>
      <c r="E144" s="136" t="s">
        <v>1309</v>
      </c>
      <c r="F144" s="136" t="s">
        <v>4</v>
      </c>
      <c r="G144" s="136" t="s">
        <v>4</v>
      </c>
      <c r="H144" s="136" t="s">
        <v>4</v>
      </c>
      <c r="I144" s="136" t="s">
        <v>1310</v>
      </c>
      <c r="J144" s="136" t="s">
        <v>1311</v>
      </c>
      <c r="K144" s="136" t="s">
        <v>1312</v>
      </c>
      <c r="L144" s="136" t="s">
        <v>1</v>
      </c>
      <c r="M144" s="136" t="s">
        <v>1</v>
      </c>
      <c r="N144" s="136" t="s">
        <v>101</v>
      </c>
      <c r="O144" s="136" t="s">
        <v>1313</v>
      </c>
      <c r="P144" s="136" t="s">
        <v>1314</v>
      </c>
      <c r="Q144" s="136" t="s">
        <v>459</v>
      </c>
      <c r="R144" s="136" t="s">
        <v>1315</v>
      </c>
      <c r="S144" s="136" t="s">
        <v>1316</v>
      </c>
      <c r="T144" s="146" t="str">
        <f>IF(OR(ISNUMBER(SEARCH("FAIL",K144&amp;" "&amp;Q144)),ISNUMBER(SEARCH("CLEAN RETEST REQUIRED",K144&amp;" "&amp;Q144))),"Failed",IF(OR(ISNUMBER(SEARCH("NOT RUN",K144&amp;" "&amp;Q144)),ISNUMBER(SEARCH("NOT IMPLEMENTED",K144&amp;" "&amp;Q144))),"Not started",IF(OR(ISNUMBER(SEARCH("PARTIAL",K144&amp;" "&amp;Q144)),ISNUMBER(SEARCH("PENDING",K144&amp;" "&amp;Q144)),ISNUMBER(SEARCH("IN PROGRESS",K144&amp;" "&amp;Q144)),ISNUMBER(SEARCH("OPEN",K144&amp;" "&amp;Q144)),ISNUMBER(SEARCH("RETEST REQUIRED",K144&amp;" "&amp;Q144)),ISNUMBER(SEARCH("IMPLEMENTATION UPDATED",K144&amp;" "&amp;Q144)),ISNUMBER(SEARCH("REQUIRED EVERY SESSION",K144&amp;" "&amp;Q144))),"Pending",IF(OR(Q144="PASS",ISNUMBER(SEARCH("PASS",K144&amp;" "&amp;Q144))),"Done","Pending"))))</f>
        <v>Pending</v>
      </c>
      <c r="U144" s="146" t="str">
        <f>IF(OR(C144="Admin optional",LEFT(A144,9)="OPERATOR-",LEFT(A144,8)="PAYMENT-",LEFT(A144,7)="DEPLOY-"),"External","Core")</f>
        <v>Core</v>
      </c>
    </row>
    <row r="145" customFormat="false" ht="15" hidden="false" customHeight="false" outlineLevel="0" collapsed="false">
      <c r="A145" s="138" t="s">
        <v>1317</v>
      </c>
      <c r="B145" s="138" t="s">
        <v>1318</v>
      </c>
      <c r="C145" s="263" t="s">
        <v>69</v>
      </c>
      <c r="D145" s="138" t="s">
        <v>1319</v>
      </c>
      <c r="E145" s="138" t="s">
        <v>1320</v>
      </c>
      <c r="F145" s="138" t="s">
        <v>1321</v>
      </c>
      <c r="G145" s="138" t="s">
        <v>1322</v>
      </c>
      <c r="H145" s="138" t="s">
        <v>1323</v>
      </c>
      <c r="I145" s="138" t="s">
        <v>1324</v>
      </c>
      <c r="J145" s="138" t="s">
        <v>1325</v>
      </c>
      <c r="K145" s="138" t="s">
        <v>365</v>
      </c>
      <c r="L145" s="138" t="s">
        <v>1</v>
      </c>
      <c r="M145" s="138" t="s">
        <v>1</v>
      </c>
      <c r="N145" s="138" t="s">
        <v>1</v>
      </c>
      <c r="O145" s="138" t="s">
        <v>1326</v>
      </c>
      <c r="P145" s="138" t="s">
        <v>1327</v>
      </c>
      <c r="Q145" s="138" t="s">
        <v>1</v>
      </c>
      <c r="R145" s="138" t="s">
        <v>1328</v>
      </c>
      <c r="S145" s="138" t="s">
        <v>392</v>
      </c>
      <c r="T145" s="146" t="str">
        <f>IF(OR(ISNUMBER(SEARCH("FAIL",K145&amp;" "&amp;Q145)),ISNUMBER(SEARCH("CLEAN RETEST REQUIRED",K145&amp;" "&amp;Q145))),"Failed",IF(OR(ISNUMBER(SEARCH("NOT RUN",K145&amp;" "&amp;Q145)),ISNUMBER(SEARCH("NOT IMPLEMENTED",K145&amp;" "&amp;Q145))),"Not started",IF(OR(ISNUMBER(SEARCH("PARTIAL",K145&amp;" "&amp;Q145)),ISNUMBER(SEARCH("PENDING",K145&amp;" "&amp;Q145)),ISNUMBER(SEARCH("IN PROGRESS",K145&amp;" "&amp;Q145)),ISNUMBER(SEARCH("OPEN",K145&amp;" "&amp;Q145)),ISNUMBER(SEARCH("RETEST REQUIRED",K145&amp;" "&amp;Q145)),ISNUMBER(SEARCH("IMPLEMENTATION UPDATED",K145&amp;" "&amp;Q145)),ISNUMBER(SEARCH("REQUIRED EVERY SESSION",K145&amp;" "&amp;Q145))),"Pending",IF(OR(Q145="PASS",ISNUMBER(SEARCH("PASS",K145&amp;" "&amp;Q145))),"Done","Pending"))))</f>
        <v>Not started</v>
      </c>
      <c r="U145" s="146" t="str">
        <f>IF(OR(C145="Admin optional",LEFT(A145,9)="OPERATOR-",LEFT(A145,8)="PAYMENT-",LEFT(A145,7)="DEPLOY-"),"External","Core")</f>
        <v>Core</v>
      </c>
    </row>
    <row r="146" customFormat="false" ht="15" hidden="false" customHeight="false" outlineLevel="0" collapsed="false">
      <c r="A146" s="136" t="s">
        <v>1329</v>
      </c>
      <c r="B146" s="136" t="s">
        <v>242</v>
      </c>
      <c r="C146" s="263" t="s">
        <v>69</v>
      </c>
      <c r="D146" s="136" t="s">
        <v>1330</v>
      </c>
      <c r="E146" s="136" t="s">
        <v>1331</v>
      </c>
      <c r="F146" s="136" t="s">
        <v>1332</v>
      </c>
      <c r="G146" s="136" t="s">
        <v>1333</v>
      </c>
      <c r="H146" s="136" t="s">
        <v>1334</v>
      </c>
      <c r="I146" s="136" t="s">
        <v>8</v>
      </c>
      <c r="J146" s="136" t="s">
        <v>1335</v>
      </c>
      <c r="K146" s="136" t="s">
        <v>249</v>
      </c>
      <c r="L146" s="136" t="s">
        <v>1</v>
      </c>
      <c r="M146" s="136" t="s">
        <v>1</v>
      </c>
      <c r="N146" s="136" t="s">
        <v>250</v>
      </c>
      <c r="O146" s="136" t="s">
        <v>1336</v>
      </c>
      <c r="P146" s="136" t="s">
        <v>1337</v>
      </c>
      <c r="Q146" s="136" t="s">
        <v>253</v>
      </c>
      <c r="R146" s="136" t="s">
        <v>1338</v>
      </c>
      <c r="S146" s="136" t="s">
        <v>392</v>
      </c>
      <c r="T146" s="146" t="str">
        <f>IF(OR(ISNUMBER(SEARCH("FAIL",K146&amp;" "&amp;Q146)),ISNUMBER(SEARCH("CLEAN RETEST REQUIRED",K146&amp;" "&amp;Q146))),"Failed",IF(OR(ISNUMBER(SEARCH("NOT RUN",K146&amp;" "&amp;Q146)),ISNUMBER(SEARCH("NOT IMPLEMENTED",K146&amp;" "&amp;Q146))),"Not started",IF(OR(ISNUMBER(SEARCH("PARTIAL",K146&amp;" "&amp;Q146)),ISNUMBER(SEARCH("PENDING",K146&amp;" "&amp;Q146)),ISNUMBER(SEARCH("IN PROGRESS",K146&amp;" "&amp;Q146)),ISNUMBER(SEARCH("OPEN",K146&amp;" "&amp;Q146)),ISNUMBER(SEARCH("RETEST REQUIRED",K146&amp;" "&amp;Q146)),ISNUMBER(SEARCH("IMPLEMENTATION UPDATED",K146&amp;" "&amp;Q146)),ISNUMBER(SEARCH("REQUIRED EVERY SESSION",K146&amp;" "&amp;Q146))),"Pending",IF(OR(Q146="PASS",ISNUMBER(SEARCH("PASS",K146&amp;" "&amp;Q146))),"Done","Pending"))))</f>
        <v>Pending</v>
      </c>
      <c r="U146" s="146" t="str">
        <f>IF(OR(C146="Admin optional",LEFT(A146,9)="OPERATOR-",LEFT(A146,8)="PAYMENT-",LEFT(A146,7)="DEPLOY-"),"External","Core")</f>
        <v>Core</v>
      </c>
    </row>
    <row r="147" customFormat="false" ht="15" hidden="false" customHeight="false" outlineLevel="0" collapsed="false">
      <c r="A147" s="243" t="s">
        <v>1339</v>
      </c>
      <c r="B147" s="243" t="s">
        <v>233</v>
      </c>
      <c r="C147" s="522" t="s">
        <v>37</v>
      </c>
      <c r="D147" s="243" t="s">
        <v>1340</v>
      </c>
      <c r="E147" s="243" t="s">
        <v>1341</v>
      </c>
      <c r="F147" s="243" t="s">
        <v>1342</v>
      </c>
      <c r="G147" s="243" t="s">
        <v>1343</v>
      </c>
      <c r="H147" s="243" t="s">
        <v>4</v>
      </c>
      <c r="I147" s="243" t="s">
        <v>1344</v>
      </c>
      <c r="J147" s="243" t="s">
        <v>1345</v>
      </c>
      <c r="K147" s="243" t="s">
        <v>137</v>
      </c>
      <c r="L147" s="243" t="s">
        <v>1</v>
      </c>
      <c r="M147" s="243" t="s">
        <v>1</v>
      </c>
      <c r="N147" s="243" t="s">
        <v>1</v>
      </c>
      <c r="O147" s="243" t="s">
        <v>1346</v>
      </c>
      <c r="P147" s="243" t="s">
        <v>1347</v>
      </c>
      <c r="Q147" s="243" t="s">
        <v>1</v>
      </c>
      <c r="R147" s="243" t="s">
        <v>1348</v>
      </c>
      <c r="S147" s="243" t="s">
        <v>106</v>
      </c>
      <c r="T147" s="146" t="str">
        <f>IF(OR(ISNUMBER(SEARCH("FAIL",K147&amp;" "&amp;Q147)),ISNUMBER(SEARCH("CLEAN RETEST REQUIRED",K147&amp;" "&amp;Q147))),"Failed",IF(OR(ISNUMBER(SEARCH("NOT RUN",K147&amp;" "&amp;Q147)),ISNUMBER(SEARCH("NOT IMPLEMENTED",K147&amp;" "&amp;Q147))),"Not started",IF(OR(ISNUMBER(SEARCH("PARTIAL",K147&amp;" "&amp;Q147)),ISNUMBER(SEARCH("PENDING",K147&amp;" "&amp;Q147)),ISNUMBER(SEARCH("IN PROGRESS",K147&amp;" "&amp;Q147)),ISNUMBER(SEARCH("OPEN",K147&amp;" "&amp;Q147)),ISNUMBER(SEARCH("RETEST REQUIRED",K147&amp;" "&amp;Q147)),ISNUMBER(SEARCH("IMPLEMENTATION UPDATED",K147&amp;" "&amp;Q147)),ISNUMBER(SEARCH("REQUIRED EVERY SESSION",K147&amp;" "&amp;Q147))),"Pending",IF(OR(Q147="PASS",ISNUMBER(SEARCH("PASS",K147&amp;" "&amp;Q147))),"Done","Pending"))))</f>
        <v>Not started</v>
      </c>
      <c r="U147" s="146" t="str">
        <f>IF(OR(C147="Admin optional",LEFT(A147,9)="OPERATOR-",LEFT(A147,8)="PAYMENT-",LEFT(A147,7)="DEPLOY-"),"External","Core")</f>
        <v>External</v>
      </c>
    </row>
    <row r="148" customFormat="false" ht="15" hidden="false" customHeight="false" outlineLevel="0" collapsed="false">
      <c r="A148" s="243" t="s">
        <v>1349</v>
      </c>
      <c r="B148" s="243" t="s">
        <v>233</v>
      </c>
      <c r="C148" s="522" t="s">
        <v>37</v>
      </c>
      <c r="D148" s="243" t="s">
        <v>1340</v>
      </c>
      <c r="E148" s="243" t="s">
        <v>1350</v>
      </c>
      <c r="F148" s="243" t="s">
        <v>1351</v>
      </c>
      <c r="G148" s="243" t="s">
        <v>1352</v>
      </c>
      <c r="H148" s="243" t="s">
        <v>4</v>
      </c>
      <c r="I148" s="243" t="s">
        <v>4</v>
      </c>
      <c r="J148" s="243" t="s">
        <v>1353</v>
      </c>
      <c r="K148" s="243" t="s">
        <v>137</v>
      </c>
      <c r="L148" s="243" t="s">
        <v>1</v>
      </c>
      <c r="M148" s="243" t="s">
        <v>1</v>
      </c>
      <c r="N148" s="243" t="s">
        <v>1</v>
      </c>
      <c r="O148" s="243" t="s">
        <v>1354</v>
      </c>
      <c r="P148" s="243" t="s">
        <v>1355</v>
      </c>
      <c r="Q148" s="243" t="s">
        <v>1</v>
      </c>
      <c r="R148" s="243" t="s">
        <v>1356</v>
      </c>
      <c r="S148" s="243" t="s">
        <v>106</v>
      </c>
      <c r="T148" s="146" t="str">
        <f>IF(OR(ISNUMBER(SEARCH("FAIL",K148&amp;" "&amp;Q148)),ISNUMBER(SEARCH("CLEAN RETEST REQUIRED",K148&amp;" "&amp;Q148))),"Failed",IF(OR(ISNUMBER(SEARCH("NOT RUN",K148&amp;" "&amp;Q148)),ISNUMBER(SEARCH("NOT IMPLEMENTED",K148&amp;" "&amp;Q148))),"Not started",IF(OR(ISNUMBER(SEARCH("PARTIAL",K148&amp;" "&amp;Q148)),ISNUMBER(SEARCH("PENDING",K148&amp;" "&amp;Q148)),ISNUMBER(SEARCH("IN PROGRESS",K148&amp;" "&amp;Q148)),ISNUMBER(SEARCH("OPEN",K148&amp;" "&amp;Q148)),ISNUMBER(SEARCH("RETEST REQUIRED",K148&amp;" "&amp;Q148)),ISNUMBER(SEARCH("IMPLEMENTATION UPDATED",K148&amp;" "&amp;Q148)),ISNUMBER(SEARCH("REQUIRED EVERY SESSION",K148&amp;" "&amp;Q148))),"Pending",IF(OR(Q148="PASS",ISNUMBER(SEARCH("PASS",K148&amp;" "&amp;Q148))),"Done","Pending"))))</f>
        <v>Not started</v>
      </c>
      <c r="U148" s="146" t="str">
        <f>IF(OR(C148="Admin optional",LEFT(A148,9)="OPERATOR-",LEFT(A148,8)="PAYMENT-",LEFT(A148,7)="DEPLOY-"),"External","Core")</f>
        <v>External</v>
      </c>
    </row>
    <row r="149" customFormat="false" ht="15" hidden="false" customHeight="false" outlineLevel="0" collapsed="false">
      <c r="A149" s="243" t="s">
        <v>1357</v>
      </c>
      <c r="B149" s="243" t="s">
        <v>1358</v>
      </c>
      <c r="C149" s="522" t="s">
        <v>37</v>
      </c>
      <c r="D149" s="243" t="s">
        <v>1359</v>
      </c>
      <c r="E149" s="243" t="s">
        <v>1360</v>
      </c>
      <c r="F149" s="243" t="s">
        <v>4</v>
      </c>
      <c r="G149" s="243" t="s">
        <v>1361</v>
      </c>
      <c r="H149" s="243" t="s">
        <v>4</v>
      </c>
      <c r="I149" s="243" t="s">
        <v>4</v>
      </c>
      <c r="J149" s="243" t="s">
        <v>1362</v>
      </c>
      <c r="K149" s="243" t="s">
        <v>137</v>
      </c>
      <c r="L149" s="243" t="s">
        <v>1</v>
      </c>
      <c r="M149" s="243" t="s">
        <v>1</v>
      </c>
      <c r="N149" s="243" t="s">
        <v>1</v>
      </c>
      <c r="O149" s="243" t="s">
        <v>1363</v>
      </c>
      <c r="P149" s="243" t="s">
        <v>1364</v>
      </c>
      <c r="Q149" s="243" t="s">
        <v>1</v>
      </c>
      <c r="R149" s="243" t="s">
        <v>1365</v>
      </c>
      <c r="S149" s="243" t="s">
        <v>106</v>
      </c>
      <c r="T149" s="146" t="str">
        <f>IF(OR(ISNUMBER(SEARCH("FAIL",K149&amp;" "&amp;Q149)),ISNUMBER(SEARCH("CLEAN RETEST REQUIRED",K149&amp;" "&amp;Q149))),"Failed",IF(OR(ISNUMBER(SEARCH("NOT RUN",K149&amp;" "&amp;Q149)),ISNUMBER(SEARCH("NOT IMPLEMENTED",K149&amp;" "&amp;Q149))),"Not started",IF(OR(ISNUMBER(SEARCH("PARTIAL",K149&amp;" "&amp;Q149)),ISNUMBER(SEARCH("PENDING",K149&amp;" "&amp;Q149)),ISNUMBER(SEARCH("IN PROGRESS",K149&amp;" "&amp;Q149)),ISNUMBER(SEARCH("OPEN",K149&amp;" "&amp;Q149)),ISNUMBER(SEARCH("RETEST REQUIRED",K149&amp;" "&amp;Q149)),ISNUMBER(SEARCH("IMPLEMENTATION UPDATED",K149&amp;" "&amp;Q149)),ISNUMBER(SEARCH("REQUIRED EVERY SESSION",K149&amp;" "&amp;Q149))),"Pending",IF(OR(Q149="PASS",ISNUMBER(SEARCH("PASS",K149&amp;" "&amp;Q149))),"Done","Pending"))))</f>
        <v>Not started</v>
      </c>
      <c r="U149" s="146" t="str">
        <f>IF(OR(C149="Admin optional",LEFT(A149,9)="OPERATOR-",LEFT(A149,8)="PAYMENT-",LEFT(A149,7)="DEPLOY-"),"External","Core")</f>
        <v>External</v>
      </c>
    </row>
    <row r="150" customFormat="false" ht="15" hidden="false" customHeight="false" outlineLevel="0" collapsed="false">
      <c r="A150" s="243" t="s">
        <v>1366</v>
      </c>
      <c r="B150" s="243" t="s">
        <v>1358</v>
      </c>
      <c r="C150" s="522" t="s">
        <v>37</v>
      </c>
      <c r="D150" s="243" t="s">
        <v>1367</v>
      </c>
      <c r="E150" s="243" t="s">
        <v>1368</v>
      </c>
      <c r="F150" s="243" t="s">
        <v>4</v>
      </c>
      <c r="G150" s="243" t="s">
        <v>1369</v>
      </c>
      <c r="H150" s="243" t="s">
        <v>4</v>
      </c>
      <c r="I150" s="243" t="s">
        <v>4</v>
      </c>
      <c r="J150" s="243" t="s">
        <v>1370</v>
      </c>
      <c r="K150" s="243" t="s">
        <v>137</v>
      </c>
      <c r="L150" s="243" t="s">
        <v>1</v>
      </c>
      <c r="M150" s="243" t="s">
        <v>1</v>
      </c>
      <c r="N150" s="243" t="s">
        <v>1</v>
      </c>
      <c r="O150" s="243" t="s">
        <v>1371</v>
      </c>
      <c r="P150" s="243" t="s">
        <v>1372</v>
      </c>
      <c r="Q150" s="243" t="s">
        <v>1</v>
      </c>
      <c r="R150" s="243" t="s">
        <v>1373</v>
      </c>
      <c r="S150" s="243" t="s">
        <v>1374</v>
      </c>
      <c r="T150" s="146" t="str">
        <f>IF(OR(ISNUMBER(SEARCH("FAIL",K150&amp;" "&amp;Q150)),ISNUMBER(SEARCH("CLEAN RETEST REQUIRED",K150&amp;" "&amp;Q150))),"Failed",IF(OR(ISNUMBER(SEARCH("NOT RUN",K150&amp;" "&amp;Q150)),ISNUMBER(SEARCH("NOT IMPLEMENTED",K150&amp;" "&amp;Q150))),"Not started",IF(OR(ISNUMBER(SEARCH("PARTIAL",K150&amp;" "&amp;Q150)),ISNUMBER(SEARCH("PENDING",K150&amp;" "&amp;Q150)),ISNUMBER(SEARCH("IN PROGRESS",K150&amp;" "&amp;Q150)),ISNUMBER(SEARCH("OPEN",K150&amp;" "&amp;Q150)),ISNUMBER(SEARCH("RETEST REQUIRED",K150&amp;" "&amp;Q150)),ISNUMBER(SEARCH("IMPLEMENTATION UPDATED",K150&amp;" "&amp;Q150)),ISNUMBER(SEARCH("REQUIRED EVERY SESSION",K150&amp;" "&amp;Q150))),"Pending",IF(OR(Q150="PASS",ISNUMBER(SEARCH("PASS",K150&amp;" "&amp;Q150))),"Done","Pending"))))</f>
        <v>Not started</v>
      </c>
      <c r="U150" s="146" t="str">
        <f>IF(OR(C150="Admin optional",LEFT(A150,9)="OPERATOR-",LEFT(A150,8)="PAYMENT-",LEFT(A150,7)="DEPLOY-"),"External","Core")</f>
        <v>External</v>
      </c>
    </row>
    <row r="151" customFormat="false" ht="15" hidden="false" customHeight="false" outlineLevel="0" collapsed="false">
      <c r="A151" s="243" t="s">
        <v>1375</v>
      </c>
      <c r="B151" s="243" t="s">
        <v>1358</v>
      </c>
      <c r="C151" s="522" t="s">
        <v>37</v>
      </c>
      <c r="D151" s="243" t="s">
        <v>1376</v>
      </c>
      <c r="E151" s="243" t="s">
        <v>1377</v>
      </c>
      <c r="F151" s="243" t="s">
        <v>4</v>
      </c>
      <c r="G151" s="243" t="s">
        <v>1378</v>
      </c>
      <c r="H151" s="243" t="s">
        <v>4</v>
      </c>
      <c r="I151" s="243" t="s">
        <v>4</v>
      </c>
      <c r="J151" s="243" t="s">
        <v>1379</v>
      </c>
      <c r="K151" s="243" t="s">
        <v>137</v>
      </c>
      <c r="L151" s="243" t="s">
        <v>1</v>
      </c>
      <c r="M151" s="243" t="s">
        <v>1</v>
      </c>
      <c r="N151" s="243" t="s">
        <v>1</v>
      </c>
      <c r="O151" s="243" t="s">
        <v>1380</v>
      </c>
      <c r="P151" s="243" t="s">
        <v>1381</v>
      </c>
      <c r="Q151" s="243" t="s">
        <v>1</v>
      </c>
      <c r="R151" s="243" t="s">
        <v>1382</v>
      </c>
      <c r="S151" s="243" t="s">
        <v>132</v>
      </c>
      <c r="T151" s="146" t="str">
        <f>IF(OR(ISNUMBER(SEARCH("FAIL",K151&amp;" "&amp;Q151)),ISNUMBER(SEARCH("CLEAN RETEST REQUIRED",K151&amp;" "&amp;Q151))),"Failed",IF(OR(ISNUMBER(SEARCH("NOT RUN",K151&amp;" "&amp;Q151)),ISNUMBER(SEARCH("NOT IMPLEMENTED",K151&amp;" "&amp;Q151))),"Not started",IF(OR(ISNUMBER(SEARCH("PARTIAL",K151&amp;" "&amp;Q151)),ISNUMBER(SEARCH("PENDING",K151&amp;" "&amp;Q151)),ISNUMBER(SEARCH("IN PROGRESS",K151&amp;" "&amp;Q151)),ISNUMBER(SEARCH("OPEN",K151&amp;" "&amp;Q151)),ISNUMBER(SEARCH("RETEST REQUIRED",K151&amp;" "&amp;Q151)),ISNUMBER(SEARCH("IMPLEMENTATION UPDATED",K151&amp;" "&amp;Q151)),ISNUMBER(SEARCH("REQUIRED EVERY SESSION",K151&amp;" "&amp;Q151))),"Pending",IF(OR(Q151="PASS",ISNUMBER(SEARCH("PASS",K151&amp;" "&amp;Q151))),"Done","Pending"))))</f>
        <v>Not started</v>
      </c>
      <c r="U151" s="146" t="str">
        <f>IF(OR(C151="Admin optional",LEFT(A151,9)="OPERATOR-",LEFT(A151,8)="PAYMENT-",LEFT(A151,7)="DEPLOY-"),"External","Core")</f>
        <v>External</v>
      </c>
    </row>
    <row r="152" customFormat="false" ht="15" hidden="false" customHeight="false" outlineLevel="0" collapsed="false">
      <c r="A152" s="243" t="s">
        <v>1383</v>
      </c>
      <c r="B152" s="243" t="s">
        <v>1358</v>
      </c>
      <c r="C152" s="522" t="s">
        <v>37</v>
      </c>
      <c r="D152" s="243" t="s">
        <v>1384</v>
      </c>
      <c r="E152" s="243" t="s">
        <v>1385</v>
      </c>
      <c r="F152" s="243" t="s">
        <v>4</v>
      </c>
      <c r="G152" s="243" t="s">
        <v>1386</v>
      </c>
      <c r="H152" s="243" t="s">
        <v>4</v>
      </c>
      <c r="I152" s="243" t="s">
        <v>4</v>
      </c>
      <c r="J152" s="243" t="s">
        <v>1387</v>
      </c>
      <c r="K152" s="243" t="s">
        <v>137</v>
      </c>
      <c r="L152" s="243" t="s">
        <v>1</v>
      </c>
      <c r="M152" s="243" t="s">
        <v>1</v>
      </c>
      <c r="N152" s="243" t="s">
        <v>1</v>
      </c>
      <c r="O152" s="243" t="s">
        <v>1388</v>
      </c>
      <c r="P152" s="243" t="s">
        <v>1389</v>
      </c>
      <c r="Q152" s="243" t="s">
        <v>1</v>
      </c>
      <c r="R152" s="243" t="s">
        <v>1390</v>
      </c>
      <c r="S152" s="243" t="s">
        <v>392</v>
      </c>
      <c r="T152" s="146" t="str">
        <f>IF(OR(ISNUMBER(SEARCH("FAIL",K152&amp;" "&amp;Q152)),ISNUMBER(SEARCH("CLEAN RETEST REQUIRED",K152&amp;" "&amp;Q152))),"Failed",IF(OR(ISNUMBER(SEARCH("NOT RUN",K152&amp;" "&amp;Q152)),ISNUMBER(SEARCH("NOT IMPLEMENTED",K152&amp;" "&amp;Q152))),"Not started",IF(OR(ISNUMBER(SEARCH("PARTIAL",K152&amp;" "&amp;Q152)),ISNUMBER(SEARCH("PENDING",K152&amp;" "&amp;Q152)),ISNUMBER(SEARCH("IN PROGRESS",K152&amp;" "&amp;Q152)),ISNUMBER(SEARCH("OPEN",K152&amp;" "&amp;Q152)),ISNUMBER(SEARCH("RETEST REQUIRED",K152&amp;" "&amp;Q152)),ISNUMBER(SEARCH("IMPLEMENTATION UPDATED",K152&amp;" "&amp;Q152)),ISNUMBER(SEARCH("REQUIRED EVERY SESSION",K152&amp;" "&amp;Q152))),"Pending",IF(OR(Q152="PASS",ISNUMBER(SEARCH("PASS",K152&amp;" "&amp;Q152))),"Done","Pending"))))</f>
        <v>Not started</v>
      </c>
      <c r="U152" s="146" t="str">
        <f>IF(OR(C152="Admin optional",LEFT(A152,9)="OPERATOR-",LEFT(A152,8)="PAYMENT-",LEFT(A152,7)="DEPLOY-"),"External","Core")</f>
        <v>External</v>
      </c>
    </row>
    <row r="153" customFormat="false" ht="15" hidden="false" customHeight="false" outlineLevel="0" collapsed="false">
      <c r="A153" s="243" t="s">
        <v>1391</v>
      </c>
      <c r="B153" s="243" t="s">
        <v>1358</v>
      </c>
      <c r="C153" s="522" t="s">
        <v>37</v>
      </c>
      <c r="D153" s="243" t="s">
        <v>1392</v>
      </c>
      <c r="E153" s="243" t="s">
        <v>1393</v>
      </c>
      <c r="F153" s="243" t="s">
        <v>1394</v>
      </c>
      <c r="G153" s="243" t="s">
        <v>1395</v>
      </c>
      <c r="H153" s="243" t="s">
        <v>4</v>
      </c>
      <c r="I153" s="243" t="s">
        <v>4</v>
      </c>
      <c r="J153" s="243" t="s">
        <v>1396</v>
      </c>
      <c r="K153" s="243" t="s">
        <v>137</v>
      </c>
      <c r="L153" s="243" t="s">
        <v>1</v>
      </c>
      <c r="M153" s="243" t="s">
        <v>1</v>
      </c>
      <c r="N153" s="243" t="s">
        <v>1</v>
      </c>
      <c r="O153" s="243" t="s">
        <v>1397</v>
      </c>
      <c r="P153" s="243" t="s">
        <v>1398</v>
      </c>
      <c r="Q153" s="243" t="s">
        <v>1</v>
      </c>
      <c r="R153" s="243" t="s">
        <v>1399</v>
      </c>
      <c r="S153" s="243" t="s">
        <v>843</v>
      </c>
      <c r="T153" s="146" t="str">
        <f>IF(OR(ISNUMBER(SEARCH("FAIL",K153&amp;" "&amp;Q153)),ISNUMBER(SEARCH("CLEAN RETEST REQUIRED",K153&amp;" "&amp;Q153))),"Failed",IF(OR(ISNUMBER(SEARCH("NOT RUN",K153&amp;" "&amp;Q153)),ISNUMBER(SEARCH("NOT IMPLEMENTED",K153&amp;" "&amp;Q153))),"Not started",IF(OR(ISNUMBER(SEARCH("PARTIAL",K153&amp;" "&amp;Q153)),ISNUMBER(SEARCH("PENDING",K153&amp;" "&amp;Q153)),ISNUMBER(SEARCH("IN PROGRESS",K153&amp;" "&amp;Q153)),ISNUMBER(SEARCH("OPEN",K153&amp;" "&amp;Q153)),ISNUMBER(SEARCH("RETEST REQUIRED",K153&amp;" "&amp;Q153)),ISNUMBER(SEARCH("IMPLEMENTATION UPDATED",K153&amp;" "&amp;Q153)),ISNUMBER(SEARCH("REQUIRED EVERY SESSION",K153&amp;" "&amp;Q153))),"Pending",IF(OR(Q153="PASS",ISNUMBER(SEARCH("PASS",K153&amp;" "&amp;Q153))),"Done","Pending"))))</f>
        <v>Not started</v>
      </c>
      <c r="U153" s="146" t="str">
        <f>IF(OR(C153="Admin optional",LEFT(A153,9)="OPERATOR-",LEFT(A153,8)="PAYMENT-",LEFT(A153,7)="DEPLOY-"),"External","Core")</f>
        <v>External</v>
      </c>
    </row>
    <row r="154" customFormat="false" ht="15" hidden="false" customHeight="false" outlineLevel="0" collapsed="false">
      <c r="A154" s="243" t="s">
        <v>1400</v>
      </c>
      <c r="B154" s="243" t="s">
        <v>1358</v>
      </c>
      <c r="C154" s="522" t="s">
        <v>37</v>
      </c>
      <c r="D154" s="243" t="s">
        <v>1401</v>
      </c>
      <c r="E154" s="243" t="s">
        <v>1402</v>
      </c>
      <c r="F154" s="243" t="s">
        <v>4</v>
      </c>
      <c r="G154" s="243" t="s">
        <v>1403</v>
      </c>
      <c r="H154" s="243" t="s">
        <v>4</v>
      </c>
      <c r="I154" s="243" t="s">
        <v>4</v>
      </c>
      <c r="J154" s="243" t="s">
        <v>1404</v>
      </c>
      <c r="K154" s="243" t="s">
        <v>137</v>
      </c>
      <c r="L154" s="243" t="s">
        <v>1</v>
      </c>
      <c r="M154" s="243" t="s">
        <v>1</v>
      </c>
      <c r="N154" s="243" t="s">
        <v>1</v>
      </c>
      <c r="O154" s="243" t="s">
        <v>1405</v>
      </c>
      <c r="P154" s="243" t="s">
        <v>1406</v>
      </c>
      <c r="Q154" s="243" t="s">
        <v>1</v>
      </c>
      <c r="R154" s="243" t="s">
        <v>1407</v>
      </c>
      <c r="S154" s="243" t="s">
        <v>392</v>
      </c>
      <c r="T154" s="146" t="str">
        <f>IF(OR(ISNUMBER(SEARCH("FAIL",K154&amp;" "&amp;Q154)),ISNUMBER(SEARCH("CLEAN RETEST REQUIRED",K154&amp;" "&amp;Q154))),"Failed",IF(OR(ISNUMBER(SEARCH("NOT RUN",K154&amp;" "&amp;Q154)),ISNUMBER(SEARCH("NOT IMPLEMENTED",K154&amp;" "&amp;Q154))),"Not started",IF(OR(ISNUMBER(SEARCH("PARTIAL",K154&amp;" "&amp;Q154)),ISNUMBER(SEARCH("PENDING",K154&amp;" "&amp;Q154)),ISNUMBER(SEARCH("IN PROGRESS",K154&amp;" "&amp;Q154)),ISNUMBER(SEARCH("OPEN",K154&amp;" "&amp;Q154)),ISNUMBER(SEARCH("RETEST REQUIRED",K154&amp;" "&amp;Q154)),ISNUMBER(SEARCH("IMPLEMENTATION UPDATED",K154&amp;" "&amp;Q154)),ISNUMBER(SEARCH("REQUIRED EVERY SESSION",K154&amp;" "&amp;Q154))),"Pending",IF(OR(Q154="PASS",ISNUMBER(SEARCH("PASS",K154&amp;" "&amp;Q154))),"Done","Pending"))))</f>
        <v>Not started</v>
      </c>
      <c r="U154" s="146" t="str">
        <f>IF(OR(C154="Admin optional",LEFT(A154,9)="OPERATOR-",LEFT(A154,8)="PAYMENT-",LEFT(A154,7)="DEPLOY-"),"External","Core")</f>
        <v>External</v>
      </c>
    </row>
    <row r="155" customFormat="false" ht="15" hidden="false" customHeight="false" outlineLevel="0" collapsed="false">
      <c r="A155" s="243" t="s">
        <v>1408</v>
      </c>
      <c r="B155" s="243" t="s">
        <v>1358</v>
      </c>
      <c r="C155" s="522" t="s">
        <v>37</v>
      </c>
      <c r="D155" s="243" t="s">
        <v>1409</v>
      </c>
      <c r="E155" s="243" t="s">
        <v>1410</v>
      </c>
      <c r="F155" s="243" t="s">
        <v>1211</v>
      </c>
      <c r="G155" s="243" t="s">
        <v>1411</v>
      </c>
      <c r="H155" s="243" t="s">
        <v>4</v>
      </c>
      <c r="I155" s="243" t="s">
        <v>1412</v>
      </c>
      <c r="J155" s="243" t="s">
        <v>1413</v>
      </c>
      <c r="K155" s="243" t="s">
        <v>137</v>
      </c>
      <c r="L155" s="243" t="s">
        <v>1</v>
      </c>
      <c r="M155" s="243" t="s">
        <v>1</v>
      </c>
      <c r="N155" s="243" t="s">
        <v>1</v>
      </c>
      <c r="O155" s="243" t="s">
        <v>1414</v>
      </c>
      <c r="P155" s="243" t="s">
        <v>1415</v>
      </c>
      <c r="Q155" s="243" t="s">
        <v>1</v>
      </c>
      <c r="R155" s="243" t="s">
        <v>1416</v>
      </c>
      <c r="S155" s="243" t="s">
        <v>106</v>
      </c>
      <c r="T155" s="146" t="str">
        <f>IF(OR(ISNUMBER(SEARCH("FAIL",K155&amp;" "&amp;Q155)),ISNUMBER(SEARCH("CLEAN RETEST REQUIRED",K155&amp;" "&amp;Q155))),"Failed",IF(OR(ISNUMBER(SEARCH("NOT RUN",K155&amp;" "&amp;Q155)),ISNUMBER(SEARCH("NOT IMPLEMENTED",K155&amp;" "&amp;Q155))),"Not started",IF(OR(ISNUMBER(SEARCH("PARTIAL",K155&amp;" "&amp;Q155)),ISNUMBER(SEARCH("PENDING",K155&amp;" "&amp;Q155)),ISNUMBER(SEARCH("IN PROGRESS",K155&amp;" "&amp;Q155)),ISNUMBER(SEARCH("OPEN",K155&amp;" "&amp;Q155)),ISNUMBER(SEARCH("RETEST REQUIRED",K155&amp;" "&amp;Q155)),ISNUMBER(SEARCH("IMPLEMENTATION UPDATED",K155&amp;" "&amp;Q155)),ISNUMBER(SEARCH("REQUIRED EVERY SESSION",K155&amp;" "&amp;Q155))),"Pending",IF(OR(Q155="PASS",ISNUMBER(SEARCH("PASS",K155&amp;" "&amp;Q155))),"Done","Pending"))))</f>
        <v>Not started</v>
      </c>
      <c r="U155" s="146" t="str">
        <f>IF(OR(C155="Admin optional",LEFT(A155,9)="OPERATOR-",LEFT(A155,8)="PAYMENT-",LEFT(A155,7)="DEPLOY-"),"External","Core")</f>
        <v>External</v>
      </c>
    </row>
    <row r="156" customFormat="false" ht="15" hidden="false" customHeight="false" outlineLevel="0" collapsed="false">
      <c r="A156" s="243" t="s">
        <v>1417</v>
      </c>
      <c r="B156" s="243" t="s">
        <v>233</v>
      </c>
      <c r="C156" s="522" t="s">
        <v>37</v>
      </c>
      <c r="D156" s="243" t="s">
        <v>1418</v>
      </c>
      <c r="E156" s="243" t="s">
        <v>1419</v>
      </c>
      <c r="F156" s="243" t="s">
        <v>1420</v>
      </c>
      <c r="G156" s="243" t="s">
        <v>1421</v>
      </c>
      <c r="H156" s="243" t="s">
        <v>4</v>
      </c>
      <c r="I156" s="243" t="s">
        <v>1422</v>
      </c>
      <c r="J156" s="243" t="s">
        <v>1423</v>
      </c>
      <c r="K156" s="243" t="s">
        <v>137</v>
      </c>
      <c r="L156" s="243" t="s">
        <v>1</v>
      </c>
      <c r="M156" s="243" t="s">
        <v>1</v>
      </c>
      <c r="N156" s="243" t="s">
        <v>1</v>
      </c>
      <c r="O156" s="243" t="s">
        <v>1424</v>
      </c>
      <c r="P156" s="243" t="s">
        <v>1425</v>
      </c>
      <c r="Q156" s="243" t="s">
        <v>1</v>
      </c>
      <c r="R156" s="243" t="s">
        <v>1426</v>
      </c>
      <c r="S156" s="243" t="s">
        <v>132</v>
      </c>
      <c r="T156" s="146" t="str">
        <f>IF(OR(ISNUMBER(SEARCH("FAIL",K156&amp;" "&amp;Q156)),ISNUMBER(SEARCH("CLEAN RETEST REQUIRED",K156&amp;" "&amp;Q156))),"Failed",IF(OR(ISNUMBER(SEARCH("NOT RUN",K156&amp;" "&amp;Q156)),ISNUMBER(SEARCH("NOT IMPLEMENTED",K156&amp;" "&amp;Q156))),"Not started",IF(OR(ISNUMBER(SEARCH("PARTIAL",K156&amp;" "&amp;Q156)),ISNUMBER(SEARCH("PENDING",K156&amp;" "&amp;Q156)),ISNUMBER(SEARCH("IN PROGRESS",K156&amp;" "&amp;Q156)),ISNUMBER(SEARCH("OPEN",K156&amp;" "&amp;Q156)),ISNUMBER(SEARCH("RETEST REQUIRED",K156&amp;" "&amp;Q156)),ISNUMBER(SEARCH("IMPLEMENTATION UPDATED",K156&amp;" "&amp;Q156)),ISNUMBER(SEARCH("REQUIRED EVERY SESSION",K156&amp;" "&amp;Q156))),"Pending",IF(OR(Q156="PASS",ISNUMBER(SEARCH("PASS",K156&amp;" "&amp;Q156))),"Done","Pending"))))</f>
        <v>Not started</v>
      </c>
      <c r="U156" s="146" t="str">
        <f>IF(OR(C156="Admin optional",LEFT(A156,9)="OPERATOR-",LEFT(A156,8)="PAYMENT-",LEFT(A156,7)="DEPLOY-"),"External","Core")</f>
        <v>External</v>
      </c>
    </row>
    <row r="157" customFormat="false" ht="15" hidden="false" customHeight="false" outlineLevel="0" collapsed="false">
      <c r="A157" s="243" t="s">
        <v>1427</v>
      </c>
      <c r="B157" s="243" t="s">
        <v>233</v>
      </c>
      <c r="C157" s="522" t="s">
        <v>37</v>
      </c>
      <c r="D157" s="243" t="s">
        <v>1418</v>
      </c>
      <c r="E157" s="243" t="s">
        <v>1428</v>
      </c>
      <c r="F157" s="243" t="s">
        <v>1429</v>
      </c>
      <c r="G157" s="243" t="s">
        <v>1430</v>
      </c>
      <c r="H157" s="243" t="s">
        <v>4</v>
      </c>
      <c r="I157" s="243" t="s">
        <v>1431</v>
      </c>
      <c r="J157" s="243" t="s">
        <v>1432</v>
      </c>
      <c r="K157" s="243" t="s">
        <v>137</v>
      </c>
      <c r="L157" s="243" t="s">
        <v>1</v>
      </c>
      <c r="M157" s="243" t="s">
        <v>1</v>
      </c>
      <c r="N157" s="243" t="s">
        <v>1</v>
      </c>
      <c r="O157" s="243" t="s">
        <v>1433</v>
      </c>
      <c r="P157" s="243" t="s">
        <v>1434</v>
      </c>
      <c r="Q157" s="243" t="s">
        <v>1</v>
      </c>
      <c r="R157" s="243" t="s">
        <v>1435</v>
      </c>
      <c r="S157" s="243" t="s">
        <v>392</v>
      </c>
      <c r="T157" s="146" t="str">
        <f>IF(OR(ISNUMBER(SEARCH("FAIL",K157&amp;" "&amp;Q157)),ISNUMBER(SEARCH("CLEAN RETEST REQUIRED",K157&amp;" "&amp;Q157))),"Failed",IF(OR(ISNUMBER(SEARCH("NOT RUN",K157&amp;" "&amp;Q157)),ISNUMBER(SEARCH("NOT IMPLEMENTED",K157&amp;" "&amp;Q157))),"Not started",IF(OR(ISNUMBER(SEARCH("PARTIAL",K157&amp;" "&amp;Q157)),ISNUMBER(SEARCH("PENDING",K157&amp;" "&amp;Q157)),ISNUMBER(SEARCH("IN PROGRESS",K157&amp;" "&amp;Q157)),ISNUMBER(SEARCH("OPEN",K157&amp;" "&amp;Q157)),ISNUMBER(SEARCH("RETEST REQUIRED",K157&amp;" "&amp;Q157)),ISNUMBER(SEARCH("IMPLEMENTATION UPDATED",K157&amp;" "&amp;Q157)),ISNUMBER(SEARCH("REQUIRED EVERY SESSION",K157&amp;" "&amp;Q157))),"Pending",IF(OR(Q157="PASS",ISNUMBER(SEARCH("PASS",K157&amp;" "&amp;Q157))),"Done","Pending"))))</f>
        <v>Not started</v>
      </c>
      <c r="U157" s="146" t="str">
        <f>IF(OR(C157="Admin optional",LEFT(A157,9)="OPERATOR-",LEFT(A157,8)="PAYMENT-",LEFT(A157,7)="DEPLOY-"),"External","Core")</f>
        <v>External</v>
      </c>
    </row>
    <row r="158" customFormat="false" ht="15" hidden="false" customHeight="false" outlineLevel="0" collapsed="false">
      <c r="A158" s="243" t="s">
        <v>1436</v>
      </c>
      <c r="B158" s="243" t="s">
        <v>1437</v>
      </c>
      <c r="C158" s="522" t="s">
        <v>37</v>
      </c>
      <c r="D158" s="243" t="s">
        <v>77</v>
      </c>
      <c r="E158" s="243" t="s">
        <v>1438</v>
      </c>
      <c r="F158" s="243" t="s">
        <v>1439</v>
      </c>
      <c r="G158" s="243" t="s">
        <v>4</v>
      </c>
      <c r="H158" s="243" t="s">
        <v>4</v>
      </c>
      <c r="I158" s="243" t="s">
        <v>4</v>
      </c>
      <c r="J158" s="243" t="s">
        <v>4</v>
      </c>
      <c r="K158" s="243" t="s">
        <v>790</v>
      </c>
      <c r="L158" s="243" t="s">
        <v>1</v>
      </c>
      <c r="M158" s="243" t="s">
        <v>1</v>
      </c>
      <c r="N158" s="243" t="s">
        <v>101</v>
      </c>
      <c r="O158" s="243" t="s">
        <v>1440</v>
      </c>
      <c r="P158" s="243" t="s">
        <v>1441</v>
      </c>
      <c r="Q158" s="243" t="s">
        <v>130</v>
      </c>
      <c r="R158" s="243" t="s">
        <v>1442</v>
      </c>
      <c r="S158" s="243" t="s">
        <v>1443</v>
      </c>
      <c r="T158" s="146" t="str">
        <f>IF(OR(ISNUMBER(SEARCH("FAIL",K158&amp;" "&amp;Q158)),ISNUMBER(SEARCH("CLEAN RETEST REQUIRED",K158&amp;" "&amp;Q158))),"Failed",IF(OR(ISNUMBER(SEARCH("NOT RUN",K158&amp;" "&amp;Q158)),ISNUMBER(SEARCH("NOT IMPLEMENTED",K158&amp;" "&amp;Q158))),"Not started",IF(OR(ISNUMBER(SEARCH("PARTIAL",K158&amp;" "&amp;Q158)),ISNUMBER(SEARCH("PENDING",K158&amp;" "&amp;Q158)),ISNUMBER(SEARCH("IN PROGRESS",K158&amp;" "&amp;Q158)),ISNUMBER(SEARCH("OPEN",K158&amp;" "&amp;Q158)),ISNUMBER(SEARCH("RETEST REQUIRED",K158&amp;" "&amp;Q158)),ISNUMBER(SEARCH("IMPLEMENTATION UPDATED",K158&amp;" "&amp;Q158)),ISNUMBER(SEARCH("REQUIRED EVERY SESSION",K158&amp;" "&amp;Q158))),"Pending",IF(OR(Q158="PASS",ISNUMBER(SEARCH("PASS",K158&amp;" "&amp;Q158))),"Done","Pending"))))</f>
        <v>Done</v>
      </c>
      <c r="U158" s="146" t="str">
        <f>IF(OR(C158="Admin optional",LEFT(A158,9)="OPERATOR-",LEFT(A158,8)="PAYMENT-",LEFT(A158,7)="DEPLOY-"),"External","Core")</f>
        <v>External</v>
      </c>
    </row>
    <row r="159" customFormat="false" ht="15" hidden="false" customHeight="false" outlineLevel="0" collapsed="false">
      <c r="A159" s="243" t="s">
        <v>1444</v>
      </c>
      <c r="B159" s="243" t="s">
        <v>1437</v>
      </c>
      <c r="C159" s="522" t="s">
        <v>37</v>
      </c>
      <c r="D159" s="243" t="s">
        <v>1445</v>
      </c>
      <c r="E159" s="243" t="s">
        <v>1446</v>
      </c>
      <c r="F159" s="243" t="s">
        <v>4</v>
      </c>
      <c r="G159" s="243" t="s">
        <v>1447</v>
      </c>
      <c r="H159" s="243" t="s">
        <v>4</v>
      </c>
      <c r="I159" s="243" t="s">
        <v>4</v>
      </c>
      <c r="J159" s="243" t="s">
        <v>4</v>
      </c>
      <c r="K159" s="243" t="s">
        <v>365</v>
      </c>
      <c r="L159" s="243" t="s">
        <v>1</v>
      </c>
      <c r="M159" s="243" t="s">
        <v>1</v>
      </c>
      <c r="N159" s="243" t="s">
        <v>1</v>
      </c>
      <c r="O159" s="243" t="s">
        <v>1448</v>
      </c>
      <c r="P159" s="243" t="s">
        <v>1449</v>
      </c>
      <c r="Q159" s="243" t="s">
        <v>1</v>
      </c>
      <c r="R159" s="243" t="s">
        <v>1450</v>
      </c>
      <c r="S159" s="243" t="s">
        <v>777</v>
      </c>
      <c r="T159" s="146" t="str">
        <f>IF(OR(ISNUMBER(SEARCH("FAIL",K159&amp;" "&amp;Q159)),ISNUMBER(SEARCH("CLEAN RETEST REQUIRED",K159&amp;" "&amp;Q159))),"Failed",IF(OR(ISNUMBER(SEARCH("NOT RUN",K159&amp;" "&amp;Q159)),ISNUMBER(SEARCH("NOT IMPLEMENTED",K159&amp;" "&amp;Q159))),"Not started",IF(OR(ISNUMBER(SEARCH("PARTIAL",K159&amp;" "&amp;Q159)),ISNUMBER(SEARCH("PENDING",K159&amp;" "&amp;Q159)),ISNUMBER(SEARCH("IN PROGRESS",K159&amp;" "&amp;Q159)),ISNUMBER(SEARCH("OPEN",K159&amp;" "&amp;Q159)),ISNUMBER(SEARCH("RETEST REQUIRED",K159&amp;" "&amp;Q159)),ISNUMBER(SEARCH("IMPLEMENTATION UPDATED",K159&amp;" "&amp;Q159)),ISNUMBER(SEARCH("REQUIRED EVERY SESSION",K159&amp;" "&amp;Q159))),"Pending",IF(OR(Q159="PASS",ISNUMBER(SEARCH("PASS",K159&amp;" "&amp;Q159))),"Done","Pending"))))</f>
        <v>Not started</v>
      </c>
      <c r="U159" s="146" t="str">
        <f>IF(OR(C159="Admin optional",LEFT(A159,9)="OPERATOR-",LEFT(A159,8)="PAYMENT-",LEFT(A159,7)="DEPLOY-"),"External","Core")</f>
        <v>External</v>
      </c>
    </row>
    <row r="160" customFormat="false" ht="15" hidden="false" customHeight="false" outlineLevel="0" collapsed="false">
      <c r="A160" s="243" t="s">
        <v>1451</v>
      </c>
      <c r="B160" s="243" t="s">
        <v>1437</v>
      </c>
      <c r="C160" s="522" t="s">
        <v>37</v>
      </c>
      <c r="D160" s="243" t="s">
        <v>79</v>
      </c>
      <c r="E160" s="243" t="s">
        <v>1452</v>
      </c>
      <c r="F160" s="243" t="s">
        <v>1453</v>
      </c>
      <c r="G160" s="243" t="s">
        <v>4</v>
      </c>
      <c r="H160" s="243" t="s">
        <v>1454</v>
      </c>
      <c r="I160" s="243" t="s">
        <v>4</v>
      </c>
      <c r="J160" s="243" t="s">
        <v>4</v>
      </c>
      <c r="K160" s="243" t="s">
        <v>365</v>
      </c>
      <c r="L160" s="243" t="s">
        <v>1</v>
      </c>
      <c r="M160" s="243" t="s">
        <v>1</v>
      </c>
      <c r="N160" s="243" t="s">
        <v>1</v>
      </c>
      <c r="O160" s="243" t="s">
        <v>1455</v>
      </c>
      <c r="P160" s="243" t="s">
        <v>1456</v>
      </c>
      <c r="Q160" s="243" t="s">
        <v>1</v>
      </c>
      <c r="R160" s="243" t="s">
        <v>1457</v>
      </c>
      <c r="S160" s="243" t="s">
        <v>1458</v>
      </c>
      <c r="T160" s="146" t="str">
        <f>IF(OR(ISNUMBER(SEARCH("FAIL",K160&amp;" "&amp;Q160)),ISNUMBER(SEARCH("CLEAN RETEST REQUIRED",K160&amp;" "&amp;Q160))),"Failed",IF(OR(ISNUMBER(SEARCH("NOT RUN",K160&amp;" "&amp;Q160)),ISNUMBER(SEARCH("NOT IMPLEMENTED",K160&amp;" "&amp;Q160))),"Not started",IF(OR(ISNUMBER(SEARCH("PARTIAL",K160&amp;" "&amp;Q160)),ISNUMBER(SEARCH("PENDING",K160&amp;" "&amp;Q160)),ISNUMBER(SEARCH("IN PROGRESS",K160&amp;" "&amp;Q160)),ISNUMBER(SEARCH("OPEN",K160&amp;" "&amp;Q160)),ISNUMBER(SEARCH("RETEST REQUIRED",K160&amp;" "&amp;Q160)),ISNUMBER(SEARCH("IMPLEMENTATION UPDATED",K160&amp;" "&amp;Q160)),ISNUMBER(SEARCH("REQUIRED EVERY SESSION",K160&amp;" "&amp;Q160))),"Pending",IF(OR(Q160="PASS",ISNUMBER(SEARCH("PASS",K160&amp;" "&amp;Q160))),"Done","Pending"))))</f>
        <v>Not started</v>
      </c>
      <c r="U160" s="146" t="str">
        <f>IF(OR(C160="Admin optional",LEFT(A160,9)="OPERATOR-",LEFT(A160,8)="PAYMENT-",LEFT(A160,7)="DEPLOY-"),"External","Core")</f>
        <v>External</v>
      </c>
    </row>
    <row r="161" customFormat="false" ht="15" hidden="false" customHeight="false" outlineLevel="0" collapsed="false">
      <c r="A161" s="243" t="s">
        <v>1459</v>
      </c>
      <c r="B161" s="243" t="s">
        <v>1460</v>
      </c>
      <c r="C161" s="522" t="s">
        <v>37</v>
      </c>
      <c r="D161" s="243" t="s">
        <v>77</v>
      </c>
      <c r="E161" s="243" t="s">
        <v>1461</v>
      </c>
      <c r="F161" s="243" t="s">
        <v>1462</v>
      </c>
      <c r="G161" s="243" t="s">
        <v>1463</v>
      </c>
      <c r="H161" s="243" t="s">
        <v>1464</v>
      </c>
      <c r="I161" s="243" t="s">
        <v>1465</v>
      </c>
      <c r="J161" s="243" t="s">
        <v>1466</v>
      </c>
      <c r="K161" s="243" t="s">
        <v>1467</v>
      </c>
      <c r="L161" s="243" t="s">
        <v>1</v>
      </c>
      <c r="M161" s="243" t="s">
        <v>1</v>
      </c>
      <c r="N161" s="243" t="s">
        <v>101</v>
      </c>
      <c r="O161" s="243" t="s">
        <v>1468</v>
      </c>
      <c r="P161" s="243" t="s">
        <v>1469</v>
      </c>
      <c r="Q161" s="243" t="s">
        <v>253</v>
      </c>
      <c r="R161" s="243" t="s">
        <v>1470</v>
      </c>
      <c r="S161" s="243" t="s">
        <v>335</v>
      </c>
      <c r="T161" s="146" t="str">
        <f>IF(OR(ISNUMBER(SEARCH("FAIL",K161&amp;" "&amp;Q161)),ISNUMBER(SEARCH("CLEAN RETEST REQUIRED",K161&amp;" "&amp;Q161))),"Failed",IF(OR(ISNUMBER(SEARCH("NOT RUN",K161&amp;" "&amp;Q161)),ISNUMBER(SEARCH("NOT IMPLEMENTED",K161&amp;" "&amp;Q161))),"Not started",IF(OR(ISNUMBER(SEARCH("PARTIAL",K161&amp;" "&amp;Q161)),ISNUMBER(SEARCH("PENDING",K161&amp;" "&amp;Q161)),ISNUMBER(SEARCH("IN PROGRESS",K161&amp;" "&amp;Q161)),ISNUMBER(SEARCH("OPEN",K161&amp;" "&amp;Q161)),ISNUMBER(SEARCH("RETEST REQUIRED",K161&amp;" "&amp;Q161)),ISNUMBER(SEARCH("IMPLEMENTATION UPDATED",K161&amp;" "&amp;Q161)),ISNUMBER(SEARCH("REQUIRED EVERY SESSION",K161&amp;" "&amp;Q161))),"Pending",IF(OR(Q161="PASS",ISNUMBER(SEARCH("PASS",K161&amp;" "&amp;Q161))),"Done","Pending"))))</f>
        <v>Pending</v>
      </c>
      <c r="U161" s="146" t="str">
        <f>IF(OR(C161="Admin optional",LEFT(A161,9)="OPERATOR-",LEFT(A161,8)="PAYMENT-",LEFT(A161,7)="DEPLOY-"),"External","Core")</f>
        <v>External</v>
      </c>
    </row>
    <row r="162" customFormat="false" ht="15" hidden="false" customHeight="false" outlineLevel="0" collapsed="false">
      <c r="A162" s="243" t="s">
        <v>1471</v>
      </c>
      <c r="B162" s="243" t="s">
        <v>1460</v>
      </c>
      <c r="C162" s="522" t="s">
        <v>37</v>
      </c>
      <c r="D162" s="243" t="s">
        <v>77</v>
      </c>
      <c r="E162" s="243" t="s">
        <v>1472</v>
      </c>
      <c r="F162" s="243" t="s">
        <v>1473</v>
      </c>
      <c r="G162" s="243" t="s">
        <v>1474</v>
      </c>
      <c r="H162" s="243" t="s">
        <v>4</v>
      </c>
      <c r="I162" s="243" t="s">
        <v>1475</v>
      </c>
      <c r="J162" s="243" t="s">
        <v>1476</v>
      </c>
      <c r="K162" s="243" t="s">
        <v>264</v>
      </c>
      <c r="L162" s="243" t="s">
        <v>1</v>
      </c>
      <c r="M162" s="243" t="s">
        <v>1</v>
      </c>
      <c r="N162" s="243" t="s">
        <v>509</v>
      </c>
      <c r="O162" s="243" t="s">
        <v>1477</v>
      </c>
      <c r="P162" s="243" t="s">
        <v>1478</v>
      </c>
      <c r="Q162" s="243" t="s">
        <v>130</v>
      </c>
      <c r="R162" s="243" t="s">
        <v>1479</v>
      </c>
      <c r="S162" s="243" t="s">
        <v>1480</v>
      </c>
      <c r="T162" s="146" t="str">
        <f>IF(OR(ISNUMBER(SEARCH("FAIL",K162&amp;" "&amp;Q162)),ISNUMBER(SEARCH("CLEAN RETEST REQUIRED",K162&amp;" "&amp;Q162))),"Failed",IF(OR(ISNUMBER(SEARCH("NOT RUN",K162&amp;" "&amp;Q162)),ISNUMBER(SEARCH("NOT IMPLEMENTED",K162&amp;" "&amp;Q162))),"Not started",IF(OR(ISNUMBER(SEARCH("PARTIAL",K162&amp;" "&amp;Q162)),ISNUMBER(SEARCH("PENDING",K162&amp;" "&amp;Q162)),ISNUMBER(SEARCH("IN PROGRESS",K162&amp;" "&amp;Q162)),ISNUMBER(SEARCH("OPEN",K162&amp;" "&amp;Q162)),ISNUMBER(SEARCH("RETEST REQUIRED",K162&amp;" "&amp;Q162)),ISNUMBER(SEARCH("IMPLEMENTATION UPDATED",K162&amp;" "&amp;Q162)),ISNUMBER(SEARCH("REQUIRED EVERY SESSION",K162&amp;" "&amp;Q162))),"Pending",IF(OR(Q162="PASS",ISNUMBER(SEARCH("PASS",K162&amp;" "&amp;Q162))),"Done","Pending"))))</f>
        <v>Done</v>
      </c>
      <c r="U162" s="146" t="str">
        <f>IF(OR(C162="Admin optional",LEFT(A162,9)="OPERATOR-",LEFT(A162,8)="PAYMENT-",LEFT(A162,7)="DEPLOY-"),"External","Core")</f>
        <v>External</v>
      </c>
    </row>
    <row r="163" customFormat="false" ht="15" hidden="false" customHeight="false" outlineLevel="0" collapsed="false">
      <c r="A163" s="243" t="s">
        <v>1481</v>
      </c>
      <c r="B163" s="243" t="s">
        <v>1460</v>
      </c>
      <c r="C163" s="522" t="s">
        <v>37</v>
      </c>
      <c r="D163" s="243" t="s">
        <v>77</v>
      </c>
      <c r="E163" s="243" t="s">
        <v>1482</v>
      </c>
      <c r="F163" s="243" t="s">
        <v>1483</v>
      </c>
      <c r="G163" s="243" t="s">
        <v>1484</v>
      </c>
      <c r="H163" s="243" t="s">
        <v>765</v>
      </c>
      <c r="I163" s="243" t="s">
        <v>1485</v>
      </c>
      <c r="J163" s="243" t="s">
        <v>1486</v>
      </c>
      <c r="K163" s="243" t="s">
        <v>264</v>
      </c>
      <c r="L163" s="243" t="s">
        <v>1</v>
      </c>
      <c r="M163" s="243" t="s">
        <v>1</v>
      </c>
      <c r="N163" s="243" t="s">
        <v>101</v>
      </c>
      <c r="O163" s="243" t="s">
        <v>1487</v>
      </c>
      <c r="P163" s="243" t="s">
        <v>1488</v>
      </c>
      <c r="Q163" s="243" t="s">
        <v>130</v>
      </c>
      <c r="R163" s="243" t="s">
        <v>1489</v>
      </c>
      <c r="S163" s="243" t="s">
        <v>440</v>
      </c>
      <c r="T163" s="146" t="str">
        <f>IF(OR(ISNUMBER(SEARCH("FAIL",K163&amp;" "&amp;Q163)),ISNUMBER(SEARCH("CLEAN RETEST REQUIRED",K163&amp;" "&amp;Q163))),"Failed",IF(OR(ISNUMBER(SEARCH("NOT RUN",K163&amp;" "&amp;Q163)),ISNUMBER(SEARCH("NOT IMPLEMENTED",K163&amp;" "&amp;Q163))),"Not started",IF(OR(ISNUMBER(SEARCH("PARTIAL",K163&amp;" "&amp;Q163)),ISNUMBER(SEARCH("PENDING",K163&amp;" "&amp;Q163)),ISNUMBER(SEARCH("IN PROGRESS",K163&amp;" "&amp;Q163)),ISNUMBER(SEARCH("OPEN",K163&amp;" "&amp;Q163)),ISNUMBER(SEARCH("RETEST REQUIRED",K163&amp;" "&amp;Q163)),ISNUMBER(SEARCH("IMPLEMENTATION UPDATED",K163&amp;" "&amp;Q163)),ISNUMBER(SEARCH("REQUIRED EVERY SESSION",K163&amp;" "&amp;Q163))),"Pending",IF(OR(Q163="PASS",ISNUMBER(SEARCH("PASS",K163&amp;" "&amp;Q163))),"Done","Pending"))))</f>
        <v>Done</v>
      </c>
      <c r="U163" s="146" t="str">
        <f>IF(OR(C163="Admin optional",LEFT(A163,9)="OPERATOR-",LEFT(A163,8)="PAYMENT-",LEFT(A163,7)="DEPLOY-"),"External","Core")</f>
        <v>External</v>
      </c>
    </row>
    <row r="164" customFormat="false" ht="15" hidden="false" customHeight="false" outlineLevel="0" collapsed="false">
      <c r="A164" s="243" t="s">
        <v>1490</v>
      </c>
      <c r="B164" s="243" t="s">
        <v>1460</v>
      </c>
      <c r="C164" s="522" t="s">
        <v>37</v>
      </c>
      <c r="D164" s="243" t="s">
        <v>77</v>
      </c>
      <c r="E164" s="243" t="s">
        <v>1491</v>
      </c>
      <c r="F164" s="243" t="s">
        <v>1492</v>
      </c>
      <c r="G164" s="243" t="s">
        <v>1493</v>
      </c>
      <c r="H164" s="243" t="s">
        <v>4</v>
      </c>
      <c r="I164" s="243" t="s">
        <v>1465</v>
      </c>
      <c r="J164" s="243" t="s">
        <v>1494</v>
      </c>
      <c r="K164" s="243" t="s">
        <v>365</v>
      </c>
      <c r="L164" s="243" t="s">
        <v>1</v>
      </c>
      <c r="M164" s="243" t="s">
        <v>1</v>
      </c>
      <c r="N164" s="243" t="s">
        <v>1</v>
      </c>
      <c r="O164" s="243" t="s">
        <v>1495</v>
      </c>
      <c r="P164" s="243" t="s">
        <v>1496</v>
      </c>
      <c r="Q164" s="243" t="s">
        <v>1</v>
      </c>
      <c r="R164" s="243" t="s">
        <v>1</v>
      </c>
      <c r="S164" s="243" t="s">
        <v>1497</v>
      </c>
      <c r="T164" s="146" t="str">
        <f>IF(OR(ISNUMBER(SEARCH("FAIL",K164&amp;" "&amp;Q164)),ISNUMBER(SEARCH("CLEAN RETEST REQUIRED",K164&amp;" "&amp;Q164))),"Failed",IF(OR(ISNUMBER(SEARCH("NOT RUN",K164&amp;" "&amp;Q164)),ISNUMBER(SEARCH("NOT IMPLEMENTED",K164&amp;" "&amp;Q164))),"Not started",IF(OR(ISNUMBER(SEARCH("PARTIAL",K164&amp;" "&amp;Q164)),ISNUMBER(SEARCH("PENDING",K164&amp;" "&amp;Q164)),ISNUMBER(SEARCH("IN PROGRESS",K164&amp;" "&amp;Q164)),ISNUMBER(SEARCH("OPEN",K164&amp;" "&amp;Q164)),ISNUMBER(SEARCH("RETEST REQUIRED",K164&amp;" "&amp;Q164)),ISNUMBER(SEARCH("IMPLEMENTATION UPDATED",K164&amp;" "&amp;Q164)),ISNUMBER(SEARCH("REQUIRED EVERY SESSION",K164&amp;" "&amp;Q164))),"Pending",IF(OR(Q164="PASS",ISNUMBER(SEARCH("PASS",K164&amp;" "&amp;Q164))),"Done","Pending"))))</f>
        <v>Not started</v>
      </c>
      <c r="U164" s="146" t="str">
        <f>IF(OR(C164="Admin optional",LEFT(A164,9)="OPERATOR-",LEFT(A164,8)="PAYMENT-",LEFT(A164,7)="DEPLOY-"),"External","Core")</f>
        <v>External</v>
      </c>
    </row>
    <row r="165" customFormat="false" ht="15" hidden="false" customHeight="false" outlineLevel="0" collapsed="false">
      <c r="A165" s="243" t="s">
        <v>1498</v>
      </c>
      <c r="B165" s="243" t="s">
        <v>1460</v>
      </c>
      <c r="C165" s="522" t="s">
        <v>37</v>
      </c>
      <c r="D165" s="243" t="s">
        <v>77</v>
      </c>
      <c r="E165" s="243" t="s">
        <v>1499</v>
      </c>
      <c r="F165" s="243" t="s">
        <v>1500</v>
      </c>
      <c r="G165" s="243" t="s">
        <v>1501</v>
      </c>
      <c r="H165" s="243" t="s">
        <v>4</v>
      </c>
      <c r="I165" s="243" t="s">
        <v>4</v>
      </c>
      <c r="J165" s="243" t="s">
        <v>1502</v>
      </c>
      <c r="K165" s="243" t="s">
        <v>1503</v>
      </c>
      <c r="L165" s="243" t="s">
        <v>1</v>
      </c>
      <c r="M165" s="243" t="s">
        <v>1</v>
      </c>
      <c r="N165" s="243" t="s">
        <v>250</v>
      </c>
      <c r="O165" s="243" t="s">
        <v>1495</v>
      </c>
      <c r="P165" s="243" t="s">
        <v>1504</v>
      </c>
      <c r="Q165" s="243" t="s">
        <v>1</v>
      </c>
      <c r="R165" s="243" t="s">
        <v>1505</v>
      </c>
      <c r="S165" s="243" t="s">
        <v>379</v>
      </c>
      <c r="T165" s="146" t="str">
        <f>IF(OR(ISNUMBER(SEARCH("FAIL",K165&amp;" "&amp;Q165)),ISNUMBER(SEARCH("CLEAN RETEST REQUIRED",K165&amp;" "&amp;Q165))),"Failed",IF(OR(ISNUMBER(SEARCH("NOT RUN",K165&amp;" "&amp;Q165)),ISNUMBER(SEARCH("NOT IMPLEMENTED",K165&amp;" "&amp;Q165))),"Not started",IF(OR(ISNUMBER(SEARCH("PARTIAL",K165&amp;" "&amp;Q165)),ISNUMBER(SEARCH("PENDING",K165&amp;" "&amp;Q165)),ISNUMBER(SEARCH("IN PROGRESS",K165&amp;" "&amp;Q165)),ISNUMBER(SEARCH("OPEN",K165&amp;" "&amp;Q165)),ISNUMBER(SEARCH("RETEST REQUIRED",K165&amp;" "&amp;Q165)),ISNUMBER(SEARCH("IMPLEMENTATION UPDATED",K165&amp;" "&amp;Q165)),ISNUMBER(SEARCH("REQUIRED EVERY SESSION",K165&amp;" "&amp;Q165))),"Pending",IF(OR(Q165="PASS",ISNUMBER(SEARCH("PASS",K165&amp;" "&amp;Q165))),"Done","Pending"))))</f>
        <v>Pending</v>
      </c>
      <c r="U165" s="146" t="str">
        <f>IF(OR(C165="Admin optional",LEFT(A165,9)="OPERATOR-",LEFT(A165,8)="PAYMENT-",LEFT(A165,7)="DEPLOY-"),"External","Core")</f>
        <v>External</v>
      </c>
    </row>
    <row r="166" customFormat="false" ht="15" hidden="false" customHeight="false" outlineLevel="0" collapsed="false">
      <c r="A166" s="243" t="s">
        <v>1506</v>
      </c>
      <c r="B166" s="243" t="s">
        <v>1460</v>
      </c>
      <c r="C166" s="522" t="s">
        <v>37</v>
      </c>
      <c r="D166" s="243" t="s">
        <v>1507</v>
      </c>
      <c r="E166" s="243" t="s">
        <v>1508</v>
      </c>
      <c r="F166" s="243" t="s">
        <v>1509</v>
      </c>
      <c r="G166" s="243" t="s">
        <v>1510</v>
      </c>
      <c r="H166" s="243" t="s">
        <v>1511</v>
      </c>
      <c r="I166" s="243" t="s">
        <v>1512</v>
      </c>
      <c r="J166" s="243" t="s">
        <v>1513</v>
      </c>
      <c r="K166" s="243" t="s">
        <v>1514</v>
      </c>
      <c r="L166" s="243" t="s">
        <v>1</v>
      </c>
      <c r="M166" s="243" t="s">
        <v>1</v>
      </c>
      <c r="N166" s="243" t="s">
        <v>101</v>
      </c>
      <c r="O166" s="243" t="s">
        <v>1515</v>
      </c>
      <c r="P166" s="243" t="s">
        <v>1516</v>
      </c>
      <c r="Q166" s="243" t="s">
        <v>253</v>
      </c>
      <c r="R166" s="243" t="s">
        <v>1517</v>
      </c>
      <c r="S166" s="243" t="s">
        <v>379</v>
      </c>
      <c r="T166" s="146" t="str">
        <f>IF(OR(ISNUMBER(SEARCH("FAIL",K166&amp;" "&amp;Q166)),ISNUMBER(SEARCH("CLEAN RETEST REQUIRED",K166&amp;" "&amp;Q166))),"Failed",IF(OR(ISNUMBER(SEARCH("NOT RUN",K166&amp;" "&amp;Q166)),ISNUMBER(SEARCH("NOT IMPLEMENTED",K166&amp;" "&amp;Q166))),"Not started",IF(OR(ISNUMBER(SEARCH("PARTIAL",K166&amp;" "&amp;Q166)),ISNUMBER(SEARCH("PENDING",K166&amp;" "&amp;Q166)),ISNUMBER(SEARCH("IN PROGRESS",K166&amp;" "&amp;Q166)),ISNUMBER(SEARCH("OPEN",K166&amp;" "&amp;Q166)),ISNUMBER(SEARCH("RETEST REQUIRED",K166&amp;" "&amp;Q166)),ISNUMBER(SEARCH("IMPLEMENTATION UPDATED",K166&amp;" "&amp;Q166)),ISNUMBER(SEARCH("REQUIRED EVERY SESSION",K166&amp;" "&amp;Q166))),"Pending",IF(OR(Q166="PASS",ISNUMBER(SEARCH("PASS",K166&amp;" "&amp;Q166))),"Done","Pending"))))</f>
        <v>Pending</v>
      </c>
      <c r="U166" s="146" t="str">
        <f>IF(OR(C166="Admin optional",LEFT(A166,9)="OPERATOR-",LEFT(A166,8)="PAYMENT-",LEFT(A166,7)="DEPLOY-"),"External","Core")</f>
        <v>External</v>
      </c>
    </row>
    <row r="167" customFormat="false" ht="15" hidden="false" customHeight="false" outlineLevel="0" collapsed="false">
      <c r="A167" s="243" t="s">
        <v>1518</v>
      </c>
      <c r="B167" s="243" t="s">
        <v>1460</v>
      </c>
      <c r="C167" s="522" t="s">
        <v>37</v>
      </c>
      <c r="D167" s="243" t="s">
        <v>1445</v>
      </c>
      <c r="E167" s="243" t="s">
        <v>1519</v>
      </c>
      <c r="F167" s="243" t="s">
        <v>1520</v>
      </c>
      <c r="G167" s="243" t="s">
        <v>1521</v>
      </c>
      <c r="H167" s="243" t="s">
        <v>1522</v>
      </c>
      <c r="I167" s="243" t="s">
        <v>1523</v>
      </c>
      <c r="J167" s="243" t="s">
        <v>1524</v>
      </c>
      <c r="K167" s="243" t="s">
        <v>365</v>
      </c>
      <c r="L167" s="243" t="s">
        <v>1</v>
      </c>
      <c r="M167" s="243" t="s">
        <v>1</v>
      </c>
      <c r="N167" s="243" t="s">
        <v>1</v>
      </c>
      <c r="O167" s="243" t="s">
        <v>1525</v>
      </c>
      <c r="P167" s="243" t="s">
        <v>1526</v>
      </c>
      <c r="Q167" s="243" t="s">
        <v>1</v>
      </c>
      <c r="R167" s="243" t="s">
        <v>1</v>
      </c>
      <c r="S167" s="243" t="s">
        <v>289</v>
      </c>
      <c r="T167" s="146" t="str">
        <f>IF(OR(ISNUMBER(SEARCH("FAIL",K167&amp;" "&amp;Q167)),ISNUMBER(SEARCH("CLEAN RETEST REQUIRED",K167&amp;" "&amp;Q167))),"Failed",IF(OR(ISNUMBER(SEARCH("NOT RUN",K167&amp;" "&amp;Q167)),ISNUMBER(SEARCH("NOT IMPLEMENTED",K167&amp;" "&amp;Q167))),"Not started",IF(OR(ISNUMBER(SEARCH("PARTIAL",K167&amp;" "&amp;Q167)),ISNUMBER(SEARCH("PENDING",K167&amp;" "&amp;Q167)),ISNUMBER(SEARCH("IN PROGRESS",K167&amp;" "&amp;Q167)),ISNUMBER(SEARCH("OPEN",K167&amp;" "&amp;Q167)),ISNUMBER(SEARCH("RETEST REQUIRED",K167&amp;" "&amp;Q167)),ISNUMBER(SEARCH("IMPLEMENTATION UPDATED",K167&amp;" "&amp;Q167)),ISNUMBER(SEARCH("REQUIRED EVERY SESSION",K167&amp;" "&amp;Q167))),"Pending",IF(OR(Q167="PASS",ISNUMBER(SEARCH("PASS",K167&amp;" "&amp;Q167))),"Done","Pending"))))</f>
        <v>Not started</v>
      </c>
      <c r="U167" s="146" t="str">
        <f>IF(OR(C167="Admin optional",LEFT(A167,9)="OPERATOR-",LEFT(A167,8)="PAYMENT-",LEFT(A167,7)="DEPLOY-"),"External","Core")</f>
        <v>External</v>
      </c>
    </row>
    <row r="168" customFormat="false" ht="15" hidden="false" customHeight="false" outlineLevel="0" collapsed="false">
      <c r="A168" s="243" t="s">
        <v>1527</v>
      </c>
      <c r="B168" s="243" t="s">
        <v>1460</v>
      </c>
      <c r="C168" s="522" t="s">
        <v>37</v>
      </c>
      <c r="D168" s="243" t="s">
        <v>1445</v>
      </c>
      <c r="E168" s="243" t="s">
        <v>1528</v>
      </c>
      <c r="F168" s="243" t="s">
        <v>4</v>
      </c>
      <c r="G168" s="243" t="s">
        <v>1529</v>
      </c>
      <c r="H168" s="243" t="s">
        <v>4</v>
      </c>
      <c r="I168" s="243" t="s">
        <v>1530</v>
      </c>
      <c r="J168" s="243" t="s">
        <v>1531</v>
      </c>
      <c r="K168" s="243" t="s">
        <v>1532</v>
      </c>
      <c r="L168" s="243" t="s">
        <v>1</v>
      </c>
      <c r="M168" s="243" t="s">
        <v>1</v>
      </c>
      <c r="N168" s="243" t="s">
        <v>101</v>
      </c>
      <c r="O168" s="243" t="s">
        <v>1533</v>
      </c>
      <c r="P168" s="243" t="s">
        <v>1534</v>
      </c>
      <c r="Q168" s="243" t="s">
        <v>253</v>
      </c>
      <c r="R168" s="243" t="s">
        <v>1535</v>
      </c>
      <c r="S168" s="243" t="s">
        <v>402</v>
      </c>
      <c r="T168" s="146" t="str">
        <f>IF(OR(ISNUMBER(SEARCH("FAIL",K168&amp;" "&amp;Q168)),ISNUMBER(SEARCH("CLEAN RETEST REQUIRED",K168&amp;" "&amp;Q168))),"Failed",IF(OR(ISNUMBER(SEARCH("NOT RUN",K168&amp;" "&amp;Q168)),ISNUMBER(SEARCH("NOT IMPLEMENTED",K168&amp;" "&amp;Q168))),"Not started",IF(OR(ISNUMBER(SEARCH("PARTIAL",K168&amp;" "&amp;Q168)),ISNUMBER(SEARCH("PENDING",K168&amp;" "&amp;Q168)),ISNUMBER(SEARCH("IN PROGRESS",K168&amp;" "&amp;Q168)),ISNUMBER(SEARCH("OPEN",K168&amp;" "&amp;Q168)),ISNUMBER(SEARCH("RETEST REQUIRED",K168&amp;" "&amp;Q168)),ISNUMBER(SEARCH("IMPLEMENTATION UPDATED",K168&amp;" "&amp;Q168)),ISNUMBER(SEARCH("REQUIRED EVERY SESSION",K168&amp;" "&amp;Q168))),"Pending",IF(OR(Q168="PASS",ISNUMBER(SEARCH("PASS",K168&amp;" "&amp;Q168))),"Done","Pending"))))</f>
        <v>Pending</v>
      </c>
      <c r="U168" s="146" t="str">
        <f>IF(OR(C168="Admin optional",LEFT(A168,9)="OPERATOR-",LEFT(A168,8)="PAYMENT-",LEFT(A168,7)="DEPLOY-"),"External","Core")</f>
        <v>External</v>
      </c>
    </row>
    <row r="169" customFormat="false" ht="15" hidden="false" customHeight="false" outlineLevel="0" collapsed="false">
      <c r="A169" s="243" t="s">
        <v>1536</v>
      </c>
      <c r="B169" s="243" t="s">
        <v>1537</v>
      </c>
      <c r="C169" s="522" t="s">
        <v>37</v>
      </c>
      <c r="D169" s="243" t="s">
        <v>1538</v>
      </c>
      <c r="E169" s="243" t="s">
        <v>1539</v>
      </c>
      <c r="F169" s="243" t="s">
        <v>1540</v>
      </c>
      <c r="G169" s="243" t="s">
        <v>1541</v>
      </c>
      <c r="H169" s="243" t="s">
        <v>1540</v>
      </c>
      <c r="I169" s="243" t="s">
        <v>1542</v>
      </c>
      <c r="J169" s="243" t="s">
        <v>1543</v>
      </c>
      <c r="K169" s="243" t="s">
        <v>1544</v>
      </c>
      <c r="L169" s="243" t="s">
        <v>1</v>
      </c>
      <c r="M169" s="243" t="s">
        <v>1</v>
      </c>
      <c r="N169" s="243" t="s">
        <v>1</v>
      </c>
      <c r="O169" s="243" t="s">
        <v>1545</v>
      </c>
      <c r="P169" s="243" t="s">
        <v>1546</v>
      </c>
      <c r="Q169" s="243" t="s">
        <v>1</v>
      </c>
      <c r="R169" s="243" t="s">
        <v>1547</v>
      </c>
      <c r="S169" s="243" t="s">
        <v>323</v>
      </c>
      <c r="T169" s="146" t="str">
        <f>IF(OR(ISNUMBER(SEARCH("FAIL",K169&amp;" "&amp;Q169)),ISNUMBER(SEARCH("CLEAN RETEST REQUIRED",K169&amp;" "&amp;Q169))),"Failed",IF(OR(ISNUMBER(SEARCH("NOT RUN",K169&amp;" "&amp;Q169)),ISNUMBER(SEARCH("NOT IMPLEMENTED",K169&amp;" "&amp;Q169))),"Not started",IF(OR(ISNUMBER(SEARCH("PARTIAL",K169&amp;" "&amp;Q169)),ISNUMBER(SEARCH("PENDING",K169&amp;" "&amp;Q169)),ISNUMBER(SEARCH("IN PROGRESS",K169&amp;" "&amp;Q169)),ISNUMBER(SEARCH("OPEN",K169&amp;" "&amp;Q169)),ISNUMBER(SEARCH("RETEST REQUIRED",K169&amp;" "&amp;Q169)),ISNUMBER(SEARCH("IMPLEMENTATION UPDATED",K169&amp;" "&amp;Q169)),ISNUMBER(SEARCH("REQUIRED EVERY SESSION",K169&amp;" "&amp;Q169))),"Pending",IF(OR(Q169="PASS",ISNUMBER(SEARCH("PASS",K169&amp;" "&amp;Q169))),"Done","Pending"))))</f>
        <v>Not started</v>
      </c>
      <c r="U169" s="146" t="str">
        <f>IF(OR(C169="Admin optional",LEFT(A169,9)="OPERATOR-",LEFT(A169,8)="PAYMENT-",LEFT(A169,7)="DEPLOY-"),"External","Core")</f>
        <v>External</v>
      </c>
    </row>
    <row r="170" customFormat="false" ht="15" hidden="false" customHeight="false" outlineLevel="0" collapsed="false">
      <c r="A170" s="243" t="s">
        <v>1548</v>
      </c>
      <c r="B170" s="243" t="s">
        <v>1537</v>
      </c>
      <c r="C170" s="522" t="s">
        <v>37</v>
      </c>
      <c r="D170" s="243" t="s">
        <v>1538</v>
      </c>
      <c r="E170" s="243" t="s">
        <v>1549</v>
      </c>
      <c r="F170" s="243" t="s">
        <v>4</v>
      </c>
      <c r="G170" s="243" t="s">
        <v>1550</v>
      </c>
      <c r="H170" s="243" t="s">
        <v>1551</v>
      </c>
      <c r="I170" s="243" t="s">
        <v>1552</v>
      </c>
      <c r="J170" s="243" t="s">
        <v>1553</v>
      </c>
      <c r="K170" s="243" t="s">
        <v>365</v>
      </c>
      <c r="L170" s="243" t="s">
        <v>1</v>
      </c>
      <c r="M170" s="243" t="s">
        <v>1</v>
      </c>
      <c r="N170" s="243" t="s">
        <v>1</v>
      </c>
      <c r="O170" s="243" t="s">
        <v>1554</v>
      </c>
      <c r="P170" s="243" t="s">
        <v>1555</v>
      </c>
      <c r="Q170" s="243" t="s">
        <v>1</v>
      </c>
      <c r="R170" s="243" t="s">
        <v>1556</v>
      </c>
      <c r="S170" s="243" t="s">
        <v>402</v>
      </c>
      <c r="T170" s="146" t="str">
        <f>IF(OR(ISNUMBER(SEARCH("FAIL",K170&amp;" "&amp;Q170)),ISNUMBER(SEARCH("CLEAN RETEST REQUIRED",K170&amp;" "&amp;Q170))),"Failed",IF(OR(ISNUMBER(SEARCH("NOT RUN",K170&amp;" "&amp;Q170)),ISNUMBER(SEARCH("NOT IMPLEMENTED",K170&amp;" "&amp;Q170))),"Not started",IF(OR(ISNUMBER(SEARCH("PARTIAL",K170&amp;" "&amp;Q170)),ISNUMBER(SEARCH("PENDING",K170&amp;" "&amp;Q170)),ISNUMBER(SEARCH("IN PROGRESS",K170&amp;" "&amp;Q170)),ISNUMBER(SEARCH("OPEN",K170&amp;" "&amp;Q170)),ISNUMBER(SEARCH("RETEST REQUIRED",K170&amp;" "&amp;Q170)),ISNUMBER(SEARCH("IMPLEMENTATION UPDATED",K170&amp;" "&amp;Q170)),ISNUMBER(SEARCH("REQUIRED EVERY SESSION",K170&amp;" "&amp;Q170))),"Pending",IF(OR(Q170="PASS",ISNUMBER(SEARCH("PASS",K170&amp;" "&amp;Q170))),"Done","Pending"))))</f>
        <v>Not started</v>
      </c>
      <c r="U170" s="146" t="str">
        <f>IF(OR(C170="Admin optional",LEFT(A170,9)="OPERATOR-",LEFT(A170,8)="PAYMENT-",LEFT(A170,7)="DEPLOY-"),"External","Core")</f>
        <v>External</v>
      </c>
    </row>
    <row r="171" customFormat="false" ht="15" hidden="false" customHeight="false" outlineLevel="0" collapsed="false">
      <c r="A171" s="243" t="s">
        <v>1557</v>
      </c>
      <c r="B171" s="243" t="s">
        <v>1558</v>
      </c>
      <c r="C171" s="522" t="s">
        <v>37</v>
      </c>
      <c r="D171" s="243" t="s">
        <v>79</v>
      </c>
      <c r="E171" s="243" t="s">
        <v>1559</v>
      </c>
      <c r="F171" s="243" t="s">
        <v>4</v>
      </c>
      <c r="G171" s="243" t="s">
        <v>4</v>
      </c>
      <c r="H171" s="243" t="s">
        <v>1560</v>
      </c>
      <c r="I171" s="243" t="s">
        <v>4</v>
      </c>
      <c r="J171" s="243" t="s">
        <v>4</v>
      </c>
      <c r="K171" s="243" t="s">
        <v>365</v>
      </c>
      <c r="L171" s="243" t="s">
        <v>1</v>
      </c>
      <c r="M171" s="243" t="s">
        <v>1</v>
      </c>
      <c r="N171" s="243" t="s">
        <v>1</v>
      </c>
      <c r="O171" s="243" t="s">
        <v>1561</v>
      </c>
      <c r="P171" s="243" t="s">
        <v>1562</v>
      </c>
      <c r="Q171" s="243" t="s">
        <v>1</v>
      </c>
      <c r="R171" s="243" t="s">
        <v>1</v>
      </c>
      <c r="S171" s="243" t="s">
        <v>1443</v>
      </c>
      <c r="T171" s="146" t="str">
        <f>IF(OR(ISNUMBER(SEARCH("FAIL",K171&amp;" "&amp;Q171)),ISNUMBER(SEARCH("CLEAN RETEST REQUIRED",K171&amp;" "&amp;Q171))),"Failed",IF(OR(ISNUMBER(SEARCH("NOT RUN",K171&amp;" "&amp;Q171)),ISNUMBER(SEARCH("NOT IMPLEMENTED",K171&amp;" "&amp;Q171))),"Not started",IF(OR(ISNUMBER(SEARCH("PARTIAL",K171&amp;" "&amp;Q171)),ISNUMBER(SEARCH("PENDING",K171&amp;" "&amp;Q171)),ISNUMBER(SEARCH("IN PROGRESS",K171&amp;" "&amp;Q171)),ISNUMBER(SEARCH("OPEN",K171&amp;" "&amp;Q171)),ISNUMBER(SEARCH("RETEST REQUIRED",K171&amp;" "&amp;Q171)),ISNUMBER(SEARCH("IMPLEMENTATION UPDATED",K171&amp;" "&amp;Q171)),ISNUMBER(SEARCH("REQUIRED EVERY SESSION",K171&amp;" "&amp;Q171))),"Pending",IF(OR(Q171="PASS",ISNUMBER(SEARCH("PASS",K171&amp;" "&amp;Q171))),"Done","Pending"))))</f>
        <v>Not started</v>
      </c>
      <c r="U171" s="146" t="str">
        <f>IF(OR(C171="Admin optional",LEFT(A171,9)="OPERATOR-",LEFT(A171,8)="PAYMENT-",LEFT(A171,7)="DEPLOY-"),"External","Core")</f>
        <v>External</v>
      </c>
    </row>
    <row r="172" customFormat="false" ht="15" hidden="false" customHeight="false" outlineLevel="0" collapsed="false">
      <c r="A172" s="243" t="s">
        <v>1563</v>
      </c>
      <c r="B172" s="243" t="s">
        <v>1558</v>
      </c>
      <c r="C172" s="522" t="s">
        <v>37</v>
      </c>
      <c r="D172" s="243" t="s">
        <v>79</v>
      </c>
      <c r="E172" s="243" t="s">
        <v>1564</v>
      </c>
      <c r="F172" s="243" t="s">
        <v>4</v>
      </c>
      <c r="G172" s="243" t="s">
        <v>4</v>
      </c>
      <c r="H172" s="243" t="s">
        <v>1565</v>
      </c>
      <c r="I172" s="243" t="s">
        <v>4</v>
      </c>
      <c r="J172" s="243" t="s">
        <v>1566</v>
      </c>
      <c r="K172" s="243" t="s">
        <v>365</v>
      </c>
      <c r="L172" s="243" t="s">
        <v>1</v>
      </c>
      <c r="M172" s="243" t="s">
        <v>1</v>
      </c>
      <c r="N172" s="243" t="s">
        <v>1</v>
      </c>
      <c r="O172" s="243" t="s">
        <v>1567</v>
      </c>
      <c r="P172" s="243" t="s">
        <v>1568</v>
      </c>
      <c r="Q172" s="243" t="s">
        <v>1</v>
      </c>
      <c r="R172" s="243" t="s">
        <v>1</v>
      </c>
      <c r="S172" s="243" t="s">
        <v>357</v>
      </c>
      <c r="T172" s="146" t="str">
        <f>IF(OR(ISNUMBER(SEARCH("FAIL",K172&amp;" "&amp;Q172)),ISNUMBER(SEARCH("CLEAN RETEST REQUIRED",K172&amp;" "&amp;Q172))),"Failed",IF(OR(ISNUMBER(SEARCH("NOT RUN",K172&amp;" "&amp;Q172)),ISNUMBER(SEARCH("NOT IMPLEMENTED",K172&amp;" "&amp;Q172))),"Not started",IF(OR(ISNUMBER(SEARCH("PARTIAL",K172&amp;" "&amp;Q172)),ISNUMBER(SEARCH("PENDING",K172&amp;" "&amp;Q172)),ISNUMBER(SEARCH("IN PROGRESS",K172&amp;" "&amp;Q172)),ISNUMBER(SEARCH("OPEN",K172&amp;" "&amp;Q172)),ISNUMBER(SEARCH("RETEST REQUIRED",K172&amp;" "&amp;Q172)),ISNUMBER(SEARCH("IMPLEMENTATION UPDATED",K172&amp;" "&amp;Q172)),ISNUMBER(SEARCH("REQUIRED EVERY SESSION",K172&amp;" "&amp;Q172))),"Pending",IF(OR(Q172="PASS",ISNUMBER(SEARCH("PASS",K172&amp;" "&amp;Q172))),"Done","Pending"))))</f>
        <v>Not started</v>
      </c>
      <c r="U172" s="146" t="str">
        <f>IF(OR(C172="Admin optional",LEFT(A172,9)="OPERATOR-",LEFT(A172,8)="PAYMENT-",LEFT(A172,7)="DEPLOY-"),"External","Core")</f>
        <v>External</v>
      </c>
    </row>
    <row r="173" customFormat="false" ht="15" hidden="false" customHeight="false" outlineLevel="0" collapsed="false">
      <c r="A173" s="243" t="s">
        <v>1569</v>
      </c>
      <c r="B173" s="243" t="s">
        <v>1558</v>
      </c>
      <c r="C173" s="522" t="s">
        <v>37</v>
      </c>
      <c r="D173" s="243" t="s">
        <v>79</v>
      </c>
      <c r="E173" s="243" t="s">
        <v>1570</v>
      </c>
      <c r="F173" s="243" t="s">
        <v>1571</v>
      </c>
      <c r="G173" s="243" t="s">
        <v>4</v>
      </c>
      <c r="H173" s="243" t="s">
        <v>1572</v>
      </c>
      <c r="I173" s="243" t="s">
        <v>4</v>
      </c>
      <c r="J173" s="243" t="s">
        <v>4</v>
      </c>
      <c r="K173" s="243" t="s">
        <v>365</v>
      </c>
      <c r="L173" s="243" t="s">
        <v>1</v>
      </c>
      <c r="M173" s="243" t="s">
        <v>1</v>
      </c>
      <c r="N173" s="243" t="s">
        <v>1</v>
      </c>
      <c r="O173" s="243" t="s">
        <v>1573</v>
      </c>
      <c r="P173" s="243" t="s">
        <v>1574</v>
      </c>
      <c r="Q173" s="243" t="s">
        <v>1</v>
      </c>
      <c r="R173" s="243" t="s">
        <v>1</v>
      </c>
      <c r="S173" s="243" t="s">
        <v>1575</v>
      </c>
      <c r="T173" s="146" t="str">
        <f>IF(OR(ISNUMBER(SEARCH("FAIL",K173&amp;" "&amp;Q173)),ISNUMBER(SEARCH("CLEAN RETEST REQUIRED",K173&amp;" "&amp;Q173))),"Failed",IF(OR(ISNUMBER(SEARCH("NOT RUN",K173&amp;" "&amp;Q173)),ISNUMBER(SEARCH("NOT IMPLEMENTED",K173&amp;" "&amp;Q173))),"Not started",IF(OR(ISNUMBER(SEARCH("PARTIAL",K173&amp;" "&amp;Q173)),ISNUMBER(SEARCH("PENDING",K173&amp;" "&amp;Q173)),ISNUMBER(SEARCH("IN PROGRESS",K173&amp;" "&amp;Q173)),ISNUMBER(SEARCH("OPEN",K173&amp;" "&amp;Q173)),ISNUMBER(SEARCH("RETEST REQUIRED",K173&amp;" "&amp;Q173)),ISNUMBER(SEARCH("IMPLEMENTATION UPDATED",K173&amp;" "&amp;Q173)),ISNUMBER(SEARCH("REQUIRED EVERY SESSION",K173&amp;" "&amp;Q173))),"Pending",IF(OR(Q173="PASS",ISNUMBER(SEARCH("PASS",K173&amp;" "&amp;Q173))),"Done","Pending"))))</f>
        <v>Not started</v>
      </c>
      <c r="U173" s="146" t="str">
        <f>IF(OR(C173="Admin optional",LEFT(A173,9)="OPERATOR-",LEFT(A173,8)="PAYMENT-",LEFT(A173,7)="DEPLOY-"),"External","Core")</f>
        <v>External</v>
      </c>
    </row>
    <row r="174" customFormat="false" ht="15" hidden="false" customHeight="false" outlineLevel="0" collapsed="false">
      <c r="A174" s="243" t="s">
        <v>1576</v>
      </c>
      <c r="B174" s="243" t="s">
        <v>1558</v>
      </c>
      <c r="C174" s="522" t="s">
        <v>37</v>
      </c>
      <c r="D174" s="243" t="s">
        <v>79</v>
      </c>
      <c r="E174" s="243" t="s">
        <v>1577</v>
      </c>
      <c r="F174" s="243" t="s">
        <v>4</v>
      </c>
      <c r="G174" s="243" t="s">
        <v>4</v>
      </c>
      <c r="H174" s="243" t="s">
        <v>1578</v>
      </c>
      <c r="I174" s="243" t="s">
        <v>4</v>
      </c>
      <c r="J174" s="243" t="s">
        <v>1579</v>
      </c>
      <c r="K174" s="243" t="s">
        <v>365</v>
      </c>
      <c r="L174" s="243" t="s">
        <v>1</v>
      </c>
      <c r="M174" s="243" t="s">
        <v>1</v>
      </c>
      <c r="N174" s="243" t="s">
        <v>1</v>
      </c>
      <c r="O174" s="243" t="s">
        <v>1580</v>
      </c>
      <c r="P174" s="243" t="s">
        <v>1581</v>
      </c>
      <c r="Q174" s="243" t="s">
        <v>1</v>
      </c>
      <c r="R174" s="243" t="s">
        <v>1</v>
      </c>
      <c r="S174" s="243" t="s">
        <v>1582</v>
      </c>
      <c r="T174" s="146" t="str">
        <f>IF(OR(ISNUMBER(SEARCH("FAIL",K174&amp;" "&amp;Q174)),ISNUMBER(SEARCH("CLEAN RETEST REQUIRED",K174&amp;" "&amp;Q174))),"Failed",IF(OR(ISNUMBER(SEARCH("NOT RUN",K174&amp;" "&amp;Q174)),ISNUMBER(SEARCH("NOT IMPLEMENTED",K174&amp;" "&amp;Q174))),"Not started",IF(OR(ISNUMBER(SEARCH("PARTIAL",K174&amp;" "&amp;Q174)),ISNUMBER(SEARCH("PENDING",K174&amp;" "&amp;Q174)),ISNUMBER(SEARCH("IN PROGRESS",K174&amp;" "&amp;Q174)),ISNUMBER(SEARCH("OPEN",K174&amp;" "&amp;Q174)),ISNUMBER(SEARCH("RETEST REQUIRED",K174&amp;" "&amp;Q174)),ISNUMBER(SEARCH("IMPLEMENTATION UPDATED",K174&amp;" "&amp;Q174)),ISNUMBER(SEARCH("REQUIRED EVERY SESSION",K174&amp;" "&amp;Q174))),"Pending",IF(OR(Q174="PASS",ISNUMBER(SEARCH("PASS",K174&amp;" "&amp;Q174))),"Done","Pending"))))</f>
        <v>Not started</v>
      </c>
      <c r="U174" s="146" t="str">
        <f>IF(OR(C174="Admin optional",LEFT(A174,9)="OPERATOR-",LEFT(A174,8)="PAYMENT-",LEFT(A174,7)="DEPLOY-"),"External","Core")</f>
        <v>External</v>
      </c>
    </row>
    <row r="175" customFormat="false" ht="15" hidden="false" customHeight="false" outlineLevel="0" collapsed="false">
      <c r="A175" s="243" t="s">
        <v>1583</v>
      </c>
      <c r="B175" s="243" t="s">
        <v>1460</v>
      </c>
      <c r="C175" s="522" t="s">
        <v>37</v>
      </c>
      <c r="D175" s="243" t="s">
        <v>79</v>
      </c>
      <c r="E175" s="243" t="s">
        <v>1584</v>
      </c>
      <c r="F175" s="243" t="s">
        <v>1585</v>
      </c>
      <c r="G175" s="243" t="s">
        <v>1586</v>
      </c>
      <c r="H175" s="243" t="s">
        <v>1587</v>
      </c>
      <c r="I175" s="243" t="s">
        <v>1512</v>
      </c>
      <c r="J175" s="243" t="s">
        <v>1588</v>
      </c>
      <c r="K175" s="243" t="s">
        <v>365</v>
      </c>
      <c r="L175" s="243" t="s">
        <v>1</v>
      </c>
      <c r="M175" s="243" t="s">
        <v>1</v>
      </c>
      <c r="N175" s="243" t="s">
        <v>1</v>
      </c>
      <c r="O175" s="243" t="s">
        <v>1589</v>
      </c>
      <c r="P175" s="243" t="s">
        <v>1590</v>
      </c>
      <c r="Q175" s="243" t="s">
        <v>1</v>
      </c>
      <c r="R175" s="243" t="s">
        <v>1</v>
      </c>
      <c r="S175" s="243" t="s">
        <v>402</v>
      </c>
      <c r="T175" s="146" t="str">
        <f>IF(OR(ISNUMBER(SEARCH("FAIL",K175&amp;" "&amp;Q175)),ISNUMBER(SEARCH("CLEAN RETEST REQUIRED",K175&amp;" "&amp;Q175))),"Failed",IF(OR(ISNUMBER(SEARCH("NOT RUN",K175&amp;" "&amp;Q175)),ISNUMBER(SEARCH("NOT IMPLEMENTED",K175&amp;" "&amp;Q175))),"Not started",IF(OR(ISNUMBER(SEARCH("PARTIAL",K175&amp;" "&amp;Q175)),ISNUMBER(SEARCH("PENDING",K175&amp;" "&amp;Q175)),ISNUMBER(SEARCH("IN PROGRESS",K175&amp;" "&amp;Q175)),ISNUMBER(SEARCH("OPEN",K175&amp;" "&amp;Q175)),ISNUMBER(SEARCH("RETEST REQUIRED",K175&amp;" "&amp;Q175)),ISNUMBER(SEARCH("IMPLEMENTATION UPDATED",K175&amp;" "&amp;Q175)),ISNUMBER(SEARCH("REQUIRED EVERY SESSION",K175&amp;" "&amp;Q175))),"Pending",IF(OR(Q175="PASS",ISNUMBER(SEARCH("PASS",K175&amp;" "&amp;Q175))),"Done","Pending"))))</f>
        <v>Not started</v>
      </c>
      <c r="U175" s="146" t="str">
        <f>IF(OR(C175="Admin optional",LEFT(A175,9)="OPERATOR-",LEFT(A175,8)="PAYMENT-",LEFT(A175,7)="DEPLOY-"),"External","Core")</f>
        <v>External</v>
      </c>
    </row>
    <row r="176" customFormat="false" ht="15" hidden="false" customHeight="false" outlineLevel="0" collapsed="false">
      <c r="A176" s="243" t="s">
        <v>1591</v>
      </c>
      <c r="B176" s="243" t="s">
        <v>1592</v>
      </c>
      <c r="C176" s="522" t="s">
        <v>37</v>
      </c>
      <c r="D176" s="243" t="s">
        <v>79</v>
      </c>
      <c r="E176" s="243" t="s">
        <v>1593</v>
      </c>
      <c r="F176" s="243" t="s">
        <v>4</v>
      </c>
      <c r="G176" s="243" t="s">
        <v>4</v>
      </c>
      <c r="H176" s="243" t="s">
        <v>1594</v>
      </c>
      <c r="I176" s="243" t="s">
        <v>4</v>
      </c>
      <c r="J176" s="243" t="s">
        <v>1595</v>
      </c>
      <c r="K176" s="243" t="s">
        <v>365</v>
      </c>
      <c r="L176" s="243" t="s">
        <v>1</v>
      </c>
      <c r="M176" s="243" t="s">
        <v>1</v>
      </c>
      <c r="N176" s="243" t="s">
        <v>1</v>
      </c>
      <c r="O176" s="243" t="s">
        <v>1596</v>
      </c>
      <c r="P176" s="243" t="s">
        <v>1597</v>
      </c>
      <c r="Q176" s="243" t="s">
        <v>1</v>
      </c>
      <c r="R176" s="243" t="s">
        <v>1</v>
      </c>
      <c r="S176" s="243" t="s">
        <v>335</v>
      </c>
      <c r="T176" s="146" t="str">
        <f>IF(OR(ISNUMBER(SEARCH("FAIL",K176&amp;" "&amp;Q176)),ISNUMBER(SEARCH("CLEAN RETEST REQUIRED",K176&amp;" "&amp;Q176))),"Failed",IF(OR(ISNUMBER(SEARCH("NOT RUN",K176&amp;" "&amp;Q176)),ISNUMBER(SEARCH("NOT IMPLEMENTED",K176&amp;" "&amp;Q176))),"Not started",IF(OR(ISNUMBER(SEARCH("PARTIAL",K176&amp;" "&amp;Q176)),ISNUMBER(SEARCH("PENDING",K176&amp;" "&amp;Q176)),ISNUMBER(SEARCH("IN PROGRESS",K176&amp;" "&amp;Q176)),ISNUMBER(SEARCH("OPEN",K176&amp;" "&amp;Q176)),ISNUMBER(SEARCH("RETEST REQUIRED",K176&amp;" "&amp;Q176)),ISNUMBER(SEARCH("IMPLEMENTATION UPDATED",K176&amp;" "&amp;Q176)),ISNUMBER(SEARCH("REQUIRED EVERY SESSION",K176&amp;" "&amp;Q176))),"Pending",IF(OR(Q176="PASS",ISNUMBER(SEARCH("PASS",K176&amp;" "&amp;Q176))),"Done","Pending"))))</f>
        <v>Not started</v>
      </c>
      <c r="U176" s="146" t="str">
        <f>IF(OR(C176="Admin optional",LEFT(A176,9)="OPERATOR-",LEFT(A176,8)="PAYMENT-",LEFT(A176,7)="DEPLOY-"),"External","Core")</f>
        <v>External</v>
      </c>
    </row>
    <row r="177" customFormat="false" ht="15" hidden="false" customHeight="false" outlineLevel="0" collapsed="false">
      <c r="A177" s="243" t="s">
        <v>1598</v>
      </c>
      <c r="B177" s="243" t="s">
        <v>1599</v>
      </c>
      <c r="C177" s="522" t="s">
        <v>37</v>
      </c>
      <c r="D177" s="243" t="s">
        <v>1600</v>
      </c>
      <c r="E177" s="243" t="s">
        <v>1601</v>
      </c>
      <c r="F177" s="243" t="s">
        <v>4</v>
      </c>
      <c r="G177" s="243" t="s">
        <v>1602</v>
      </c>
      <c r="H177" s="243" t="s">
        <v>1551</v>
      </c>
      <c r="I177" s="243" t="s">
        <v>1552</v>
      </c>
      <c r="J177" s="243" t="s">
        <v>1603</v>
      </c>
      <c r="K177" s="243" t="s">
        <v>365</v>
      </c>
      <c r="L177" s="243" t="s">
        <v>1</v>
      </c>
      <c r="M177" s="243" t="s">
        <v>1</v>
      </c>
      <c r="N177" s="243" t="s">
        <v>1</v>
      </c>
      <c r="O177" s="243" t="s">
        <v>1604</v>
      </c>
      <c r="P177" s="243" t="s">
        <v>1605</v>
      </c>
      <c r="Q177" s="243" t="s">
        <v>1</v>
      </c>
      <c r="R177" s="243" t="s">
        <v>1</v>
      </c>
      <c r="S177" s="243" t="s">
        <v>117</v>
      </c>
      <c r="T177" s="146" t="str">
        <f>IF(OR(ISNUMBER(SEARCH("FAIL",K177&amp;" "&amp;Q177)),ISNUMBER(SEARCH("CLEAN RETEST REQUIRED",K177&amp;" "&amp;Q177))),"Failed",IF(OR(ISNUMBER(SEARCH("NOT RUN",K177&amp;" "&amp;Q177)),ISNUMBER(SEARCH("NOT IMPLEMENTED",K177&amp;" "&amp;Q177))),"Not started",IF(OR(ISNUMBER(SEARCH("PARTIAL",K177&amp;" "&amp;Q177)),ISNUMBER(SEARCH("PENDING",K177&amp;" "&amp;Q177)),ISNUMBER(SEARCH("IN PROGRESS",K177&amp;" "&amp;Q177)),ISNUMBER(SEARCH("OPEN",K177&amp;" "&amp;Q177)),ISNUMBER(SEARCH("RETEST REQUIRED",K177&amp;" "&amp;Q177)),ISNUMBER(SEARCH("IMPLEMENTATION UPDATED",K177&amp;" "&amp;Q177)),ISNUMBER(SEARCH("REQUIRED EVERY SESSION",K177&amp;" "&amp;Q177))),"Pending",IF(OR(Q177="PASS",ISNUMBER(SEARCH("PASS",K177&amp;" "&amp;Q177))),"Done","Pending"))))</f>
        <v>Not started</v>
      </c>
      <c r="U177" s="146" t="str">
        <f>IF(OR(C177="Admin optional",LEFT(A177,9)="OPERATOR-",LEFT(A177,8)="PAYMENT-",LEFT(A177,7)="DEPLOY-"),"External","Core")</f>
        <v>External</v>
      </c>
    </row>
    <row r="178" customFormat="false" ht="15" hidden="false" customHeight="false" outlineLevel="0" collapsed="false">
      <c r="A178" s="243" t="s">
        <v>1606</v>
      </c>
      <c r="B178" s="243" t="s">
        <v>1607</v>
      </c>
      <c r="C178" s="522" t="s">
        <v>37</v>
      </c>
      <c r="D178" s="243" t="s">
        <v>1608</v>
      </c>
      <c r="E178" s="243" t="s">
        <v>1609</v>
      </c>
      <c r="F178" s="243" t="s">
        <v>1610</v>
      </c>
      <c r="G178" s="243" t="s">
        <v>1611</v>
      </c>
      <c r="H178" s="243" t="s">
        <v>1612</v>
      </c>
      <c r="I178" s="243" t="s">
        <v>1512</v>
      </c>
      <c r="J178" s="243" t="s">
        <v>1613</v>
      </c>
      <c r="K178" s="243" t="s">
        <v>365</v>
      </c>
      <c r="L178" s="243" t="s">
        <v>1</v>
      </c>
      <c r="M178" s="243" t="s">
        <v>1</v>
      </c>
      <c r="N178" s="243" t="s">
        <v>1</v>
      </c>
      <c r="O178" s="243" t="s">
        <v>1614</v>
      </c>
      <c r="P178" s="243" t="s">
        <v>1615</v>
      </c>
      <c r="Q178" s="243" t="s">
        <v>1</v>
      </c>
      <c r="R178" s="243" t="s">
        <v>1</v>
      </c>
      <c r="S178" s="243" t="s">
        <v>289</v>
      </c>
      <c r="T178" s="146" t="str">
        <f>IF(OR(ISNUMBER(SEARCH("FAIL",K178&amp;" "&amp;Q178)),ISNUMBER(SEARCH("CLEAN RETEST REQUIRED",K178&amp;" "&amp;Q178))),"Failed",IF(OR(ISNUMBER(SEARCH("NOT RUN",K178&amp;" "&amp;Q178)),ISNUMBER(SEARCH("NOT IMPLEMENTED",K178&amp;" "&amp;Q178))),"Not started",IF(OR(ISNUMBER(SEARCH("PARTIAL",K178&amp;" "&amp;Q178)),ISNUMBER(SEARCH("PENDING",K178&amp;" "&amp;Q178)),ISNUMBER(SEARCH("IN PROGRESS",K178&amp;" "&amp;Q178)),ISNUMBER(SEARCH("OPEN",K178&amp;" "&amp;Q178)),ISNUMBER(SEARCH("RETEST REQUIRED",K178&amp;" "&amp;Q178)),ISNUMBER(SEARCH("IMPLEMENTATION UPDATED",K178&amp;" "&amp;Q178)),ISNUMBER(SEARCH("REQUIRED EVERY SESSION",K178&amp;" "&amp;Q178))),"Pending",IF(OR(Q178="PASS",ISNUMBER(SEARCH("PASS",K178&amp;" "&amp;Q178))),"Done","Pending"))))</f>
        <v>Not started</v>
      </c>
      <c r="U178" s="146" t="str">
        <f>IF(OR(C178="Admin optional",LEFT(A178,9)="OPERATOR-",LEFT(A178,8)="PAYMENT-",LEFT(A178,7)="DEPLOY-"),"External","Core")</f>
        <v>External</v>
      </c>
    </row>
    <row r="179" customFormat="false" ht="15" hidden="false" customHeight="false" outlineLevel="0" collapsed="false">
      <c r="A179" s="243" t="s">
        <v>1616</v>
      </c>
      <c r="B179" s="243" t="s">
        <v>1607</v>
      </c>
      <c r="C179" s="522" t="s">
        <v>37</v>
      </c>
      <c r="D179" s="243" t="s">
        <v>1617</v>
      </c>
      <c r="E179" s="243" t="s">
        <v>1618</v>
      </c>
      <c r="F179" s="243" t="s">
        <v>1619</v>
      </c>
      <c r="G179" s="243" t="s">
        <v>1611</v>
      </c>
      <c r="H179" s="243" t="s">
        <v>1620</v>
      </c>
      <c r="I179" s="243" t="s">
        <v>1512</v>
      </c>
      <c r="J179" s="243" t="s">
        <v>1621</v>
      </c>
      <c r="K179" s="243" t="s">
        <v>365</v>
      </c>
      <c r="L179" s="243" t="s">
        <v>1</v>
      </c>
      <c r="M179" s="243" t="s">
        <v>1</v>
      </c>
      <c r="N179" s="243" t="s">
        <v>1</v>
      </c>
      <c r="O179" s="243" t="s">
        <v>1622</v>
      </c>
      <c r="P179" s="243" t="s">
        <v>1623</v>
      </c>
      <c r="Q179" s="243" t="s">
        <v>1</v>
      </c>
      <c r="R179" s="243" t="s">
        <v>1</v>
      </c>
      <c r="S179" s="243" t="s">
        <v>379</v>
      </c>
      <c r="T179" s="146" t="str">
        <f>IF(OR(ISNUMBER(SEARCH("FAIL",K179&amp;" "&amp;Q179)),ISNUMBER(SEARCH("CLEAN RETEST REQUIRED",K179&amp;" "&amp;Q179))),"Failed",IF(OR(ISNUMBER(SEARCH("NOT RUN",K179&amp;" "&amp;Q179)),ISNUMBER(SEARCH("NOT IMPLEMENTED",K179&amp;" "&amp;Q179))),"Not started",IF(OR(ISNUMBER(SEARCH("PARTIAL",K179&amp;" "&amp;Q179)),ISNUMBER(SEARCH("PENDING",K179&amp;" "&amp;Q179)),ISNUMBER(SEARCH("IN PROGRESS",K179&amp;" "&amp;Q179)),ISNUMBER(SEARCH("OPEN",K179&amp;" "&amp;Q179)),ISNUMBER(SEARCH("RETEST REQUIRED",K179&amp;" "&amp;Q179)),ISNUMBER(SEARCH("IMPLEMENTATION UPDATED",K179&amp;" "&amp;Q179)),ISNUMBER(SEARCH("REQUIRED EVERY SESSION",K179&amp;" "&amp;Q179))),"Pending",IF(OR(Q179="PASS",ISNUMBER(SEARCH("PASS",K179&amp;" "&amp;Q179))),"Done","Pending"))))</f>
        <v>Not started</v>
      </c>
      <c r="U179" s="146" t="str">
        <f>IF(OR(C179="Admin optional",LEFT(A179,9)="OPERATOR-",LEFT(A179,8)="PAYMENT-",LEFT(A179,7)="DEPLOY-"),"External","Core")</f>
        <v>External</v>
      </c>
    </row>
    <row r="180" customFormat="false" ht="15" hidden="false" customHeight="false" outlineLevel="0" collapsed="false">
      <c r="A180" s="243" t="s">
        <v>1624</v>
      </c>
      <c r="B180" s="243" t="s">
        <v>1607</v>
      </c>
      <c r="C180" s="522" t="s">
        <v>37</v>
      </c>
      <c r="D180" s="243" t="s">
        <v>1625</v>
      </c>
      <c r="E180" s="243" t="s">
        <v>1626</v>
      </c>
      <c r="F180" s="243" t="s">
        <v>4</v>
      </c>
      <c r="G180" s="243" t="s">
        <v>1627</v>
      </c>
      <c r="H180" s="243" t="s">
        <v>4</v>
      </c>
      <c r="I180" s="243" t="s">
        <v>1628</v>
      </c>
      <c r="J180" s="243" t="s">
        <v>1629</v>
      </c>
      <c r="K180" s="243" t="s">
        <v>365</v>
      </c>
      <c r="L180" s="243" t="s">
        <v>1</v>
      </c>
      <c r="M180" s="243" t="s">
        <v>1</v>
      </c>
      <c r="N180" s="243" t="s">
        <v>1</v>
      </c>
      <c r="O180" s="243" t="s">
        <v>1630</v>
      </c>
      <c r="P180" s="243" t="s">
        <v>1631</v>
      </c>
      <c r="Q180" s="243" t="s">
        <v>1</v>
      </c>
      <c r="R180" s="243" t="s">
        <v>1632</v>
      </c>
      <c r="S180" s="243" t="s">
        <v>335</v>
      </c>
      <c r="T180" s="146" t="str">
        <f>IF(OR(ISNUMBER(SEARCH("FAIL",K180&amp;" "&amp;Q180)),ISNUMBER(SEARCH("CLEAN RETEST REQUIRED",K180&amp;" "&amp;Q180))),"Failed",IF(OR(ISNUMBER(SEARCH("NOT RUN",K180&amp;" "&amp;Q180)),ISNUMBER(SEARCH("NOT IMPLEMENTED",K180&amp;" "&amp;Q180))),"Not started",IF(OR(ISNUMBER(SEARCH("PARTIAL",K180&amp;" "&amp;Q180)),ISNUMBER(SEARCH("PENDING",K180&amp;" "&amp;Q180)),ISNUMBER(SEARCH("IN PROGRESS",K180&amp;" "&amp;Q180)),ISNUMBER(SEARCH("OPEN",K180&amp;" "&amp;Q180)),ISNUMBER(SEARCH("RETEST REQUIRED",K180&amp;" "&amp;Q180)),ISNUMBER(SEARCH("IMPLEMENTATION UPDATED",K180&amp;" "&amp;Q180)),ISNUMBER(SEARCH("REQUIRED EVERY SESSION",K180&amp;" "&amp;Q180))),"Pending",IF(OR(Q180="PASS",ISNUMBER(SEARCH("PASS",K180&amp;" "&amp;Q180))),"Done","Pending"))))</f>
        <v>Not started</v>
      </c>
      <c r="U180" s="146" t="str">
        <f>IF(OR(C180="Admin optional",LEFT(A180,9)="OPERATOR-",LEFT(A180,8)="PAYMENT-",LEFT(A180,7)="DEPLOY-"),"External","Core")</f>
        <v>External</v>
      </c>
    </row>
    <row r="181" customFormat="false" ht="15" hidden="false" customHeight="false" outlineLevel="0" collapsed="false">
      <c r="A181" s="243" t="s">
        <v>1633</v>
      </c>
      <c r="B181" s="243" t="s">
        <v>1607</v>
      </c>
      <c r="C181" s="522" t="s">
        <v>37</v>
      </c>
      <c r="D181" s="243" t="s">
        <v>1634</v>
      </c>
      <c r="E181" s="243" t="s">
        <v>1635</v>
      </c>
      <c r="F181" s="243" t="s">
        <v>4</v>
      </c>
      <c r="G181" s="243" t="s">
        <v>1627</v>
      </c>
      <c r="H181" s="243" t="s">
        <v>4</v>
      </c>
      <c r="I181" s="243" t="s">
        <v>1628</v>
      </c>
      <c r="J181" s="243" t="s">
        <v>1636</v>
      </c>
      <c r="K181" s="243" t="s">
        <v>365</v>
      </c>
      <c r="L181" s="243" t="s">
        <v>1</v>
      </c>
      <c r="M181" s="243" t="s">
        <v>1</v>
      </c>
      <c r="N181" s="243" t="s">
        <v>1</v>
      </c>
      <c r="O181" s="243" t="s">
        <v>1637</v>
      </c>
      <c r="P181" s="243" t="s">
        <v>1638</v>
      </c>
      <c r="Q181" s="243" t="s">
        <v>1</v>
      </c>
      <c r="R181" s="243" t="s">
        <v>1639</v>
      </c>
      <c r="S181" s="243" t="s">
        <v>440</v>
      </c>
      <c r="T181" s="146" t="str">
        <f>IF(OR(ISNUMBER(SEARCH("FAIL",K181&amp;" "&amp;Q181)),ISNUMBER(SEARCH("CLEAN RETEST REQUIRED",K181&amp;" "&amp;Q181))),"Failed",IF(OR(ISNUMBER(SEARCH("NOT RUN",K181&amp;" "&amp;Q181)),ISNUMBER(SEARCH("NOT IMPLEMENTED",K181&amp;" "&amp;Q181))),"Not started",IF(OR(ISNUMBER(SEARCH("PARTIAL",K181&amp;" "&amp;Q181)),ISNUMBER(SEARCH("PENDING",K181&amp;" "&amp;Q181)),ISNUMBER(SEARCH("IN PROGRESS",K181&amp;" "&amp;Q181)),ISNUMBER(SEARCH("OPEN",K181&amp;" "&amp;Q181)),ISNUMBER(SEARCH("RETEST REQUIRED",K181&amp;" "&amp;Q181)),ISNUMBER(SEARCH("IMPLEMENTATION UPDATED",K181&amp;" "&amp;Q181)),ISNUMBER(SEARCH("REQUIRED EVERY SESSION",K181&amp;" "&amp;Q181))),"Pending",IF(OR(Q181="PASS",ISNUMBER(SEARCH("PASS",K181&amp;" "&amp;Q181))),"Done","Pending"))))</f>
        <v>Not started</v>
      </c>
      <c r="U181" s="146" t="str">
        <f>IF(OR(C181="Admin optional",LEFT(A181,9)="OPERATOR-",LEFT(A181,8)="PAYMENT-",LEFT(A181,7)="DEPLOY-"),"External","Core")</f>
        <v>External</v>
      </c>
    </row>
    <row r="182" customFormat="false" ht="15" hidden="false" customHeight="false" outlineLevel="0" collapsed="false">
      <c r="A182" s="243" t="s">
        <v>1640</v>
      </c>
      <c r="B182" s="243" t="s">
        <v>1607</v>
      </c>
      <c r="C182" s="522" t="s">
        <v>37</v>
      </c>
      <c r="D182" s="243" t="s">
        <v>1641</v>
      </c>
      <c r="E182" s="243" t="s">
        <v>1642</v>
      </c>
      <c r="F182" s="243" t="s">
        <v>1619</v>
      </c>
      <c r="G182" s="243" t="s">
        <v>1611</v>
      </c>
      <c r="H182" s="243" t="s">
        <v>1643</v>
      </c>
      <c r="I182" s="243" t="s">
        <v>1512</v>
      </c>
      <c r="J182" s="243" t="s">
        <v>1644</v>
      </c>
      <c r="K182" s="243" t="s">
        <v>365</v>
      </c>
      <c r="L182" s="243" t="s">
        <v>1</v>
      </c>
      <c r="M182" s="243" t="s">
        <v>1</v>
      </c>
      <c r="N182" s="243" t="s">
        <v>1</v>
      </c>
      <c r="O182" s="243" t="s">
        <v>1645</v>
      </c>
      <c r="P182" s="243" t="s">
        <v>1646</v>
      </c>
      <c r="Q182" s="243" t="s">
        <v>1</v>
      </c>
      <c r="R182" s="243" t="s">
        <v>1</v>
      </c>
      <c r="S182" s="243" t="s">
        <v>770</v>
      </c>
      <c r="T182" s="146" t="str">
        <f>IF(OR(ISNUMBER(SEARCH("FAIL",K182&amp;" "&amp;Q182)),ISNUMBER(SEARCH("CLEAN RETEST REQUIRED",K182&amp;" "&amp;Q182))),"Failed",IF(OR(ISNUMBER(SEARCH("NOT RUN",K182&amp;" "&amp;Q182)),ISNUMBER(SEARCH("NOT IMPLEMENTED",K182&amp;" "&amp;Q182))),"Not started",IF(OR(ISNUMBER(SEARCH("PARTIAL",K182&amp;" "&amp;Q182)),ISNUMBER(SEARCH("PENDING",K182&amp;" "&amp;Q182)),ISNUMBER(SEARCH("IN PROGRESS",K182&amp;" "&amp;Q182)),ISNUMBER(SEARCH("OPEN",K182&amp;" "&amp;Q182)),ISNUMBER(SEARCH("RETEST REQUIRED",K182&amp;" "&amp;Q182)),ISNUMBER(SEARCH("IMPLEMENTATION UPDATED",K182&amp;" "&amp;Q182)),ISNUMBER(SEARCH("REQUIRED EVERY SESSION",K182&amp;" "&amp;Q182))),"Pending",IF(OR(Q182="PASS",ISNUMBER(SEARCH("PASS",K182&amp;" "&amp;Q182))),"Done","Pending"))))</f>
        <v>Not started</v>
      </c>
      <c r="U182" s="146" t="str">
        <f>IF(OR(C182="Admin optional",LEFT(A182,9)="OPERATOR-",LEFT(A182,8)="PAYMENT-",LEFT(A182,7)="DEPLOY-"),"External","Core")</f>
        <v>External</v>
      </c>
    </row>
    <row r="183" customFormat="false" ht="15" hidden="false" customHeight="false" outlineLevel="0" collapsed="false">
      <c r="A183" s="243" t="s">
        <v>1647</v>
      </c>
      <c r="B183" s="243" t="s">
        <v>1607</v>
      </c>
      <c r="C183" s="522" t="s">
        <v>37</v>
      </c>
      <c r="D183" s="243" t="s">
        <v>1648</v>
      </c>
      <c r="E183" s="243" t="s">
        <v>1649</v>
      </c>
      <c r="F183" s="243" t="s">
        <v>4</v>
      </c>
      <c r="G183" s="243" t="s">
        <v>1650</v>
      </c>
      <c r="H183" s="243" t="s">
        <v>4</v>
      </c>
      <c r="I183" s="243" t="s">
        <v>1628</v>
      </c>
      <c r="J183" s="243" t="s">
        <v>1651</v>
      </c>
      <c r="K183" s="243" t="s">
        <v>1652</v>
      </c>
      <c r="L183" s="243" t="s">
        <v>1</v>
      </c>
      <c r="M183" s="243" t="s">
        <v>1</v>
      </c>
      <c r="N183" s="243" t="s">
        <v>1</v>
      </c>
      <c r="O183" s="243" t="s">
        <v>1653</v>
      </c>
      <c r="P183" s="243" t="s">
        <v>1654</v>
      </c>
      <c r="Q183" s="243" t="s">
        <v>1</v>
      </c>
      <c r="R183" s="243" t="s">
        <v>1655</v>
      </c>
      <c r="S183" s="243" t="s">
        <v>117</v>
      </c>
      <c r="T183" s="146" t="str">
        <f>IF(OR(ISNUMBER(SEARCH("FAIL",K183&amp;" "&amp;Q183)),ISNUMBER(SEARCH("CLEAN RETEST REQUIRED",K183&amp;" "&amp;Q183))),"Failed",IF(OR(ISNUMBER(SEARCH("NOT RUN",K183&amp;" "&amp;Q183)),ISNUMBER(SEARCH("NOT IMPLEMENTED",K183&amp;" "&amp;Q183))),"Not started",IF(OR(ISNUMBER(SEARCH("PARTIAL",K183&amp;" "&amp;Q183)),ISNUMBER(SEARCH("PENDING",K183&amp;" "&amp;Q183)),ISNUMBER(SEARCH("IN PROGRESS",K183&amp;" "&amp;Q183)),ISNUMBER(SEARCH("OPEN",K183&amp;" "&amp;Q183)),ISNUMBER(SEARCH("RETEST REQUIRED",K183&amp;" "&amp;Q183)),ISNUMBER(SEARCH("IMPLEMENTATION UPDATED",K183&amp;" "&amp;Q183)),ISNUMBER(SEARCH("REQUIRED EVERY SESSION",K183&amp;" "&amp;Q183))),"Pending",IF(OR(Q183="PASS",ISNUMBER(SEARCH("PASS",K183&amp;" "&amp;Q183))),"Done","Pending"))))</f>
        <v>Not started</v>
      </c>
      <c r="U183" s="146" t="str">
        <f>IF(OR(C183="Admin optional",LEFT(A183,9)="OPERATOR-",LEFT(A183,8)="PAYMENT-",LEFT(A183,7)="DEPLOY-"),"External","Core")</f>
        <v>External</v>
      </c>
    </row>
    <row r="184" customFormat="false" ht="15" hidden="false" customHeight="false" outlineLevel="0" collapsed="false">
      <c r="A184" s="243" t="s">
        <v>1656</v>
      </c>
      <c r="B184" s="243" t="s">
        <v>1607</v>
      </c>
      <c r="C184" s="522" t="s">
        <v>37</v>
      </c>
      <c r="D184" s="243" t="s">
        <v>1657</v>
      </c>
      <c r="E184" s="243" t="s">
        <v>1658</v>
      </c>
      <c r="F184" s="243" t="s">
        <v>4</v>
      </c>
      <c r="G184" s="243" t="s">
        <v>1659</v>
      </c>
      <c r="H184" s="243" t="s">
        <v>4</v>
      </c>
      <c r="I184" s="243" t="s">
        <v>1660</v>
      </c>
      <c r="J184" s="243" t="s">
        <v>1661</v>
      </c>
      <c r="K184" s="243" t="s">
        <v>365</v>
      </c>
      <c r="L184" s="243" t="s">
        <v>1</v>
      </c>
      <c r="M184" s="243" t="s">
        <v>1</v>
      </c>
      <c r="N184" s="243" t="s">
        <v>1</v>
      </c>
      <c r="O184" s="243" t="s">
        <v>1662</v>
      </c>
      <c r="P184" s="243" t="s">
        <v>1663</v>
      </c>
      <c r="Q184" s="243" t="s">
        <v>1</v>
      </c>
      <c r="R184" s="243" t="s">
        <v>1</v>
      </c>
      <c r="S184" s="243" t="s">
        <v>323</v>
      </c>
      <c r="T184" s="146" t="str">
        <f>IF(OR(ISNUMBER(SEARCH("FAIL",K184&amp;" "&amp;Q184)),ISNUMBER(SEARCH("CLEAN RETEST REQUIRED",K184&amp;" "&amp;Q184))),"Failed",IF(OR(ISNUMBER(SEARCH("NOT RUN",K184&amp;" "&amp;Q184)),ISNUMBER(SEARCH("NOT IMPLEMENTED",K184&amp;" "&amp;Q184))),"Not started",IF(OR(ISNUMBER(SEARCH("PARTIAL",K184&amp;" "&amp;Q184)),ISNUMBER(SEARCH("PENDING",K184&amp;" "&amp;Q184)),ISNUMBER(SEARCH("IN PROGRESS",K184&amp;" "&amp;Q184)),ISNUMBER(SEARCH("OPEN",K184&amp;" "&amp;Q184)),ISNUMBER(SEARCH("RETEST REQUIRED",K184&amp;" "&amp;Q184)),ISNUMBER(SEARCH("IMPLEMENTATION UPDATED",K184&amp;" "&amp;Q184)),ISNUMBER(SEARCH("REQUIRED EVERY SESSION",K184&amp;" "&amp;Q184))),"Pending",IF(OR(Q184="PASS",ISNUMBER(SEARCH("PASS",K184&amp;" "&amp;Q184))),"Done","Pending"))))</f>
        <v>Not started</v>
      </c>
      <c r="U184" s="146" t="str">
        <f>IF(OR(C184="Admin optional",LEFT(A184,9)="OPERATOR-",LEFT(A184,8)="PAYMENT-",LEFT(A184,7)="DEPLOY-"),"External","Core")</f>
        <v>External</v>
      </c>
    </row>
    <row r="185" customFormat="false" ht="15" hidden="false" customHeight="false" outlineLevel="0" collapsed="false">
      <c r="A185" s="243" t="s">
        <v>1664</v>
      </c>
      <c r="B185" s="243" t="s">
        <v>1665</v>
      </c>
      <c r="C185" s="522" t="s">
        <v>37</v>
      </c>
      <c r="D185" s="243" t="s">
        <v>1600</v>
      </c>
      <c r="E185" s="243" t="s">
        <v>1666</v>
      </c>
      <c r="F185" s="243" t="s">
        <v>4</v>
      </c>
      <c r="G185" s="243" t="s">
        <v>4</v>
      </c>
      <c r="H185" s="243" t="s">
        <v>4</v>
      </c>
      <c r="I185" s="243" t="s">
        <v>1667</v>
      </c>
      <c r="J185" s="243" t="s">
        <v>1668</v>
      </c>
      <c r="K185" s="243" t="s">
        <v>365</v>
      </c>
      <c r="L185" s="243" t="s">
        <v>1</v>
      </c>
      <c r="M185" s="243" t="s">
        <v>1</v>
      </c>
      <c r="N185" s="243" t="s">
        <v>1</v>
      </c>
      <c r="O185" s="243" t="s">
        <v>1669</v>
      </c>
      <c r="P185" s="243" t="s">
        <v>1670</v>
      </c>
      <c r="Q185" s="243" t="s">
        <v>1</v>
      </c>
      <c r="R185" s="243" t="s">
        <v>1</v>
      </c>
      <c r="S185" s="243" t="s">
        <v>759</v>
      </c>
      <c r="T185" s="146" t="str">
        <f>IF(OR(ISNUMBER(SEARCH("FAIL",K185&amp;" "&amp;Q185)),ISNUMBER(SEARCH("CLEAN RETEST REQUIRED",K185&amp;" "&amp;Q185))),"Failed",IF(OR(ISNUMBER(SEARCH("NOT RUN",K185&amp;" "&amp;Q185)),ISNUMBER(SEARCH("NOT IMPLEMENTED",K185&amp;" "&amp;Q185))),"Not started",IF(OR(ISNUMBER(SEARCH("PARTIAL",K185&amp;" "&amp;Q185)),ISNUMBER(SEARCH("PENDING",K185&amp;" "&amp;Q185)),ISNUMBER(SEARCH("IN PROGRESS",K185&amp;" "&amp;Q185)),ISNUMBER(SEARCH("OPEN",K185&amp;" "&amp;Q185)),ISNUMBER(SEARCH("RETEST REQUIRED",K185&amp;" "&amp;Q185)),ISNUMBER(SEARCH("IMPLEMENTATION UPDATED",K185&amp;" "&amp;Q185)),ISNUMBER(SEARCH("REQUIRED EVERY SESSION",K185&amp;" "&amp;Q185))),"Pending",IF(OR(Q185="PASS",ISNUMBER(SEARCH("PASS",K185&amp;" "&amp;Q185))),"Done","Pending"))))</f>
        <v>Not started</v>
      </c>
      <c r="U185" s="146" t="str">
        <f>IF(OR(C185="Admin optional",LEFT(A185,9)="OPERATOR-",LEFT(A185,8)="PAYMENT-",LEFT(A185,7)="DEPLOY-"),"External","Core")</f>
        <v>External</v>
      </c>
    </row>
    <row r="186" customFormat="false" ht="15" hidden="false" customHeight="false" outlineLevel="0" collapsed="false">
      <c r="A186" s="243" t="s">
        <v>1671</v>
      </c>
      <c r="B186" s="243" t="s">
        <v>242</v>
      </c>
      <c r="C186" s="522" t="s">
        <v>37</v>
      </c>
      <c r="D186" s="243" t="s">
        <v>1672</v>
      </c>
      <c r="E186" s="243" t="s">
        <v>1673</v>
      </c>
      <c r="F186" s="243" t="s">
        <v>4</v>
      </c>
      <c r="G186" s="243" t="s">
        <v>781</v>
      </c>
      <c r="H186" s="243" t="s">
        <v>1674</v>
      </c>
      <c r="I186" s="243" t="s">
        <v>8</v>
      </c>
      <c r="J186" s="243" t="s">
        <v>4</v>
      </c>
      <c r="K186" s="243" t="s">
        <v>365</v>
      </c>
      <c r="L186" s="243" t="s">
        <v>1</v>
      </c>
      <c r="M186" s="243" t="s">
        <v>1</v>
      </c>
      <c r="N186" s="243" t="s">
        <v>1</v>
      </c>
      <c r="O186" s="243" t="s">
        <v>1675</v>
      </c>
      <c r="P186" s="243" t="s">
        <v>1676</v>
      </c>
      <c r="Q186" s="243" t="s">
        <v>1</v>
      </c>
      <c r="R186" s="243" t="s">
        <v>1677</v>
      </c>
      <c r="S186" s="243" t="s">
        <v>392</v>
      </c>
      <c r="T186" s="146" t="str">
        <f>IF(OR(ISNUMBER(SEARCH("FAIL",K186&amp;" "&amp;Q186)),ISNUMBER(SEARCH("CLEAN RETEST REQUIRED",K186&amp;" "&amp;Q186))),"Failed",IF(OR(ISNUMBER(SEARCH("NOT RUN",K186&amp;" "&amp;Q186)),ISNUMBER(SEARCH("NOT IMPLEMENTED",K186&amp;" "&amp;Q186))),"Not started",IF(OR(ISNUMBER(SEARCH("PARTIAL",K186&amp;" "&amp;Q186)),ISNUMBER(SEARCH("PENDING",K186&amp;" "&amp;Q186)),ISNUMBER(SEARCH("IN PROGRESS",K186&amp;" "&amp;Q186)),ISNUMBER(SEARCH("OPEN",K186&amp;" "&amp;Q186)),ISNUMBER(SEARCH("RETEST REQUIRED",K186&amp;" "&amp;Q186)),ISNUMBER(SEARCH("IMPLEMENTATION UPDATED",K186&amp;" "&amp;Q186)),ISNUMBER(SEARCH("REQUIRED EVERY SESSION",K186&amp;" "&amp;Q186))),"Pending",IF(OR(Q186="PASS",ISNUMBER(SEARCH("PASS",K186&amp;" "&amp;Q186))),"Done","Pending"))))</f>
        <v>Not started</v>
      </c>
      <c r="U186" s="146" t="str">
        <f>IF(OR(C186="Admin optional",LEFT(A186,9)="OPERATOR-",LEFT(A186,8)="PAYMENT-",LEFT(A186,7)="DEPLOY-"),"External","Core")</f>
        <v>External</v>
      </c>
    </row>
    <row r="187" customFormat="false" ht="15" hidden="false" customHeight="false" outlineLevel="0" collapsed="false">
      <c r="A187" s="243" t="s">
        <v>1678</v>
      </c>
      <c r="B187" s="243" t="s">
        <v>1679</v>
      </c>
      <c r="C187" s="522" t="s">
        <v>37</v>
      </c>
      <c r="D187" s="243" t="s">
        <v>1680</v>
      </c>
      <c r="E187" s="243" t="s">
        <v>1681</v>
      </c>
      <c r="F187" s="243" t="s">
        <v>1682</v>
      </c>
      <c r="G187" s="243" t="s">
        <v>1683</v>
      </c>
      <c r="H187" s="243" t="s">
        <v>4</v>
      </c>
      <c r="I187" s="243" t="s">
        <v>1684</v>
      </c>
      <c r="J187" s="243" t="s">
        <v>1685</v>
      </c>
      <c r="K187" s="243" t="s">
        <v>1686</v>
      </c>
      <c r="L187" s="243" t="s">
        <v>1</v>
      </c>
      <c r="M187" s="243" t="s">
        <v>1</v>
      </c>
      <c r="N187" s="243" t="s">
        <v>1</v>
      </c>
      <c r="O187" s="243" t="s">
        <v>1687</v>
      </c>
      <c r="P187" s="243" t="s">
        <v>1688</v>
      </c>
      <c r="Q187" s="243" t="s">
        <v>1</v>
      </c>
      <c r="R187" s="243" t="s">
        <v>1689</v>
      </c>
      <c r="S187" s="243" t="s">
        <v>1690</v>
      </c>
      <c r="T187" s="146" t="str">
        <f>IF(OR(ISNUMBER(SEARCH("FAIL",K187&amp;" "&amp;Q187)),ISNUMBER(SEARCH("CLEAN RETEST REQUIRED",K187&amp;" "&amp;Q187))),"Failed",IF(OR(ISNUMBER(SEARCH("NOT RUN",K187&amp;" "&amp;Q187)),ISNUMBER(SEARCH("NOT IMPLEMENTED",K187&amp;" "&amp;Q187))),"Not started",IF(OR(ISNUMBER(SEARCH("PARTIAL",K187&amp;" "&amp;Q187)),ISNUMBER(SEARCH("PENDING",K187&amp;" "&amp;Q187)),ISNUMBER(SEARCH("IN PROGRESS",K187&amp;" "&amp;Q187)),ISNUMBER(SEARCH("OPEN",K187&amp;" "&amp;Q187)),ISNUMBER(SEARCH("RETEST REQUIRED",K187&amp;" "&amp;Q187)),ISNUMBER(SEARCH("IMPLEMENTATION UPDATED",K187&amp;" "&amp;Q187)),ISNUMBER(SEARCH("REQUIRED EVERY SESSION",K187&amp;" "&amp;Q187))),"Pending",IF(OR(Q187="PASS",ISNUMBER(SEARCH("PASS",K187&amp;" "&amp;Q187))),"Done","Pending"))))</f>
        <v>Not started</v>
      </c>
      <c r="U187" s="146" t="str">
        <f>IF(OR(C187="Admin optional",LEFT(A187,9)="OPERATOR-",LEFT(A187,8)="PAYMENT-",LEFT(A187,7)="DEPLOY-"),"External","Core")</f>
        <v>External</v>
      </c>
    </row>
    <row r="188" customFormat="false" ht="15" hidden="false" customHeight="false" outlineLevel="0" collapsed="false">
      <c r="A188" s="243" t="s">
        <v>1691</v>
      </c>
      <c r="B188" s="243" t="s">
        <v>256</v>
      </c>
      <c r="C188" s="243" t="s">
        <v>45</v>
      </c>
      <c r="D188" s="243" t="s">
        <v>1692</v>
      </c>
      <c r="E188" s="243" t="s">
        <v>1693</v>
      </c>
      <c r="F188" s="243" t="s">
        <v>4</v>
      </c>
      <c r="G188" s="243" t="s">
        <v>1694</v>
      </c>
      <c r="H188" s="243" t="s">
        <v>4</v>
      </c>
      <c r="I188" s="243" t="s">
        <v>1695</v>
      </c>
      <c r="J188" s="243" t="s">
        <v>1696</v>
      </c>
      <c r="K188" s="243" t="s">
        <v>365</v>
      </c>
      <c r="L188" s="243" t="s">
        <v>1</v>
      </c>
      <c r="M188" s="243" t="s">
        <v>1</v>
      </c>
      <c r="N188" s="243" t="s">
        <v>1</v>
      </c>
      <c r="O188" s="243" t="s">
        <v>1697</v>
      </c>
      <c r="P188" s="243" t="s">
        <v>1698</v>
      </c>
      <c r="Q188" s="243" t="s">
        <v>1</v>
      </c>
      <c r="R188" s="243" t="s">
        <v>1699</v>
      </c>
      <c r="S188" s="243" t="s">
        <v>106</v>
      </c>
      <c r="T188" s="146" t="str">
        <f>IF(OR(ISNUMBER(SEARCH("FAIL",K188&amp;" "&amp;Q188)),ISNUMBER(SEARCH("CLEAN RETEST REQUIRED",K188&amp;" "&amp;Q188))),"Failed",IF(OR(ISNUMBER(SEARCH("NOT RUN",K188&amp;" "&amp;Q188)),ISNUMBER(SEARCH("NOT IMPLEMENTED",K188&amp;" "&amp;Q188))),"Not started",IF(OR(ISNUMBER(SEARCH("PARTIAL",K188&amp;" "&amp;Q188)),ISNUMBER(SEARCH("PENDING",K188&amp;" "&amp;Q188)),ISNUMBER(SEARCH("IN PROGRESS",K188&amp;" "&amp;Q188)),ISNUMBER(SEARCH("OPEN",K188&amp;" "&amp;Q188)),ISNUMBER(SEARCH("RETEST REQUIRED",K188&amp;" "&amp;Q188)),ISNUMBER(SEARCH("IMPLEMENTATION UPDATED",K188&amp;" "&amp;Q188)),ISNUMBER(SEARCH("REQUIRED EVERY SESSION",K188&amp;" "&amp;Q188))),"Pending",IF(OR(Q188="PASS",ISNUMBER(SEARCH("PASS",K188&amp;" "&amp;Q188))),"Done","Pending"))))</f>
        <v>Not started</v>
      </c>
      <c r="U188" s="146" t="str">
        <f>IF(OR(C188="Admin optional",LEFT(A188,9)="OPERATOR-",LEFT(A188,8)="PAYMENT-",LEFT(A188,7)="DEPLOY-"),"External","Core")</f>
        <v>External</v>
      </c>
    </row>
    <row r="189" customFormat="false" ht="15" hidden="false" customHeight="false" outlineLevel="0" collapsed="false">
      <c r="A189" s="243" t="s">
        <v>1700</v>
      </c>
      <c r="B189" s="243" t="s">
        <v>165</v>
      </c>
      <c r="C189" s="243" t="s">
        <v>45</v>
      </c>
      <c r="D189" s="243" t="s">
        <v>1701</v>
      </c>
      <c r="E189" s="243" t="s">
        <v>1702</v>
      </c>
      <c r="F189" s="243" t="s">
        <v>4</v>
      </c>
      <c r="G189" s="243" t="s">
        <v>1703</v>
      </c>
      <c r="H189" s="243" t="s">
        <v>4</v>
      </c>
      <c r="I189" s="243" t="s">
        <v>1704</v>
      </c>
      <c r="J189" s="243" t="s">
        <v>1705</v>
      </c>
      <c r="K189" s="243" t="s">
        <v>1706</v>
      </c>
      <c r="L189" s="243" t="s">
        <v>1</v>
      </c>
      <c r="M189" s="243" t="s">
        <v>1</v>
      </c>
      <c r="N189" s="243" t="s">
        <v>1</v>
      </c>
      <c r="O189" s="243" t="s">
        <v>1707</v>
      </c>
      <c r="P189" s="243" t="s">
        <v>1708</v>
      </c>
      <c r="Q189" s="243" t="s">
        <v>1</v>
      </c>
      <c r="R189" s="243" t="s">
        <v>1709</v>
      </c>
      <c r="S189" s="243" t="s">
        <v>106</v>
      </c>
      <c r="T189" s="146" t="str">
        <f>IF(OR(ISNUMBER(SEARCH("FAIL",K189&amp;" "&amp;Q189)),ISNUMBER(SEARCH("CLEAN RETEST REQUIRED",K189&amp;" "&amp;Q189))),"Failed",IF(OR(ISNUMBER(SEARCH("NOT RUN",K189&amp;" "&amp;Q189)),ISNUMBER(SEARCH("NOT IMPLEMENTED",K189&amp;" "&amp;Q189))),"Not started",IF(OR(ISNUMBER(SEARCH("PARTIAL",K189&amp;" "&amp;Q189)),ISNUMBER(SEARCH("PENDING",K189&amp;" "&amp;Q189)),ISNUMBER(SEARCH("IN PROGRESS",K189&amp;" "&amp;Q189)),ISNUMBER(SEARCH("OPEN",K189&amp;" "&amp;Q189)),ISNUMBER(SEARCH("RETEST REQUIRED",K189&amp;" "&amp;Q189)),ISNUMBER(SEARCH("IMPLEMENTATION UPDATED",K189&amp;" "&amp;Q189)),ISNUMBER(SEARCH("REQUIRED EVERY SESSION",K189&amp;" "&amp;Q189))),"Pending",IF(OR(Q189="PASS",ISNUMBER(SEARCH("PASS",K189&amp;" "&amp;Q189))),"Done","Pending"))))</f>
        <v>Not started</v>
      </c>
      <c r="U189" s="146" t="str">
        <f>IF(OR(C189="Admin optional",LEFT(A189,9)="OPERATOR-",LEFT(A189,8)="PAYMENT-",LEFT(A189,7)="DEPLOY-"),"External","Core")</f>
        <v>External</v>
      </c>
    </row>
    <row r="190" customFormat="false" ht="15" hidden="false" customHeight="false" outlineLevel="0" collapsed="false">
      <c r="A190" s="243" t="s">
        <v>1710</v>
      </c>
      <c r="B190" s="243" t="s">
        <v>165</v>
      </c>
      <c r="C190" s="243" t="s">
        <v>45</v>
      </c>
      <c r="D190" s="243" t="s">
        <v>1711</v>
      </c>
      <c r="E190" s="243" t="s">
        <v>1712</v>
      </c>
      <c r="F190" s="243" t="s">
        <v>4</v>
      </c>
      <c r="G190" s="243" t="s">
        <v>1713</v>
      </c>
      <c r="H190" s="243" t="s">
        <v>4</v>
      </c>
      <c r="I190" s="243" t="s">
        <v>4</v>
      </c>
      <c r="J190" s="243" t="s">
        <v>1714</v>
      </c>
      <c r="K190" s="243" t="s">
        <v>1706</v>
      </c>
      <c r="L190" s="243" t="s">
        <v>1</v>
      </c>
      <c r="M190" s="243" t="s">
        <v>1</v>
      </c>
      <c r="N190" s="243" t="s">
        <v>1</v>
      </c>
      <c r="O190" s="243" t="s">
        <v>1715</v>
      </c>
      <c r="P190" s="243" t="s">
        <v>1716</v>
      </c>
      <c r="Q190" s="243" t="s">
        <v>1</v>
      </c>
      <c r="R190" s="243" t="s">
        <v>1717</v>
      </c>
      <c r="S190" s="243" t="s">
        <v>106</v>
      </c>
      <c r="T190" s="146" t="str">
        <f>IF(OR(ISNUMBER(SEARCH("FAIL",K190&amp;" "&amp;Q190)),ISNUMBER(SEARCH("CLEAN RETEST REQUIRED",K190&amp;" "&amp;Q190))),"Failed",IF(OR(ISNUMBER(SEARCH("NOT RUN",K190&amp;" "&amp;Q190)),ISNUMBER(SEARCH("NOT IMPLEMENTED",K190&amp;" "&amp;Q190))),"Not started",IF(OR(ISNUMBER(SEARCH("PARTIAL",K190&amp;" "&amp;Q190)),ISNUMBER(SEARCH("PENDING",K190&amp;" "&amp;Q190)),ISNUMBER(SEARCH("IN PROGRESS",K190&amp;" "&amp;Q190)),ISNUMBER(SEARCH("OPEN",K190&amp;" "&amp;Q190)),ISNUMBER(SEARCH("RETEST REQUIRED",K190&amp;" "&amp;Q190)),ISNUMBER(SEARCH("IMPLEMENTATION UPDATED",K190&amp;" "&amp;Q190)),ISNUMBER(SEARCH("REQUIRED EVERY SESSION",K190&amp;" "&amp;Q190))),"Pending",IF(OR(Q190="PASS",ISNUMBER(SEARCH("PASS",K190&amp;" "&amp;Q190))),"Done","Pending"))))</f>
        <v>Not started</v>
      </c>
      <c r="U190" s="146" t="str">
        <f>IF(OR(C190="Admin optional",LEFT(A190,9)="OPERATOR-",LEFT(A190,8)="PAYMENT-",LEFT(A190,7)="DEPLOY-"),"External","Core")</f>
        <v>External</v>
      </c>
    </row>
    <row r="191" customFormat="false" ht="15" hidden="false" customHeight="false" outlineLevel="0" collapsed="false">
      <c r="A191" s="243" t="s">
        <v>1718</v>
      </c>
      <c r="B191" s="243" t="s">
        <v>119</v>
      </c>
      <c r="C191" s="243" t="s">
        <v>45</v>
      </c>
      <c r="D191" s="243" t="s">
        <v>1719</v>
      </c>
      <c r="E191" s="243" t="s">
        <v>1720</v>
      </c>
      <c r="F191" s="243" t="s">
        <v>4</v>
      </c>
      <c r="G191" s="243" t="s">
        <v>1721</v>
      </c>
      <c r="H191" s="243" t="s">
        <v>4</v>
      </c>
      <c r="I191" s="243" t="s">
        <v>4</v>
      </c>
      <c r="J191" s="243" t="s">
        <v>1722</v>
      </c>
      <c r="K191" s="243" t="s">
        <v>137</v>
      </c>
      <c r="L191" s="243" t="s">
        <v>1</v>
      </c>
      <c r="M191" s="243" t="s">
        <v>1</v>
      </c>
      <c r="N191" s="243" t="s">
        <v>1</v>
      </c>
      <c r="O191" s="243" t="s">
        <v>1723</v>
      </c>
      <c r="P191" s="243" t="s">
        <v>1724</v>
      </c>
      <c r="Q191" s="243" t="s">
        <v>1</v>
      </c>
      <c r="R191" s="243" t="s">
        <v>1725</v>
      </c>
      <c r="S191" s="243" t="s">
        <v>106</v>
      </c>
      <c r="T191" s="146" t="str">
        <f>IF(OR(ISNUMBER(SEARCH("FAIL",K191&amp;" "&amp;Q191)),ISNUMBER(SEARCH("CLEAN RETEST REQUIRED",K191&amp;" "&amp;Q191))),"Failed",IF(OR(ISNUMBER(SEARCH("NOT RUN",K191&amp;" "&amp;Q191)),ISNUMBER(SEARCH("NOT IMPLEMENTED",K191&amp;" "&amp;Q191))),"Not started",IF(OR(ISNUMBER(SEARCH("PARTIAL",K191&amp;" "&amp;Q191)),ISNUMBER(SEARCH("PENDING",K191&amp;" "&amp;Q191)),ISNUMBER(SEARCH("IN PROGRESS",K191&amp;" "&amp;Q191)),ISNUMBER(SEARCH("OPEN",K191&amp;" "&amp;Q191)),ISNUMBER(SEARCH("RETEST REQUIRED",K191&amp;" "&amp;Q191)),ISNUMBER(SEARCH("IMPLEMENTATION UPDATED",K191&amp;" "&amp;Q191)),ISNUMBER(SEARCH("REQUIRED EVERY SESSION",K191&amp;" "&amp;Q191))),"Pending",IF(OR(Q191="PASS",ISNUMBER(SEARCH("PASS",K191&amp;" "&amp;Q191))),"Done","Pending"))))</f>
        <v>Not started</v>
      </c>
      <c r="U191" s="146" t="str">
        <f>IF(OR(C191="Admin optional",LEFT(A191,9)="OPERATOR-",LEFT(A191,8)="PAYMENT-",LEFT(A191,7)="DEPLOY-"),"External","Core")</f>
        <v>External</v>
      </c>
    </row>
    <row r="192" customFormat="false" ht="15" hidden="false" customHeight="false" outlineLevel="0" collapsed="false">
      <c r="A192" s="243" t="s">
        <v>1726</v>
      </c>
      <c r="B192" s="243" t="s">
        <v>119</v>
      </c>
      <c r="C192" s="243" t="s">
        <v>45</v>
      </c>
      <c r="D192" s="243" t="s">
        <v>1727</v>
      </c>
      <c r="E192" s="243" t="s">
        <v>1728</v>
      </c>
      <c r="F192" s="243" t="s">
        <v>4</v>
      </c>
      <c r="G192" s="243" t="s">
        <v>1729</v>
      </c>
      <c r="H192" s="243" t="s">
        <v>4</v>
      </c>
      <c r="I192" s="243" t="s">
        <v>4</v>
      </c>
      <c r="J192" s="243" t="s">
        <v>1730</v>
      </c>
      <c r="K192" s="243" t="s">
        <v>137</v>
      </c>
      <c r="L192" s="243" t="s">
        <v>1</v>
      </c>
      <c r="M192" s="243" t="s">
        <v>1</v>
      </c>
      <c r="N192" s="243" t="s">
        <v>1</v>
      </c>
      <c r="O192" s="243" t="s">
        <v>1731</v>
      </c>
      <c r="P192" s="243" t="s">
        <v>1732</v>
      </c>
      <c r="Q192" s="243" t="s">
        <v>1</v>
      </c>
      <c r="R192" s="243" t="s">
        <v>1733</v>
      </c>
      <c r="S192" s="243" t="s">
        <v>132</v>
      </c>
      <c r="T192" s="146" t="str">
        <f>IF(OR(ISNUMBER(SEARCH("FAIL",K192&amp;" "&amp;Q192)),ISNUMBER(SEARCH("CLEAN RETEST REQUIRED",K192&amp;" "&amp;Q192))),"Failed",IF(OR(ISNUMBER(SEARCH("NOT RUN",K192&amp;" "&amp;Q192)),ISNUMBER(SEARCH("NOT IMPLEMENTED",K192&amp;" "&amp;Q192))),"Not started",IF(OR(ISNUMBER(SEARCH("PARTIAL",K192&amp;" "&amp;Q192)),ISNUMBER(SEARCH("PENDING",K192&amp;" "&amp;Q192)),ISNUMBER(SEARCH("IN PROGRESS",K192&amp;" "&amp;Q192)),ISNUMBER(SEARCH("OPEN",K192&amp;" "&amp;Q192)),ISNUMBER(SEARCH("RETEST REQUIRED",K192&amp;" "&amp;Q192)),ISNUMBER(SEARCH("IMPLEMENTATION UPDATED",K192&amp;" "&amp;Q192)),ISNUMBER(SEARCH("REQUIRED EVERY SESSION",K192&amp;" "&amp;Q192))),"Pending",IF(OR(Q192="PASS",ISNUMBER(SEARCH("PASS",K192&amp;" "&amp;Q192))),"Done","Pending"))))</f>
        <v>Not started</v>
      </c>
      <c r="U192" s="146" t="str">
        <f>IF(OR(C192="Admin optional",LEFT(A192,9)="OPERATOR-",LEFT(A192,8)="PAYMENT-",LEFT(A192,7)="DEPLOY-"),"External","Core")</f>
        <v>External</v>
      </c>
    </row>
    <row r="193" customFormat="false" ht="15" hidden="false" customHeight="false" outlineLevel="0" collapsed="false">
      <c r="A193" s="243" t="s">
        <v>1734</v>
      </c>
      <c r="B193" s="243" t="s">
        <v>119</v>
      </c>
      <c r="C193" s="243" t="s">
        <v>45</v>
      </c>
      <c r="D193" s="243" t="s">
        <v>1735</v>
      </c>
      <c r="E193" s="243" t="s">
        <v>1736</v>
      </c>
      <c r="F193" s="243" t="s">
        <v>4</v>
      </c>
      <c r="G193" s="243" t="s">
        <v>1737</v>
      </c>
      <c r="H193" s="243" t="s">
        <v>4</v>
      </c>
      <c r="I193" s="243" t="s">
        <v>4</v>
      </c>
      <c r="J193" s="243" t="s">
        <v>1738</v>
      </c>
      <c r="K193" s="243" t="s">
        <v>137</v>
      </c>
      <c r="L193" s="243" t="s">
        <v>1</v>
      </c>
      <c r="M193" s="243" t="s">
        <v>1</v>
      </c>
      <c r="N193" s="243" t="s">
        <v>1</v>
      </c>
      <c r="O193" s="243" t="s">
        <v>1739</v>
      </c>
      <c r="P193" s="243" t="s">
        <v>1740</v>
      </c>
      <c r="Q193" s="243" t="s">
        <v>1</v>
      </c>
      <c r="R193" s="243" t="s">
        <v>1741</v>
      </c>
      <c r="S193" s="243" t="s">
        <v>323</v>
      </c>
      <c r="T193" s="146" t="str">
        <f>IF(OR(ISNUMBER(SEARCH("FAIL",K193&amp;" "&amp;Q193)),ISNUMBER(SEARCH("CLEAN RETEST REQUIRED",K193&amp;" "&amp;Q193))),"Failed",IF(OR(ISNUMBER(SEARCH("NOT RUN",K193&amp;" "&amp;Q193)),ISNUMBER(SEARCH("NOT IMPLEMENTED",K193&amp;" "&amp;Q193))),"Not started",IF(OR(ISNUMBER(SEARCH("PARTIAL",K193&amp;" "&amp;Q193)),ISNUMBER(SEARCH("PENDING",K193&amp;" "&amp;Q193)),ISNUMBER(SEARCH("IN PROGRESS",K193&amp;" "&amp;Q193)),ISNUMBER(SEARCH("OPEN",K193&amp;" "&amp;Q193)),ISNUMBER(SEARCH("RETEST REQUIRED",K193&amp;" "&amp;Q193)),ISNUMBER(SEARCH("IMPLEMENTATION UPDATED",K193&amp;" "&amp;Q193)),ISNUMBER(SEARCH("REQUIRED EVERY SESSION",K193&amp;" "&amp;Q193))),"Pending",IF(OR(Q193="PASS",ISNUMBER(SEARCH("PASS",K193&amp;" "&amp;Q193))),"Done","Pending"))))</f>
        <v>Not started</v>
      </c>
      <c r="U193" s="146" t="str">
        <f>IF(OR(C193="Admin optional",LEFT(A193,9)="OPERATOR-",LEFT(A193,8)="PAYMENT-",LEFT(A193,7)="DEPLOY-"),"External","Core")</f>
        <v>External</v>
      </c>
    </row>
    <row r="194" customFormat="false" ht="15" hidden="false" customHeight="false" outlineLevel="0" collapsed="false">
      <c r="A194" s="243" t="s">
        <v>1742</v>
      </c>
      <c r="B194" s="243" t="s">
        <v>119</v>
      </c>
      <c r="C194" s="243" t="s">
        <v>45</v>
      </c>
      <c r="D194" s="243" t="s">
        <v>1743</v>
      </c>
      <c r="E194" s="243" t="s">
        <v>1744</v>
      </c>
      <c r="F194" s="243" t="s">
        <v>4</v>
      </c>
      <c r="G194" s="243" t="s">
        <v>1745</v>
      </c>
      <c r="H194" s="243" t="s">
        <v>4</v>
      </c>
      <c r="I194" s="243" t="s">
        <v>4</v>
      </c>
      <c r="J194" s="243" t="s">
        <v>1746</v>
      </c>
      <c r="K194" s="243" t="s">
        <v>137</v>
      </c>
      <c r="L194" s="243" t="s">
        <v>1</v>
      </c>
      <c r="M194" s="243" t="s">
        <v>1</v>
      </c>
      <c r="N194" s="243" t="s">
        <v>1</v>
      </c>
      <c r="O194" s="243" t="s">
        <v>1747</v>
      </c>
      <c r="P194" s="243" t="s">
        <v>1748</v>
      </c>
      <c r="Q194" s="243" t="s">
        <v>1</v>
      </c>
      <c r="R194" s="243" t="s">
        <v>1749</v>
      </c>
      <c r="S194" s="243" t="s">
        <v>132</v>
      </c>
      <c r="T194" s="146" t="str">
        <f>IF(OR(ISNUMBER(SEARCH("FAIL",K194&amp;" "&amp;Q194)),ISNUMBER(SEARCH("CLEAN RETEST REQUIRED",K194&amp;" "&amp;Q194))),"Failed",IF(OR(ISNUMBER(SEARCH("NOT RUN",K194&amp;" "&amp;Q194)),ISNUMBER(SEARCH("NOT IMPLEMENTED",K194&amp;" "&amp;Q194))),"Not started",IF(OR(ISNUMBER(SEARCH("PARTIAL",K194&amp;" "&amp;Q194)),ISNUMBER(SEARCH("PENDING",K194&amp;" "&amp;Q194)),ISNUMBER(SEARCH("IN PROGRESS",K194&amp;" "&amp;Q194)),ISNUMBER(SEARCH("OPEN",K194&amp;" "&amp;Q194)),ISNUMBER(SEARCH("RETEST REQUIRED",K194&amp;" "&amp;Q194)),ISNUMBER(SEARCH("IMPLEMENTATION UPDATED",K194&amp;" "&amp;Q194)),ISNUMBER(SEARCH("REQUIRED EVERY SESSION",K194&amp;" "&amp;Q194))),"Pending",IF(OR(Q194="PASS",ISNUMBER(SEARCH("PASS",K194&amp;" "&amp;Q194))),"Done","Pending"))))</f>
        <v>Not started</v>
      </c>
      <c r="U194" s="146" t="str">
        <f>IF(OR(C194="Admin optional",LEFT(A194,9)="OPERATOR-",LEFT(A194,8)="PAYMENT-",LEFT(A194,7)="DEPLOY-"),"External","Core")</f>
        <v>External</v>
      </c>
    </row>
    <row r="195" customFormat="false" ht="15" hidden="false" customHeight="false" outlineLevel="0" collapsed="false">
      <c r="A195" s="243" t="s">
        <v>1750</v>
      </c>
      <c r="B195" s="243" t="s">
        <v>119</v>
      </c>
      <c r="C195" s="243" t="s">
        <v>45</v>
      </c>
      <c r="D195" s="243" t="s">
        <v>1743</v>
      </c>
      <c r="E195" s="243" t="s">
        <v>1751</v>
      </c>
      <c r="F195" s="243" t="s">
        <v>4</v>
      </c>
      <c r="G195" s="243" t="s">
        <v>1752</v>
      </c>
      <c r="H195" s="243" t="s">
        <v>4</v>
      </c>
      <c r="I195" s="243" t="s">
        <v>4</v>
      </c>
      <c r="J195" s="243" t="s">
        <v>1753</v>
      </c>
      <c r="K195" s="243" t="s">
        <v>137</v>
      </c>
      <c r="L195" s="243" t="s">
        <v>1</v>
      </c>
      <c r="M195" s="243" t="s">
        <v>1</v>
      </c>
      <c r="N195" s="243" t="s">
        <v>1</v>
      </c>
      <c r="O195" s="243" t="s">
        <v>1754</v>
      </c>
      <c r="P195" s="243" t="s">
        <v>1755</v>
      </c>
      <c r="Q195" s="243" t="s">
        <v>1</v>
      </c>
      <c r="R195" s="243" t="s">
        <v>1756</v>
      </c>
      <c r="S195" s="243" t="s">
        <v>392</v>
      </c>
      <c r="T195" s="146" t="str">
        <f>IF(OR(ISNUMBER(SEARCH("FAIL",K195&amp;" "&amp;Q195)),ISNUMBER(SEARCH("CLEAN RETEST REQUIRED",K195&amp;" "&amp;Q195))),"Failed",IF(OR(ISNUMBER(SEARCH("NOT RUN",K195&amp;" "&amp;Q195)),ISNUMBER(SEARCH("NOT IMPLEMENTED",K195&amp;" "&amp;Q195))),"Not started",IF(OR(ISNUMBER(SEARCH("PARTIAL",K195&amp;" "&amp;Q195)),ISNUMBER(SEARCH("PENDING",K195&amp;" "&amp;Q195)),ISNUMBER(SEARCH("IN PROGRESS",K195&amp;" "&amp;Q195)),ISNUMBER(SEARCH("OPEN",K195&amp;" "&amp;Q195)),ISNUMBER(SEARCH("RETEST REQUIRED",K195&amp;" "&amp;Q195)),ISNUMBER(SEARCH("IMPLEMENTATION UPDATED",K195&amp;" "&amp;Q195)),ISNUMBER(SEARCH("REQUIRED EVERY SESSION",K195&amp;" "&amp;Q195))),"Pending",IF(OR(Q195="PASS",ISNUMBER(SEARCH("PASS",K195&amp;" "&amp;Q195))),"Done","Pending"))))</f>
        <v>Not started</v>
      </c>
      <c r="U195" s="146" t="str">
        <f>IF(OR(C195="Admin optional",LEFT(A195,9)="OPERATOR-",LEFT(A195,8)="PAYMENT-",LEFT(A195,7)="DEPLOY-"),"External","Core")</f>
        <v>External</v>
      </c>
    </row>
    <row r="196" customFormat="false" ht="15" hidden="false" customHeight="false" outlineLevel="0" collapsed="false">
      <c r="A196" s="243" t="s">
        <v>1757</v>
      </c>
      <c r="B196" s="243" t="s">
        <v>1208</v>
      </c>
      <c r="C196" s="243" t="s">
        <v>45</v>
      </c>
      <c r="D196" s="243" t="s">
        <v>1758</v>
      </c>
      <c r="E196" s="243" t="s">
        <v>1759</v>
      </c>
      <c r="F196" s="243" t="s">
        <v>4</v>
      </c>
      <c r="G196" s="243" t="s">
        <v>1760</v>
      </c>
      <c r="H196" s="243" t="s">
        <v>4</v>
      </c>
      <c r="I196" s="243" t="s">
        <v>1761</v>
      </c>
      <c r="J196" s="243" t="s">
        <v>1762</v>
      </c>
      <c r="K196" s="243" t="s">
        <v>137</v>
      </c>
      <c r="L196" s="243" t="s">
        <v>1</v>
      </c>
      <c r="M196" s="243" t="s">
        <v>1</v>
      </c>
      <c r="N196" s="243" t="s">
        <v>1</v>
      </c>
      <c r="O196" s="243" t="s">
        <v>1763</v>
      </c>
      <c r="P196" s="243" t="s">
        <v>1764</v>
      </c>
      <c r="Q196" s="243" t="s">
        <v>1</v>
      </c>
      <c r="R196" s="243" t="s">
        <v>1765</v>
      </c>
      <c r="S196" s="243" t="s">
        <v>106</v>
      </c>
      <c r="T196" s="146" t="str">
        <f>IF(OR(ISNUMBER(SEARCH("FAIL",K196&amp;" "&amp;Q196)),ISNUMBER(SEARCH("CLEAN RETEST REQUIRED",K196&amp;" "&amp;Q196))),"Failed",IF(OR(ISNUMBER(SEARCH("NOT RUN",K196&amp;" "&amp;Q196)),ISNUMBER(SEARCH("NOT IMPLEMENTED",K196&amp;" "&amp;Q196))),"Not started",IF(OR(ISNUMBER(SEARCH("PARTIAL",K196&amp;" "&amp;Q196)),ISNUMBER(SEARCH("PENDING",K196&amp;" "&amp;Q196)),ISNUMBER(SEARCH("IN PROGRESS",K196&amp;" "&amp;Q196)),ISNUMBER(SEARCH("OPEN",K196&amp;" "&amp;Q196)),ISNUMBER(SEARCH("RETEST REQUIRED",K196&amp;" "&amp;Q196)),ISNUMBER(SEARCH("IMPLEMENTATION UPDATED",K196&amp;" "&amp;Q196)),ISNUMBER(SEARCH("REQUIRED EVERY SESSION",K196&amp;" "&amp;Q196))),"Pending",IF(OR(Q196="PASS",ISNUMBER(SEARCH("PASS",K196&amp;" "&amp;Q196))),"Done","Pending"))))</f>
        <v>Not started</v>
      </c>
      <c r="U196" s="146" t="str">
        <f>IF(OR(C196="Admin optional",LEFT(A196,9)="OPERATOR-",LEFT(A196,8)="PAYMENT-",LEFT(A196,7)="DEPLOY-"),"External","Core")</f>
        <v>External</v>
      </c>
    </row>
    <row r="197" customFormat="false" ht="15" hidden="false" customHeight="false" outlineLevel="0" collapsed="false">
      <c r="A197" s="243" t="s">
        <v>1766</v>
      </c>
      <c r="B197" s="243" t="s">
        <v>1208</v>
      </c>
      <c r="C197" s="243" t="s">
        <v>45</v>
      </c>
      <c r="D197" s="243" t="s">
        <v>1758</v>
      </c>
      <c r="E197" s="243" t="s">
        <v>1767</v>
      </c>
      <c r="F197" s="243" t="s">
        <v>4</v>
      </c>
      <c r="G197" s="243" t="s">
        <v>1768</v>
      </c>
      <c r="H197" s="243" t="s">
        <v>4</v>
      </c>
      <c r="I197" s="243" t="s">
        <v>1769</v>
      </c>
      <c r="J197" s="243" t="s">
        <v>1770</v>
      </c>
      <c r="K197" s="243" t="s">
        <v>1215</v>
      </c>
      <c r="L197" s="243" t="s">
        <v>1</v>
      </c>
      <c r="M197" s="243" t="s">
        <v>1</v>
      </c>
      <c r="N197" s="243" t="s">
        <v>1</v>
      </c>
      <c r="O197" s="243" t="s">
        <v>1771</v>
      </c>
      <c r="P197" s="243" t="s">
        <v>1772</v>
      </c>
      <c r="Q197" s="243" t="s">
        <v>1</v>
      </c>
      <c r="R197" s="243" t="s">
        <v>1773</v>
      </c>
      <c r="S197" s="243" t="s">
        <v>106</v>
      </c>
      <c r="T197" s="146" t="str">
        <f>IF(OR(ISNUMBER(SEARCH("FAIL",K197&amp;" "&amp;Q197)),ISNUMBER(SEARCH("CLEAN RETEST REQUIRED",K197&amp;" "&amp;Q197))),"Failed",IF(OR(ISNUMBER(SEARCH("NOT RUN",K197&amp;" "&amp;Q197)),ISNUMBER(SEARCH("NOT IMPLEMENTED",K197&amp;" "&amp;Q197))),"Not started",IF(OR(ISNUMBER(SEARCH("PARTIAL",K197&amp;" "&amp;Q197)),ISNUMBER(SEARCH("PENDING",K197&amp;" "&amp;Q197)),ISNUMBER(SEARCH("IN PROGRESS",K197&amp;" "&amp;Q197)),ISNUMBER(SEARCH("OPEN",K197&amp;" "&amp;Q197)),ISNUMBER(SEARCH("RETEST REQUIRED",K197&amp;" "&amp;Q197)),ISNUMBER(SEARCH("IMPLEMENTATION UPDATED",K197&amp;" "&amp;Q197)),ISNUMBER(SEARCH("REQUIRED EVERY SESSION",K197&amp;" "&amp;Q197))),"Pending",IF(OR(Q197="PASS",ISNUMBER(SEARCH("PASS",K197&amp;" "&amp;Q197))),"Done","Pending"))))</f>
        <v>Not started</v>
      </c>
      <c r="U197" s="146" t="str">
        <f>IF(OR(C197="Admin optional",LEFT(A197,9)="OPERATOR-",LEFT(A197,8)="PAYMENT-",LEFT(A197,7)="DEPLOY-"),"External","Core")</f>
        <v>External</v>
      </c>
    </row>
    <row r="198" customFormat="false" ht="15" hidden="false" customHeight="false" outlineLevel="0" collapsed="false">
      <c r="A198" s="243" t="s">
        <v>1774</v>
      </c>
      <c r="B198" s="243" t="s">
        <v>1775</v>
      </c>
      <c r="C198" s="243" t="s">
        <v>45</v>
      </c>
      <c r="D198" s="243" t="s">
        <v>1776</v>
      </c>
      <c r="E198" s="243" t="s">
        <v>1777</v>
      </c>
      <c r="F198" s="243" t="s">
        <v>4</v>
      </c>
      <c r="G198" s="243" t="s">
        <v>1778</v>
      </c>
      <c r="H198" s="243" t="s">
        <v>4</v>
      </c>
      <c r="I198" s="243" t="s">
        <v>4</v>
      </c>
      <c r="J198" s="243" t="s">
        <v>1779</v>
      </c>
      <c r="K198" s="243" t="s">
        <v>137</v>
      </c>
      <c r="L198" s="243" t="s">
        <v>1</v>
      </c>
      <c r="M198" s="243" t="s">
        <v>1</v>
      </c>
      <c r="N198" s="243" t="s">
        <v>1</v>
      </c>
      <c r="O198" s="243" t="s">
        <v>1780</v>
      </c>
      <c r="P198" s="243" t="s">
        <v>1781</v>
      </c>
      <c r="Q198" s="243" t="s">
        <v>1</v>
      </c>
      <c r="R198" s="243" t="s">
        <v>1782</v>
      </c>
      <c r="S198" s="243" t="s">
        <v>106</v>
      </c>
      <c r="T198" s="146" t="str">
        <f>IF(OR(ISNUMBER(SEARCH("FAIL",K198&amp;" "&amp;Q198)),ISNUMBER(SEARCH("CLEAN RETEST REQUIRED",K198&amp;" "&amp;Q198))),"Failed",IF(OR(ISNUMBER(SEARCH("NOT RUN",K198&amp;" "&amp;Q198)),ISNUMBER(SEARCH("NOT IMPLEMENTED",K198&amp;" "&amp;Q198))),"Not started",IF(OR(ISNUMBER(SEARCH("PARTIAL",K198&amp;" "&amp;Q198)),ISNUMBER(SEARCH("PENDING",K198&amp;" "&amp;Q198)),ISNUMBER(SEARCH("IN PROGRESS",K198&amp;" "&amp;Q198)),ISNUMBER(SEARCH("OPEN",K198&amp;" "&amp;Q198)),ISNUMBER(SEARCH("RETEST REQUIRED",K198&amp;" "&amp;Q198)),ISNUMBER(SEARCH("IMPLEMENTATION UPDATED",K198&amp;" "&amp;Q198)),ISNUMBER(SEARCH("REQUIRED EVERY SESSION",K198&amp;" "&amp;Q198))),"Pending",IF(OR(Q198="PASS",ISNUMBER(SEARCH("PASS",K198&amp;" "&amp;Q198))),"Done","Pending"))))</f>
        <v>Not started</v>
      </c>
      <c r="U198" s="146" t="str">
        <f>IF(OR(C198="Admin optional",LEFT(A198,9)="OPERATOR-",LEFT(A198,8)="PAYMENT-",LEFT(A198,7)="DEPLOY-"),"External","Core")</f>
        <v>External</v>
      </c>
    </row>
    <row r="199" customFormat="false" ht="15" hidden="false" customHeight="false" outlineLevel="0" collapsed="false">
      <c r="A199" s="243" t="s">
        <v>1783</v>
      </c>
      <c r="B199" s="243" t="s">
        <v>1775</v>
      </c>
      <c r="C199" s="243" t="s">
        <v>45</v>
      </c>
      <c r="D199" s="243" t="s">
        <v>1776</v>
      </c>
      <c r="E199" s="243" t="s">
        <v>1784</v>
      </c>
      <c r="F199" s="243" t="s">
        <v>4</v>
      </c>
      <c r="G199" s="243" t="s">
        <v>1785</v>
      </c>
      <c r="H199" s="243" t="s">
        <v>4</v>
      </c>
      <c r="I199" s="243" t="s">
        <v>1786</v>
      </c>
      <c r="J199" s="243" t="s">
        <v>1787</v>
      </c>
      <c r="K199" s="243" t="s">
        <v>137</v>
      </c>
      <c r="L199" s="243" t="s">
        <v>1</v>
      </c>
      <c r="M199" s="243" t="s">
        <v>1</v>
      </c>
      <c r="N199" s="243" t="s">
        <v>1</v>
      </c>
      <c r="O199" s="243" t="s">
        <v>1788</v>
      </c>
      <c r="P199" s="243" t="s">
        <v>1789</v>
      </c>
      <c r="Q199" s="243" t="s">
        <v>1</v>
      </c>
      <c r="R199" s="243" t="s">
        <v>1790</v>
      </c>
      <c r="S199" s="243" t="s">
        <v>106</v>
      </c>
      <c r="T199" s="146" t="str">
        <f>IF(OR(ISNUMBER(SEARCH("FAIL",K199&amp;" "&amp;Q199)),ISNUMBER(SEARCH("CLEAN RETEST REQUIRED",K199&amp;" "&amp;Q199))),"Failed",IF(OR(ISNUMBER(SEARCH("NOT RUN",K199&amp;" "&amp;Q199)),ISNUMBER(SEARCH("NOT IMPLEMENTED",K199&amp;" "&amp;Q199))),"Not started",IF(OR(ISNUMBER(SEARCH("PARTIAL",K199&amp;" "&amp;Q199)),ISNUMBER(SEARCH("PENDING",K199&amp;" "&amp;Q199)),ISNUMBER(SEARCH("IN PROGRESS",K199&amp;" "&amp;Q199)),ISNUMBER(SEARCH("OPEN",K199&amp;" "&amp;Q199)),ISNUMBER(SEARCH("RETEST REQUIRED",K199&amp;" "&amp;Q199)),ISNUMBER(SEARCH("IMPLEMENTATION UPDATED",K199&amp;" "&amp;Q199)),ISNUMBER(SEARCH("REQUIRED EVERY SESSION",K199&amp;" "&amp;Q199))),"Pending",IF(OR(Q199="PASS",ISNUMBER(SEARCH("PASS",K199&amp;" "&amp;Q199))),"Done","Pending"))))</f>
        <v>Not started</v>
      </c>
      <c r="U199" s="146" t="str">
        <f>IF(OR(C199="Admin optional",LEFT(A199,9)="OPERATOR-",LEFT(A199,8)="PAYMENT-",LEFT(A199,7)="DEPLOY-"),"External","Core")</f>
        <v>External</v>
      </c>
    </row>
    <row r="200" customFormat="false" ht="15" hidden="false" customHeight="false" outlineLevel="0" collapsed="false">
      <c r="A200" s="243" t="s">
        <v>1791</v>
      </c>
      <c r="B200" s="243" t="s">
        <v>1775</v>
      </c>
      <c r="C200" s="243" t="s">
        <v>45</v>
      </c>
      <c r="D200" s="243" t="s">
        <v>1792</v>
      </c>
      <c r="E200" s="243" t="s">
        <v>1793</v>
      </c>
      <c r="F200" s="243" t="s">
        <v>4</v>
      </c>
      <c r="G200" s="243" t="s">
        <v>1794</v>
      </c>
      <c r="H200" s="243" t="s">
        <v>4</v>
      </c>
      <c r="I200" s="243" t="s">
        <v>1795</v>
      </c>
      <c r="J200" s="243" t="s">
        <v>1796</v>
      </c>
      <c r="K200" s="243" t="s">
        <v>137</v>
      </c>
      <c r="L200" s="243" t="s">
        <v>1</v>
      </c>
      <c r="M200" s="243" t="s">
        <v>1</v>
      </c>
      <c r="N200" s="243" t="s">
        <v>1</v>
      </c>
      <c r="O200" s="243" t="s">
        <v>1797</v>
      </c>
      <c r="P200" s="243" t="s">
        <v>1798</v>
      </c>
      <c r="Q200" s="243" t="s">
        <v>1</v>
      </c>
      <c r="R200" s="243" t="s">
        <v>1799</v>
      </c>
      <c r="S200" s="243" t="s">
        <v>106</v>
      </c>
      <c r="T200" s="146" t="str">
        <f>IF(OR(ISNUMBER(SEARCH("FAIL",K200&amp;" "&amp;Q200)),ISNUMBER(SEARCH("CLEAN RETEST REQUIRED",K200&amp;" "&amp;Q200))),"Failed",IF(OR(ISNUMBER(SEARCH("NOT RUN",K200&amp;" "&amp;Q200)),ISNUMBER(SEARCH("NOT IMPLEMENTED",K200&amp;" "&amp;Q200))),"Not started",IF(OR(ISNUMBER(SEARCH("PARTIAL",K200&amp;" "&amp;Q200)),ISNUMBER(SEARCH("PENDING",K200&amp;" "&amp;Q200)),ISNUMBER(SEARCH("IN PROGRESS",K200&amp;" "&amp;Q200)),ISNUMBER(SEARCH("OPEN",K200&amp;" "&amp;Q200)),ISNUMBER(SEARCH("RETEST REQUIRED",K200&amp;" "&amp;Q200)),ISNUMBER(SEARCH("IMPLEMENTATION UPDATED",K200&amp;" "&amp;Q200)),ISNUMBER(SEARCH("REQUIRED EVERY SESSION",K200&amp;" "&amp;Q200))),"Pending",IF(OR(Q200="PASS",ISNUMBER(SEARCH("PASS",K200&amp;" "&amp;Q200))),"Done","Pending"))))</f>
        <v>Not started</v>
      </c>
      <c r="U200" s="146" t="str">
        <f>IF(OR(C200="Admin optional",LEFT(A200,9)="OPERATOR-",LEFT(A200,8)="PAYMENT-",LEFT(A200,7)="DEPLOY-"),"External","Core")</f>
        <v>External</v>
      </c>
    </row>
    <row r="201" customFormat="false" ht="15" hidden="false" customHeight="false" outlineLevel="0" collapsed="false">
      <c r="A201" s="243" t="s">
        <v>1800</v>
      </c>
      <c r="B201" s="243" t="s">
        <v>1775</v>
      </c>
      <c r="C201" s="243" t="s">
        <v>45</v>
      </c>
      <c r="D201" s="243" t="s">
        <v>1801</v>
      </c>
      <c r="E201" s="243" t="s">
        <v>1802</v>
      </c>
      <c r="F201" s="243" t="s">
        <v>4</v>
      </c>
      <c r="G201" s="243" t="s">
        <v>1803</v>
      </c>
      <c r="H201" s="243" t="s">
        <v>4</v>
      </c>
      <c r="I201" s="243" t="s">
        <v>1804</v>
      </c>
      <c r="J201" s="243" t="s">
        <v>1805</v>
      </c>
      <c r="K201" s="243" t="s">
        <v>137</v>
      </c>
      <c r="L201" s="243" t="s">
        <v>1</v>
      </c>
      <c r="M201" s="243" t="s">
        <v>1</v>
      </c>
      <c r="N201" s="243" t="s">
        <v>1</v>
      </c>
      <c r="O201" s="243" t="s">
        <v>1806</v>
      </c>
      <c r="P201" s="243" t="s">
        <v>1807</v>
      </c>
      <c r="Q201" s="243" t="s">
        <v>1</v>
      </c>
      <c r="R201" s="243" t="s">
        <v>1808</v>
      </c>
      <c r="S201" s="243" t="s">
        <v>106</v>
      </c>
      <c r="T201" s="146" t="str">
        <f>IF(OR(ISNUMBER(SEARCH("FAIL",K201&amp;" "&amp;Q201)),ISNUMBER(SEARCH("CLEAN RETEST REQUIRED",K201&amp;" "&amp;Q201))),"Failed",IF(OR(ISNUMBER(SEARCH("NOT RUN",K201&amp;" "&amp;Q201)),ISNUMBER(SEARCH("NOT IMPLEMENTED",K201&amp;" "&amp;Q201))),"Not started",IF(OR(ISNUMBER(SEARCH("PARTIAL",K201&amp;" "&amp;Q201)),ISNUMBER(SEARCH("PENDING",K201&amp;" "&amp;Q201)),ISNUMBER(SEARCH("IN PROGRESS",K201&amp;" "&amp;Q201)),ISNUMBER(SEARCH("OPEN",K201&amp;" "&amp;Q201)),ISNUMBER(SEARCH("RETEST REQUIRED",K201&amp;" "&amp;Q201)),ISNUMBER(SEARCH("IMPLEMENTATION UPDATED",K201&amp;" "&amp;Q201)),ISNUMBER(SEARCH("REQUIRED EVERY SESSION",K201&amp;" "&amp;Q201))),"Pending",IF(OR(Q201="PASS",ISNUMBER(SEARCH("PASS",K201&amp;" "&amp;Q201))),"Done","Pending"))))</f>
        <v>Not started</v>
      </c>
      <c r="U201" s="146" t="str">
        <f>IF(OR(C201="Admin optional",LEFT(A201,9)="OPERATOR-",LEFT(A201,8)="PAYMENT-",LEFT(A201,7)="DEPLOY-"),"External","Core")</f>
        <v>External</v>
      </c>
    </row>
    <row r="202" customFormat="false" ht="15" hidden="false" customHeight="false" outlineLevel="0" collapsed="false">
      <c r="A202" s="243" t="s">
        <v>1809</v>
      </c>
      <c r="B202" s="243" t="s">
        <v>1775</v>
      </c>
      <c r="C202" s="243" t="s">
        <v>45</v>
      </c>
      <c r="D202" s="243" t="s">
        <v>1810</v>
      </c>
      <c r="E202" s="243" t="s">
        <v>1811</v>
      </c>
      <c r="F202" s="243" t="s">
        <v>4</v>
      </c>
      <c r="G202" s="243" t="s">
        <v>1812</v>
      </c>
      <c r="H202" s="243" t="s">
        <v>4</v>
      </c>
      <c r="I202" s="243" t="s">
        <v>4</v>
      </c>
      <c r="J202" s="243" t="s">
        <v>1813</v>
      </c>
      <c r="K202" s="243" t="s">
        <v>137</v>
      </c>
      <c r="L202" s="243" t="s">
        <v>1</v>
      </c>
      <c r="M202" s="243" t="s">
        <v>1</v>
      </c>
      <c r="N202" s="243" t="s">
        <v>1</v>
      </c>
      <c r="O202" s="243" t="s">
        <v>1814</v>
      </c>
      <c r="P202" s="243" t="s">
        <v>1815</v>
      </c>
      <c r="Q202" s="243" t="s">
        <v>1</v>
      </c>
      <c r="R202" s="243" t="s">
        <v>1816</v>
      </c>
      <c r="S202" s="243" t="s">
        <v>392</v>
      </c>
      <c r="T202" s="146" t="str">
        <f>IF(OR(ISNUMBER(SEARCH("FAIL",K202&amp;" "&amp;Q202)),ISNUMBER(SEARCH("CLEAN RETEST REQUIRED",K202&amp;" "&amp;Q202))),"Failed",IF(OR(ISNUMBER(SEARCH("NOT RUN",K202&amp;" "&amp;Q202)),ISNUMBER(SEARCH("NOT IMPLEMENTED",K202&amp;" "&amp;Q202))),"Not started",IF(OR(ISNUMBER(SEARCH("PARTIAL",K202&amp;" "&amp;Q202)),ISNUMBER(SEARCH("PENDING",K202&amp;" "&amp;Q202)),ISNUMBER(SEARCH("IN PROGRESS",K202&amp;" "&amp;Q202)),ISNUMBER(SEARCH("OPEN",K202&amp;" "&amp;Q202)),ISNUMBER(SEARCH("RETEST REQUIRED",K202&amp;" "&amp;Q202)),ISNUMBER(SEARCH("IMPLEMENTATION UPDATED",K202&amp;" "&amp;Q202)),ISNUMBER(SEARCH("REQUIRED EVERY SESSION",K202&amp;" "&amp;Q202))),"Pending",IF(OR(Q202="PASS",ISNUMBER(SEARCH("PASS",K202&amp;" "&amp;Q202))),"Done","Pending"))))</f>
        <v>Not started</v>
      </c>
      <c r="U202" s="146" t="str">
        <f>IF(OR(C202="Admin optional",LEFT(A202,9)="OPERATOR-",LEFT(A202,8)="PAYMENT-",LEFT(A202,7)="DEPLOY-"),"External","Core")</f>
        <v>External</v>
      </c>
    </row>
    <row r="203" customFormat="false" ht="15" hidden="false" customHeight="false" outlineLevel="0" collapsed="false">
      <c r="A203" s="243" t="s">
        <v>1817</v>
      </c>
      <c r="B203" s="243" t="s">
        <v>1775</v>
      </c>
      <c r="C203" s="243" t="s">
        <v>45</v>
      </c>
      <c r="D203" s="243" t="s">
        <v>1818</v>
      </c>
      <c r="E203" s="243" t="s">
        <v>1819</v>
      </c>
      <c r="F203" s="243" t="s">
        <v>4</v>
      </c>
      <c r="G203" s="243" t="s">
        <v>1820</v>
      </c>
      <c r="H203" s="243" t="s">
        <v>4</v>
      </c>
      <c r="I203" s="243" t="s">
        <v>4</v>
      </c>
      <c r="J203" s="243" t="s">
        <v>1821</v>
      </c>
      <c r="K203" s="243" t="s">
        <v>137</v>
      </c>
      <c r="L203" s="243" t="s">
        <v>1</v>
      </c>
      <c r="M203" s="243" t="s">
        <v>1</v>
      </c>
      <c r="N203" s="243" t="s">
        <v>1</v>
      </c>
      <c r="O203" s="243" t="s">
        <v>1822</v>
      </c>
      <c r="P203" s="243" t="s">
        <v>1823</v>
      </c>
      <c r="Q203" s="243" t="s">
        <v>1</v>
      </c>
      <c r="R203" s="243" t="s">
        <v>1824</v>
      </c>
      <c r="S203" s="243" t="s">
        <v>106</v>
      </c>
      <c r="T203" s="146" t="str">
        <f>IF(OR(ISNUMBER(SEARCH("FAIL",K203&amp;" "&amp;Q203)),ISNUMBER(SEARCH("CLEAN RETEST REQUIRED",K203&amp;" "&amp;Q203))),"Failed",IF(OR(ISNUMBER(SEARCH("NOT RUN",K203&amp;" "&amp;Q203)),ISNUMBER(SEARCH("NOT IMPLEMENTED",K203&amp;" "&amp;Q203))),"Not started",IF(OR(ISNUMBER(SEARCH("PARTIAL",K203&amp;" "&amp;Q203)),ISNUMBER(SEARCH("PENDING",K203&amp;" "&amp;Q203)),ISNUMBER(SEARCH("IN PROGRESS",K203&amp;" "&amp;Q203)),ISNUMBER(SEARCH("OPEN",K203&amp;" "&amp;Q203)),ISNUMBER(SEARCH("RETEST REQUIRED",K203&amp;" "&amp;Q203)),ISNUMBER(SEARCH("IMPLEMENTATION UPDATED",K203&amp;" "&amp;Q203)),ISNUMBER(SEARCH("REQUIRED EVERY SESSION",K203&amp;" "&amp;Q203))),"Pending",IF(OR(Q203="PASS",ISNUMBER(SEARCH("PASS",K203&amp;" "&amp;Q203))),"Done","Pending"))))</f>
        <v>Not started</v>
      </c>
      <c r="U203" s="146" t="str">
        <f>IF(OR(C203="Admin optional",LEFT(A203,9)="OPERATOR-",LEFT(A203,8)="PAYMENT-",LEFT(A203,7)="DEPLOY-"),"External","Core")</f>
        <v>External</v>
      </c>
    </row>
    <row r="204" customFormat="false" ht="15" hidden="false" customHeight="false" outlineLevel="0" collapsed="false">
      <c r="A204" s="243" t="s">
        <v>1825</v>
      </c>
      <c r="B204" s="243" t="s">
        <v>1775</v>
      </c>
      <c r="C204" s="243" t="s">
        <v>45</v>
      </c>
      <c r="D204" s="243" t="s">
        <v>1826</v>
      </c>
      <c r="E204" s="243" t="s">
        <v>1827</v>
      </c>
      <c r="F204" s="243" t="s">
        <v>4</v>
      </c>
      <c r="G204" s="243" t="s">
        <v>1828</v>
      </c>
      <c r="H204" s="243" t="s">
        <v>4</v>
      </c>
      <c r="I204" s="243" t="s">
        <v>1829</v>
      </c>
      <c r="J204" s="243" t="s">
        <v>1830</v>
      </c>
      <c r="K204" s="243" t="s">
        <v>137</v>
      </c>
      <c r="L204" s="243" t="s">
        <v>1</v>
      </c>
      <c r="M204" s="243" t="s">
        <v>1</v>
      </c>
      <c r="N204" s="243" t="s">
        <v>1</v>
      </c>
      <c r="O204" s="243" t="s">
        <v>1831</v>
      </c>
      <c r="P204" s="243" t="s">
        <v>1832</v>
      </c>
      <c r="Q204" s="243" t="s">
        <v>1</v>
      </c>
      <c r="R204" s="243" t="s">
        <v>1833</v>
      </c>
      <c r="S204" s="243" t="s">
        <v>132</v>
      </c>
      <c r="T204" s="146" t="str">
        <f>IF(OR(ISNUMBER(SEARCH("FAIL",K204&amp;" "&amp;Q204)),ISNUMBER(SEARCH("CLEAN RETEST REQUIRED",K204&amp;" "&amp;Q204))),"Failed",IF(OR(ISNUMBER(SEARCH("NOT RUN",K204&amp;" "&amp;Q204)),ISNUMBER(SEARCH("NOT IMPLEMENTED",K204&amp;" "&amp;Q204))),"Not started",IF(OR(ISNUMBER(SEARCH("PARTIAL",K204&amp;" "&amp;Q204)),ISNUMBER(SEARCH("PENDING",K204&amp;" "&amp;Q204)),ISNUMBER(SEARCH("IN PROGRESS",K204&amp;" "&amp;Q204)),ISNUMBER(SEARCH("OPEN",K204&amp;" "&amp;Q204)),ISNUMBER(SEARCH("RETEST REQUIRED",K204&amp;" "&amp;Q204)),ISNUMBER(SEARCH("IMPLEMENTATION UPDATED",K204&amp;" "&amp;Q204)),ISNUMBER(SEARCH("REQUIRED EVERY SESSION",K204&amp;" "&amp;Q204))),"Pending",IF(OR(Q204="PASS",ISNUMBER(SEARCH("PASS",K204&amp;" "&amp;Q204))),"Done","Pending"))))</f>
        <v>Not started</v>
      </c>
      <c r="U204" s="146" t="str">
        <f>IF(OR(C204="Admin optional",LEFT(A204,9)="OPERATOR-",LEFT(A204,8)="PAYMENT-",LEFT(A204,7)="DEPLOY-"),"External","Core")</f>
        <v>External</v>
      </c>
    </row>
    <row r="205" customFormat="false" ht="15" hidden="false" customHeight="false" outlineLevel="0" collapsed="false">
      <c r="A205" s="243" t="s">
        <v>1834</v>
      </c>
      <c r="B205" s="243" t="s">
        <v>1775</v>
      </c>
      <c r="C205" s="243" t="s">
        <v>45</v>
      </c>
      <c r="D205" s="243" t="s">
        <v>1835</v>
      </c>
      <c r="E205" s="243" t="s">
        <v>1836</v>
      </c>
      <c r="F205" s="243" t="s">
        <v>225</v>
      </c>
      <c r="G205" s="243" t="s">
        <v>1837</v>
      </c>
      <c r="H205" s="243" t="s">
        <v>4</v>
      </c>
      <c r="I205" s="243" t="s">
        <v>1838</v>
      </c>
      <c r="J205" s="243" t="s">
        <v>1839</v>
      </c>
      <c r="K205" s="243" t="s">
        <v>137</v>
      </c>
      <c r="L205" s="243" t="s">
        <v>1</v>
      </c>
      <c r="M205" s="243" t="s">
        <v>1</v>
      </c>
      <c r="N205" s="243" t="s">
        <v>1</v>
      </c>
      <c r="O205" s="243" t="s">
        <v>1840</v>
      </c>
      <c r="P205" s="243" t="s">
        <v>1841</v>
      </c>
      <c r="Q205" s="243" t="s">
        <v>1</v>
      </c>
      <c r="R205" s="243" t="s">
        <v>1842</v>
      </c>
      <c r="S205" s="243" t="s">
        <v>106</v>
      </c>
      <c r="T205" s="146" t="str">
        <f>IF(OR(ISNUMBER(SEARCH("FAIL",K205&amp;" "&amp;Q205)),ISNUMBER(SEARCH("CLEAN RETEST REQUIRED",K205&amp;" "&amp;Q205))),"Failed",IF(OR(ISNUMBER(SEARCH("NOT RUN",K205&amp;" "&amp;Q205)),ISNUMBER(SEARCH("NOT IMPLEMENTED",K205&amp;" "&amp;Q205))),"Not started",IF(OR(ISNUMBER(SEARCH("PARTIAL",K205&amp;" "&amp;Q205)),ISNUMBER(SEARCH("PENDING",K205&amp;" "&amp;Q205)),ISNUMBER(SEARCH("IN PROGRESS",K205&amp;" "&amp;Q205)),ISNUMBER(SEARCH("OPEN",K205&amp;" "&amp;Q205)),ISNUMBER(SEARCH("RETEST REQUIRED",K205&amp;" "&amp;Q205)),ISNUMBER(SEARCH("IMPLEMENTATION UPDATED",K205&amp;" "&amp;Q205)),ISNUMBER(SEARCH("REQUIRED EVERY SESSION",K205&amp;" "&amp;Q205))),"Pending",IF(OR(Q205="PASS",ISNUMBER(SEARCH("PASS",K205&amp;" "&amp;Q205))),"Done","Pending"))))</f>
        <v>Not started</v>
      </c>
      <c r="U205" s="146" t="str">
        <f>IF(OR(C205="Admin optional",LEFT(A205,9)="OPERATOR-",LEFT(A205,8)="PAYMENT-",LEFT(A205,7)="DEPLOY-"),"External","Core")</f>
        <v>External</v>
      </c>
    </row>
    <row r="206" customFormat="false" ht="15" hidden="false" customHeight="false" outlineLevel="0" collapsed="false">
      <c r="A206" s="243" t="s">
        <v>1843</v>
      </c>
      <c r="B206" s="243" t="s">
        <v>1775</v>
      </c>
      <c r="C206" s="243" t="s">
        <v>45</v>
      </c>
      <c r="D206" s="243" t="s">
        <v>1844</v>
      </c>
      <c r="E206" s="243" t="s">
        <v>1845</v>
      </c>
      <c r="F206" s="243" t="s">
        <v>1846</v>
      </c>
      <c r="G206" s="243" t="s">
        <v>4</v>
      </c>
      <c r="H206" s="243" t="s">
        <v>1847</v>
      </c>
      <c r="I206" s="243" t="s">
        <v>4</v>
      </c>
      <c r="J206" s="243" t="s">
        <v>1848</v>
      </c>
      <c r="K206" s="243" t="s">
        <v>137</v>
      </c>
      <c r="L206" s="243" t="s">
        <v>1</v>
      </c>
      <c r="M206" s="243" t="s">
        <v>1</v>
      </c>
      <c r="N206" s="243" t="s">
        <v>1</v>
      </c>
      <c r="O206" s="243" t="s">
        <v>1849</v>
      </c>
      <c r="P206" s="243" t="s">
        <v>1850</v>
      </c>
      <c r="Q206" s="243" t="s">
        <v>1</v>
      </c>
      <c r="R206" s="243" t="s">
        <v>1851</v>
      </c>
      <c r="S206" s="243" t="s">
        <v>843</v>
      </c>
      <c r="T206" s="146" t="str">
        <f>IF(OR(ISNUMBER(SEARCH("FAIL",K206&amp;" "&amp;Q206)),ISNUMBER(SEARCH("CLEAN RETEST REQUIRED",K206&amp;" "&amp;Q206))),"Failed",IF(OR(ISNUMBER(SEARCH("NOT RUN",K206&amp;" "&amp;Q206)),ISNUMBER(SEARCH("NOT IMPLEMENTED",K206&amp;" "&amp;Q206))),"Not started",IF(OR(ISNUMBER(SEARCH("PARTIAL",K206&amp;" "&amp;Q206)),ISNUMBER(SEARCH("PENDING",K206&amp;" "&amp;Q206)),ISNUMBER(SEARCH("IN PROGRESS",K206&amp;" "&amp;Q206)),ISNUMBER(SEARCH("OPEN",K206&amp;" "&amp;Q206)),ISNUMBER(SEARCH("RETEST REQUIRED",K206&amp;" "&amp;Q206)),ISNUMBER(SEARCH("IMPLEMENTATION UPDATED",K206&amp;" "&amp;Q206)),ISNUMBER(SEARCH("REQUIRED EVERY SESSION",K206&amp;" "&amp;Q206))),"Pending",IF(OR(Q206="PASS",ISNUMBER(SEARCH("PASS",K206&amp;" "&amp;Q206))),"Done","Pending"))))</f>
        <v>Not started</v>
      </c>
      <c r="U206" s="146" t="str">
        <f>IF(OR(C206="Admin optional",LEFT(A206,9)="OPERATOR-",LEFT(A206,8)="PAYMENT-",LEFT(A206,7)="DEPLOY-"),"External","Core")</f>
        <v>External</v>
      </c>
    </row>
    <row r="207" customFormat="false" ht="15" hidden="false" customHeight="false" outlineLevel="0" collapsed="false">
      <c r="A207" s="243" t="s">
        <v>1852</v>
      </c>
      <c r="B207" s="243" t="s">
        <v>1775</v>
      </c>
      <c r="C207" s="243" t="s">
        <v>45</v>
      </c>
      <c r="D207" s="243" t="s">
        <v>1853</v>
      </c>
      <c r="E207" s="243" t="s">
        <v>1854</v>
      </c>
      <c r="F207" s="243" t="s">
        <v>1855</v>
      </c>
      <c r="G207" s="243" t="s">
        <v>1856</v>
      </c>
      <c r="H207" s="243" t="s">
        <v>4</v>
      </c>
      <c r="I207" s="243" t="s">
        <v>1857</v>
      </c>
      <c r="J207" s="243" t="s">
        <v>1858</v>
      </c>
      <c r="K207" s="243" t="s">
        <v>137</v>
      </c>
      <c r="L207" s="243" t="s">
        <v>1</v>
      </c>
      <c r="M207" s="243" t="s">
        <v>1</v>
      </c>
      <c r="N207" s="243" t="s">
        <v>1</v>
      </c>
      <c r="O207" s="243" t="s">
        <v>1859</v>
      </c>
      <c r="P207" s="243" t="s">
        <v>1860</v>
      </c>
      <c r="Q207" s="243" t="s">
        <v>1</v>
      </c>
      <c r="R207" s="243" t="s">
        <v>1861</v>
      </c>
      <c r="S207" s="243" t="s">
        <v>843</v>
      </c>
      <c r="T207" s="146" t="str">
        <f>IF(OR(ISNUMBER(SEARCH("FAIL",K207&amp;" "&amp;Q207)),ISNUMBER(SEARCH("CLEAN RETEST REQUIRED",K207&amp;" "&amp;Q207))),"Failed",IF(OR(ISNUMBER(SEARCH("NOT RUN",K207&amp;" "&amp;Q207)),ISNUMBER(SEARCH("NOT IMPLEMENTED",K207&amp;" "&amp;Q207))),"Not started",IF(OR(ISNUMBER(SEARCH("PARTIAL",K207&amp;" "&amp;Q207)),ISNUMBER(SEARCH("PENDING",K207&amp;" "&amp;Q207)),ISNUMBER(SEARCH("IN PROGRESS",K207&amp;" "&amp;Q207)),ISNUMBER(SEARCH("OPEN",K207&amp;" "&amp;Q207)),ISNUMBER(SEARCH("RETEST REQUIRED",K207&amp;" "&amp;Q207)),ISNUMBER(SEARCH("IMPLEMENTATION UPDATED",K207&amp;" "&amp;Q207)),ISNUMBER(SEARCH("REQUIRED EVERY SESSION",K207&amp;" "&amp;Q207))),"Pending",IF(OR(Q207="PASS",ISNUMBER(SEARCH("PASS",K207&amp;" "&amp;Q207))),"Done","Pending"))))</f>
        <v>Not started</v>
      </c>
      <c r="U207" s="146" t="str">
        <f>IF(OR(C207="Admin optional",LEFT(A207,9)="OPERATOR-",LEFT(A207,8)="PAYMENT-",LEFT(A207,7)="DEPLOY-"),"External","Core")</f>
        <v>External</v>
      </c>
    </row>
    <row r="208" customFormat="false" ht="15" hidden="false" customHeight="false" outlineLevel="0" collapsed="false">
      <c r="A208" s="243" t="s">
        <v>1862</v>
      </c>
      <c r="B208" s="243" t="s">
        <v>1775</v>
      </c>
      <c r="C208" s="243" t="s">
        <v>45</v>
      </c>
      <c r="D208" s="243" t="s">
        <v>1863</v>
      </c>
      <c r="E208" s="243" t="s">
        <v>1864</v>
      </c>
      <c r="F208" s="243" t="s">
        <v>4</v>
      </c>
      <c r="G208" s="243" t="s">
        <v>1865</v>
      </c>
      <c r="H208" s="243" t="s">
        <v>4</v>
      </c>
      <c r="I208" s="243" t="s">
        <v>4</v>
      </c>
      <c r="J208" s="243" t="s">
        <v>1866</v>
      </c>
      <c r="K208" s="243" t="s">
        <v>137</v>
      </c>
      <c r="L208" s="243" t="s">
        <v>1</v>
      </c>
      <c r="M208" s="243" t="s">
        <v>1</v>
      </c>
      <c r="N208" s="243" t="s">
        <v>1</v>
      </c>
      <c r="O208" s="243" t="s">
        <v>1867</v>
      </c>
      <c r="P208" s="243" t="s">
        <v>1868</v>
      </c>
      <c r="Q208" s="243" t="s">
        <v>1</v>
      </c>
      <c r="R208" s="243" t="s">
        <v>1869</v>
      </c>
      <c r="S208" s="243" t="s">
        <v>1039</v>
      </c>
      <c r="T208" s="146" t="str">
        <f>IF(OR(ISNUMBER(SEARCH("FAIL",K208&amp;" "&amp;Q208)),ISNUMBER(SEARCH("CLEAN RETEST REQUIRED",K208&amp;" "&amp;Q208))),"Failed",IF(OR(ISNUMBER(SEARCH("NOT RUN",K208&amp;" "&amp;Q208)),ISNUMBER(SEARCH("NOT IMPLEMENTED",K208&amp;" "&amp;Q208))),"Not started",IF(OR(ISNUMBER(SEARCH("PARTIAL",K208&amp;" "&amp;Q208)),ISNUMBER(SEARCH("PENDING",K208&amp;" "&amp;Q208)),ISNUMBER(SEARCH("IN PROGRESS",K208&amp;" "&amp;Q208)),ISNUMBER(SEARCH("OPEN",K208&amp;" "&amp;Q208)),ISNUMBER(SEARCH("RETEST REQUIRED",K208&amp;" "&amp;Q208)),ISNUMBER(SEARCH("IMPLEMENTATION UPDATED",K208&amp;" "&amp;Q208)),ISNUMBER(SEARCH("REQUIRED EVERY SESSION",K208&amp;" "&amp;Q208))),"Pending",IF(OR(Q208="PASS",ISNUMBER(SEARCH("PASS",K208&amp;" "&amp;Q208))),"Done","Pending"))))</f>
        <v>Not started</v>
      </c>
      <c r="U208" s="146" t="str">
        <f>IF(OR(C208="Admin optional",LEFT(A208,9)="OPERATOR-",LEFT(A208,8)="PAYMENT-",LEFT(A208,7)="DEPLOY-"),"External","Core")</f>
        <v>External</v>
      </c>
    </row>
    <row r="209" customFormat="false" ht="15" hidden="false" customHeight="false" outlineLevel="0" collapsed="false">
      <c r="A209" s="243" t="s">
        <v>1870</v>
      </c>
      <c r="B209" s="243" t="s">
        <v>1871</v>
      </c>
      <c r="C209" s="243" t="s">
        <v>45</v>
      </c>
      <c r="D209" s="243" t="s">
        <v>1872</v>
      </c>
      <c r="E209" s="243" t="s">
        <v>1873</v>
      </c>
      <c r="F209" s="243" t="s">
        <v>4</v>
      </c>
      <c r="G209" s="243" t="s">
        <v>1874</v>
      </c>
      <c r="H209" s="243" t="s">
        <v>4</v>
      </c>
      <c r="I209" s="243" t="s">
        <v>1875</v>
      </c>
      <c r="J209" s="243" t="s">
        <v>1876</v>
      </c>
      <c r="K209" s="243" t="s">
        <v>137</v>
      </c>
      <c r="L209" s="243" t="s">
        <v>1</v>
      </c>
      <c r="M209" s="243" t="s">
        <v>1</v>
      </c>
      <c r="N209" s="243" t="s">
        <v>1</v>
      </c>
      <c r="O209" s="243" t="s">
        <v>1877</v>
      </c>
      <c r="P209" s="243" t="s">
        <v>1878</v>
      </c>
      <c r="Q209" s="243" t="s">
        <v>1</v>
      </c>
      <c r="R209" s="243" t="s">
        <v>1879</v>
      </c>
      <c r="S209" s="243" t="s">
        <v>106</v>
      </c>
      <c r="T209" s="146" t="str">
        <f>IF(OR(ISNUMBER(SEARCH("FAIL",K209&amp;" "&amp;Q209)),ISNUMBER(SEARCH("CLEAN RETEST REQUIRED",K209&amp;" "&amp;Q209))),"Failed",IF(OR(ISNUMBER(SEARCH("NOT RUN",K209&amp;" "&amp;Q209)),ISNUMBER(SEARCH("NOT IMPLEMENTED",K209&amp;" "&amp;Q209))),"Not started",IF(OR(ISNUMBER(SEARCH("PARTIAL",K209&amp;" "&amp;Q209)),ISNUMBER(SEARCH("PENDING",K209&amp;" "&amp;Q209)),ISNUMBER(SEARCH("IN PROGRESS",K209&amp;" "&amp;Q209)),ISNUMBER(SEARCH("OPEN",K209&amp;" "&amp;Q209)),ISNUMBER(SEARCH("RETEST REQUIRED",K209&amp;" "&amp;Q209)),ISNUMBER(SEARCH("IMPLEMENTATION UPDATED",K209&amp;" "&amp;Q209)),ISNUMBER(SEARCH("REQUIRED EVERY SESSION",K209&amp;" "&amp;Q209))),"Pending",IF(OR(Q209="PASS",ISNUMBER(SEARCH("PASS",K209&amp;" "&amp;Q209))),"Done","Pending"))))</f>
        <v>Not started</v>
      </c>
      <c r="U209" s="146" t="str">
        <f>IF(OR(C209="Admin optional",LEFT(A209,9)="OPERATOR-",LEFT(A209,8)="PAYMENT-",LEFT(A209,7)="DEPLOY-"),"External","Core")</f>
        <v>External</v>
      </c>
    </row>
    <row r="210" customFormat="false" ht="15" hidden="false" customHeight="false" outlineLevel="0" collapsed="false">
      <c r="A210" s="243" t="s">
        <v>1880</v>
      </c>
      <c r="B210" s="243" t="s">
        <v>1871</v>
      </c>
      <c r="C210" s="243" t="s">
        <v>45</v>
      </c>
      <c r="D210" s="243" t="s">
        <v>1872</v>
      </c>
      <c r="E210" s="243" t="s">
        <v>1881</v>
      </c>
      <c r="F210" s="243" t="s">
        <v>4</v>
      </c>
      <c r="G210" s="243" t="s">
        <v>1882</v>
      </c>
      <c r="H210" s="243" t="s">
        <v>4</v>
      </c>
      <c r="I210" s="243" t="s">
        <v>1883</v>
      </c>
      <c r="J210" s="243" t="s">
        <v>1884</v>
      </c>
      <c r="K210" s="243" t="s">
        <v>137</v>
      </c>
      <c r="L210" s="243" t="s">
        <v>1</v>
      </c>
      <c r="M210" s="243" t="s">
        <v>1</v>
      </c>
      <c r="N210" s="243" t="s">
        <v>1</v>
      </c>
      <c r="O210" s="243" t="s">
        <v>1885</v>
      </c>
      <c r="P210" s="243" t="s">
        <v>1886</v>
      </c>
      <c r="Q210" s="243" t="s">
        <v>1</v>
      </c>
      <c r="R210" s="243" t="s">
        <v>1887</v>
      </c>
      <c r="S210" s="243" t="s">
        <v>106</v>
      </c>
      <c r="T210" s="146" t="str">
        <f>IF(OR(ISNUMBER(SEARCH("FAIL",K210&amp;" "&amp;Q210)),ISNUMBER(SEARCH("CLEAN RETEST REQUIRED",K210&amp;" "&amp;Q210))),"Failed",IF(OR(ISNUMBER(SEARCH("NOT RUN",K210&amp;" "&amp;Q210)),ISNUMBER(SEARCH("NOT IMPLEMENTED",K210&amp;" "&amp;Q210))),"Not started",IF(OR(ISNUMBER(SEARCH("PARTIAL",K210&amp;" "&amp;Q210)),ISNUMBER(SEARCH("PENDING",K210&amp;" "&amp;Q210)),ISNUMBER(SEARCH("IN PROGRESS",K210&amp;" "&amp;Q210)),ISNUMBER(SEARCH("OPEN",K210&amp;" "&amp;Q210)),ISNUMBER(SEARCH("RETEST REQUIRED",K210&amp;" "&amp;Q210)),ISNUMBER(SEARCH("IMPLEMENTATION UPDATED",K210&amp;" "&amp;Q210)),ISNUMBER(SEARCH("REQUIRED EVERY SESSION",K210&amp;" "&amp;Q210))),"Pending",IF(OR(Q210="PASS",ISNUMBER(SEARCH("PASS",K210&amp;" "&amp;Q210))),"Done","Pending"))))</f>
        <v>Not started</v>
      </c>
      <c r="U210" s="146" t="str">
        <f>IF(OR(C210="Admin optional",LEFT(A210,9)="OPERATOR-",LEFT(A210,8)="PAYMENT-",LEFT(A210,7)="DEPLOY-"),"External","Core")</f>
        <v>External</v>
      </c>
    </row>
    <row r="211" customFormat="false" ht="15" hidden="false" customHeight="false" outlineLevel="0" collapsed="false">
      <c r="A211" s="243" t="s">
        <v>1888</v>
      </c>
      <c r="B211" s="243" t="s">
        <v>1871</v>
      </c>
      <c r="C211" s="243" t="s">
        <v>45</v>
      </c>
      <c r="D211" s="243" t="s">
        <v>1889</v>
      </c>
      <c r="E211" s="243" t="s">
        <v>1890</v>
      </c>
      <c r="F211" s="243" t="s">
        <v>4</v>
      </c>
      <c r="G211" s="243" t="s">
        <v>1891</v>
      </c>
      <c r="H211" s="243" t="s">
        <v>4</v>
      </c>
      <c r="I211" s="243" t="s">
        <v>1892</v>
      </c>
      <c r="J211" s="243" t="s">
        <v>1893</v>
      </c>
      <c r="K211" s="243" t="s">
        <v>137</v>
      </c>
      <c r="L211" s="243" t="s">
        <v>1</v>
      </c>
      <c r="M211" s="243" t="s">
        <v>1</v>
      </c>
      <c r="N211" s="243" t="s">
        <v>1</v>
      </c>
      <c r="O211" s="243" t="s">
        <v>1894</v>
      </c>
      <c r="P211" s="243" t="s">
        <v>1895</v>
      </c>
      <c r="Q211" s="243" t="s">
        <v>1</v>
      </c>
      <c r="R211" s="243" t="s">
        <v>1896</v>
      </c>
      <c r="S211" s="243" t="s">
        <v>106</v>
      </c>
      <c r="T211" s="146" t="str">
        <f>IF(OR(ISNUMBER(SEARCH("FAIL",K211&amp;" "&amp;Q211)),ISNUMBER(SEARCH("CLEAN RETEST REQUIRED",K211&amp;" "&amp;Q211))),"Failed",IF(OR(ISNUMBER(SEARCH("NOT RUN",K211&amp;" "&amp;Q211)),ISNUMBER(SEARCH("NOT IMPLEMENTED",K211&amp;" "&amp;Q211))),"Not started",IF(OR(ISNUMBER(SEARCH("PARTIAL",K211&amp;" "&amp;Q211)),ISNUMBER(SEARCH("PENDING",K211&amp;" "&amp;Q211)),ISNUMBER(SEARCH("IN PROGRESS",K211&amp;" "&amp;Q211)),ISNUMBER(SEARCH("OPEN",K211&amp;" "&amp;Q211)),ISNUMBER(SEARCH("RETEST REQUIRED",K211&amp;" "&amp;Q211)),ISNUMBER(SEARCH("IMPLEMENTATION UPDATED",K211&amp;" "&amp;Q211)),ISNUMBER(SEARCH("REQUIRED EVERY SESSION",K211&amp;" "&amp;Q211))),"Pending",IF(OR(Q211="PASS",ISNUMBER(SEARCH("PASS",K211&amp;" "&amp;Q211))),"Done","Pending"))))</f>
        <v>Not started</v>
      </c>
      <c r="U211" s="146" t="str">
        <f>IF(OR(C211="Admin optional",LEFT(A211,9)="OPERATOR-",LEFT(A211,8)="PAYMENT-",LEFT(A211,7)="DEPLOY-"),"External","Core")</f>
        <v>External</v>
      </c>
    </row>
    <row r="212" customFormat="false" ht="15" hidden="false" customHeight="false" outlineLevel="0" collapsed="false">
      <c r="A212" s="243" t="s">
        <v>1897</v>
      </c>
      <c r="B212" s="243" t="s">
        <v>1871</v>
      </c>
      <c r="C212" s="243" t="s">
        <v>45</v>
      </c>
      <c r="D212" s="243" t="s">
        <v>1898</v>
      </c>
      <c r="E212" s="243" t="s">
        <v>1899</v>
      </c>
      <c r="F212" s="243" t="s">
        <v>4</v>
      </c>
      <c r="G212" s="243" t="s">
        <v>1900</v>
      </c>
      <c r="H212" s="243" t="s">
        <v>4</v>
      </c>
      <c r="I212" s="243" t="s">
        <v>1901</v>
      </c>
      <c r="J212" s="243" t="s">
        <v>1902</v>
      </c>
      <c r="K212" s="243" t="s">
        <v>137</v>
      </c>
      <c r="L212" s="243" t="s">
        <v>1</v>
      </c>
      <c r="M212" s="243" t="s">
        <v>1</v>
      </c>
      <c r="N212" s="243" t="s">
        <v>1</v>
      </c>
      <c r="O212" s="243" t="s">
        <v>1903</v>
      </c>
      <c r="P212" s="243" t="s">
        <v>1904</v>
      </c>
      <c r="Q212" s="243" t="s">
        <v>1</v>
      </c>
      <c r="R212" s="243" t="s">
        <v>1905</v>
      </c>
      <c r="S212" s="243" t="s">
        <v>106</v>
      </c>
      <c r="T212" s="146" t="str">
        <f>IF(OR(ISNUMBER(SEARCH("FAIL",K212&amp;" "&amp;Q212)),ISNUMBER(SEARCH("CLEAN RETEST REQUIRED",K212&amp;" "&amp;Q212))),"Failed",IF(OR(ISNUMBER(SEARCH("NOT RUN",K212&amp;" "&amp;Q212)),ISNUMBER(SEARCH("NOT IMPLEMENTED",K212&amp;" "&amp;Q212))),"Not started",IF(OR(ISNUMBER(SEARCH("PARTIAL",K212&amp;" "&amp;Q212)),ISNUMBER(SEARCH("PENDING",K212&amp;" "&amp;Q212)),ISNUMBER(SEARCH("IN PROGRESS",K212&amp;" "&amp;Q212)),ISNUMBER(SEARCH("OPEN",K212&amp;" "&amp;Q212)),ISNUMBER(SEARCH("RETEST REQUIRED",K212&amp;" "&amp;Q212)),ISNUMBER(SEARCH("IMPLEMENTATION UPDATED",K212&amp;" "&amp;Q212)),ISNUMBER(SEARCH("REQUIRED EVERY SESSION",K212&amp;" "&amp;Q212))),"Pending",IF(OR(Q212="PASS",ISNUMBER(SEARCH("PASS",K212&amp;" "&amp;Q212))),"Done","Pending"))))</f>
        <v>Not started</v>
      </c>
      <c r="U212" s="146" t="str">
        <f>IF(OR(C212="Admin optional",LEFT(A212,9)="OPERATOR-",LEFT(A212,8)="PAYMENT-",LEFT(A212,7)="DEPLOY-"),"External","Core")</f>
        <v>External</v>
      </c>
    </row>
    <row r="213" customFormat="false" ht="15" hidden="false" customHeight="false" outlineLevel="0" collapsed="false">
      <c r="A213" s="243" t="s">
        <v>1906</v>
      </c>
      <c r="B213" s="243" t="s">
        <v>1871</v>
      </c>
      <c r="C213" s="243" t="s">
        <v>45</v>
      </c>
      <c r="D213" s="243" t="s">
        <v>1907</v>
      </c>
      <c r="E213" s="243" t="s">
        <v>1908</v>
      </c>
      <c r="F213" s="243" t="s">
        <v>4</v>
      </c>
      <c r="G213" s="243" t="s">
        <v>1909</v>
      </c>
      <c r="H213" s="243" t="s">
        <v>4</v>
      </c>
      <c r="I213" s="243" t="s">
        <v>1910</v>
      </c>
      <c r="J213" s="243" t="s">
        <v>1911</v>
      </c>
      <c r="K213" s="243" t="s">
        <v>137</v>
      </c>
      <c r="L213" s="243" t="s">
        <v>1</v>
      </c>
      <c r="M213" s="243" t="s">
        <v>1</v>
      </c>
      <c r="N213" s="243" t="s">
        <v>1</v>
      </c>
      <c r="O213" s="243" t="s">
        <v>1912</v>
      </c>
      <c r="P213" s="243" t="s">
        <v>1913</v>
      </c>
      <c r="Q213" s="243" t="s">
        <v>1</v>
      </c>
      <c r="R213" s="243" t="s">
        <v>1914</v>
      </c>
      <c r="S213" s="243" t="s">
        <v>106</v>
      </c>
      <c r="T213" s="146" t="str">
        <f>IF(OR(ISNUMBER(SEARCH("FAIL",K213&amp;" "&amp;Q213)),ISNUMBER(SEARCH("CLEAN RETEST REQUIRED",K213&amp;" "&amp;Q213))),"Failed",IF(OR(ISNUMBER(SEARCH("NOT RUN",K213&amp;" "&amp;Q213)),ISNUMBER(SEARCH("NOT IMPLEMENTED",K213&amp;" "&amp;Q213))),"Not started",IF(OR(ISNUMBER(SEARCH("PARTIAL",K213&amp;" "&amp;Q213)),ISNUMBER(SEARCH("PENDING",K213&amp;" "&amp;Q213)),ISNUMBER(SEARCH("IN PROGRESS",K213&amp;" "&amp;Q213)),ISNUMBER(SEARCH("OPEN",K213&amp;" "&amp;Q213)),ISNUMBER(SEARCH("RETEST REQUIRED",K213&amp;" "&amp;Q213)),ISNUMBER(SEARCH("IMPLEMENTATION UPDATED",K213&amp;" "&amp;Q213)),ISNUMBER(SEARCH("REQUIRED EVERY SESSION",K213&amp;" "&amp;Q213))),"Pending",IF(OR(Q213="PASS",ISNUMBER(SEARCH("PASS",K213&amp;" "&amp;Q213))),"Done","Pending"))))</f>
        <v>Not started</v>
      </c>
      <c r="U213" s="146" t="str">
        <f>IF(OR(C213="Admin optional",LEFT(A213,9)="OPERATOR-",LEFT(A213,8)="PAYMENT-",LEFT(A213,7)="DEPLOY-"),"External","Core")</f>
        <v>External</v>
      </c>
    </row>
    <row r="214" customFormat="false" ht="15" hidden="false" customHeight="false" outlineLevel="0" collapsed="false">
      <c r="A214" s="243" t="s">
        <v>1915</v>
      </c>
      <c r="B214" s="243" t="s">
        <v>1871</v>
      </c>
      <c r="C214" s="243" t="s">
        <v>45</v>
      </c>
      <c r="D214" s="243" t="s">
        <v>1916</v>
      </c>
      <c r="E214" s="243" t="s">
        <v>1917</v>
      </c>
      <c r="F214" s="243" t="s">
        <v>4</v>
      </c>
      <c r="G214" s="243" t="s">
        <v>1918</v>
      </c>
      <c r="H214" s="243" t="s">
        <v>4</v>
      </c>
      <c r="I214" s="243" t="s">
        <v>1919</v>
      </c>
      <c r="J214" s="243" t="s">
        <v>1920</v>
      </c>
      <c r="K214" s="243" t="s">
        <v>137</v>
      </c>
      <c r="L214" s="243" t="s">
        <v>1</v>
      </c>
      <c r="M214" s="243" t="s">
        <v>1</v>
      </c>
      <c r="N214" s="243" t="s">
        <v>1</v>
      </c>
      <c r="O214" s="243" t="s">
        <v>1921</v>
      </c>
      <c r="P214" s="243" t="s">
        <v>1922</v>
      </c>
      <c r="Q214" s="243" t="s">
        <v>1</v>
      </c>
      <c r="R214" s="243" t="s">
        <v>1923</v>
      </c>
      <c r="S214" s="243" t="s">
        <v>132</v>
      </c>
      <c r="T214" s="146" t="str">
        <f>IF(OR(ISNUMBER(SEARCH("FAIL",K214&amp;" "&amp;Q214)),ISNUMBER(SEARCH("CLEAN RETEST REQUIRED",K214&amp;" "&amp;Q214))),"Failed",IF(OR(ISNUMBER(SEARCH("NOT RUN",K214&amp;" "&amp;Q214)),ISNUMBER(SEARCH("NOT IMPLEMENTED",K214&amp;" "&amp;Q214))),"Not started",IF(OR(ISNUMBER(SEARCH("PARTIAL",K214&amp;" "&amp;Q214)),ISNUMBER(SEARCH("PENDING",K214&amp;" "&amp;Q214)),ISNUMBER(SEARCH("IN PROGRESS",K214&amp;" "&amp;Q214)),ISNUMBER(SEARCH("OPEN",K214&amp;" "&amp;Q214)),ISNUMBER(SEARCH("RETEST REQUIRED",K214&amp;" "&amp;Q214)),ISNUMBER(SEARCH("IMPLEMENTATION UPDATED",K214&amp;" "&amp;Q214)),ISNUMBER(SEARCH("REQUIRED EVERY SESSION",K214&amp;" "&amp;Q214))),"Pending",IF(OR(Q214="PASS",ISNUMBER(SEARCH("PASS",K214&amp;" "&amp;Q214))),"Done","Pending"))))</f>
        <v>Not started</v>
      </c>
      <c r="U214" s="146" t="str">
        <f>IF(OR(C214="Admin optional",LEFT(A214,9)="OPERATOR-",LEFT(A214,8)="PAYMENT-",LEFT(A214,7)="DEPLOY-"),"External","Core")</f>
        <v>External</v>
      </c>
    </row>
    <row r="215" customFormat="false" ht="15" hidden="false" customHeight="false" outlineLevel="0" collapsed="false">
      <c r="A215" s="243" t="s">
        <v>1924</v>
      </c>
      <c r="B215" s="243" t="s">
        <v>1925</v>
      </c>
      <c r="C215" s="243" t="s">
        <v>45</v>
      </c>
      <c r="D215" s="243" t="s">
        <v>1926</v>
      </c>
      <c r="E215" s="243" t="s">
        <v>1927</v>
      </c>
      <c r="F215" s="243" t="s">
        <v>1928</v>
      </c>
      <c r="G215" s="243" t="s">
        <v>1929</v>
      </c>
      <c r="H215" s="243" t="s">
        <v>4</v>
      </c>
      <c r="I215" s="243" t="s">
        <v>1930</v>
      </c>
      <c r="J215" s="243" t="s">
        <v>1931</v>
      </c>
      <c r="K215" s="243" t="s">
        <v>137</v>
      </c>
      <c r="L215" s="243" t="s">
        <v>1</v>
      </c>
      <c r="M215" s="243" t="s">
        <v>1</v>
      </c>
      <c r="N215" s="243" t="s">
        <v>1</v>
      </c>
      <c r="O215" s="243" t="s">
        <v>1932</v>
      </c>
      <c r="P215" s="243" t="s">
        <v>1933</v>
      </c>
      <c r="Q215" s="243" t="s">
        <v>1</v>
      </c>
      <c r="R215" s="243" t="s">
        <v>1934</v>
      </c>
      <c r="S215" s="243" t="s">
        <v>132</v>
      </c>
      <c r="T215" s="146" t="str">
        <f>IF(OR(ISNUMBER(SEARCH("FAIL",K215&amp;" "&amp;Q215)),ISNUMBER(SEARCH("CLEAN RETEST REQUIRED",K215&amp;" "&amp;Q215))),"Failed",IF(OR(ISNUMBER(SEARCH("NOT RUN",K215&amp;" "&amp;Q215)),ISNUMBER(SEARCH("NOT IMPLEMENTED",K215&amp;" "&amp;Q215))),"Not started",IF(OR(ISNUMBER(SEARCH("PARTIAL",K215&amp;" "&amp;Q215)),ISNUMBER(SEARCH("PENDING",K215&amp;" "&amp;Q215)),ISNUMBER(SEARCH("IN PROGRESS",K215&amp;" "&amp;Q215)),ISNUMBER(SEARCH("OPEN",K215&amp;" "&amp;Q215)),ISNUMBER(SEARCH("RETEST REQUIRED",K215&amp;" "&amp;Q215)),ISNUMBER(SEARCH("IMPLEMENTATION UPDATED",K215&amp;" "&amp;Q215)),ISNUMBER(SEARCH("REQUIRED EVERY SESSION",K215&amp;" "&amp;Q215))),"Pending",IF(OR(Q215="PASS",ISNUMBER(SEARCH("PASS",K215&amp;" "&amp;Q215))),"Done","Pending"))))</f>
        <v>Not started</v>
      </c>
      <c r="U215" s="146" t="str">
        <f>IF(OR(C215="Admin optional",LEFT(A215,9)="OPERATOR-",LEFT(A215,8)="PAYMENT-",LEFT(A215,7)="DEPLOY-"),"External","Core")</f>
        <v>External</v>
      </c>
    </row>
    <row r="216" customFormat="false" ht="15" hidden="false" customHeight="false" outlineLevel="0" collapsed="false">
      <c r="A216" s="243" t="s">
        <v>1935</v>
      </c>
      <c r="B216" s="243" t="s">
        <v>1925</v>
      </c>
      <c r="C216" s="243" t="s">
        <v>45</v>
      </c>
      <c r="D216" s="243" t="s">
        <v>1936</v>
      </c>
      <c r="E216" s="243" t="s">
        <v>1937</v>
      </c>
      <c r="F216" s="243" t="s">
        <v>4</v>
      </c>
      <c r="G216" s="243" t="s">
        <v>1938</v>
      </c>
      <c r="H216" s="243" t="s">
        <v>4</v>
      </c>
      <c r="I216" s="243" t="s">
        <v>1939</v>
      </c>
      <c r="J216" s="243" t="s">
        <v>1940</v>
      </c>
      <c r="K216" s="243" t="s">
        <v>137</v>
      </c>
      <c r="L216" s="243" t="s">
        <v>1</v>
      </c>
      <c r="M216" s="243" t="s">
        <v>1</v>
      </c>
      <c r="N216" s="243" t="s">
        <v>1</v>
      </c>
      <c r="O216" s="243" t="s">
        <v>1941</v>
      </c>
      <c r="P216" s="243" t="s">
        <v>1942</v>
      </c>
      <c r="Q216" s="243" t="s">
        <v>1</v>
      </c>
      <c r="R216" s="243" t="s">
        <v>1943</v>
      </c>
      <c r="S216" s="243" t="s">
        <v>1374</v>
      </c>
      <c r="T216" s="146" t="str">
        <f>IF(OR(ISNUMBER(SEARCH("FAIL",K216&amp;" "&amp;Q216)),ISNUMBER(SEARCH("CLEAN RETEST REQUIRED",K216&amp;" "&amp;Q216))),"Failed",IF(OR(ISNUMBER(SEARCH("NOT RUN",K216&amp;" "&amp;Q216)),ISNUMBER(SEARCH("NOT IMPLEMENTED",K216&amp;" "&amp;Q216))),"Not started",IF(OR(ISNUMBER(SEARCH("PARTIAL",K216&amp;" "&amp;Q216)),ISNUMBER(SEARCH("PENDING",K216&amp;" "&amp;Q216)),ISNUMBER(SEARCH("IN PROGRESS",K216&amp;" "&amp;Q216)),ISNUMBER(SEARCH("OPEN",K216&amp;" "&amp;Q216)),ISNUMBER(SEARCH("RETEST REQUIRED",K216&amp;" "&amp;Q216)),ISNUMBER(SEARCH("IMPLEMENTATION UPDATED",K216&amp;" "&amp;Q216)),ISNUMBER(SEARCH("REQUIRED EVERY SESSION",K216&amp;" "&amp;Q216))),"Pending",IF(OR(Q216="PASS",ISNUMBER(SEARCH("PASS",K216&amp;" "&amp;Q216))),"Done","Pending"))))</f>
        <v>Not started</v>
      </c>
      <c r="U216" s="146" t="str">
        <f>IF(OR(C216="Admin optional",LEFT(A216,9)="OPERATOR-",LEFT(A216,8)="PAYMENT-",LEFT(A216,7)="DEPLOY-"),"External","Core")</f>
        <v>External</v>
      </c>
    </row>
    <row r="217" customFormat="false" ht="15" hidden="false" customHeight="false" outlineLevel="0" collapsed="false">
      <c r="A217" s="243" t="s">
        <v>1944</v>
      </c>
      <c r="B217" s="243" t="s">
        <v>1925</v>
      </c>
      <c r="C217" s="243" t="s">
        <v>45</v>
      </c>
      <c r="D217" s="243" t="s">
        <v>1945</v>
      </c>
      <c r="E217" s="243" t="s">
        <v>1946</v>
      </c>
      <c r="F217" s="243" t="s">
        <v>1947</v>
      </c>
      <c r="G217" s="243" t="s">
        <v>1948</v>
      </c>
      <c r="H217" s="243" t="s">
        <v>4</v>
      </c>
      <c r="I217" s="243" t="s">
        <v>4</v>
      </c>
      <c r="J217" s="243" t="s">
        <v>1949</v>
      </c>
      <c r="K217" s="243" t="s">
        <v>137</v>
      </c>
      <c r="L217" s="243" t="s">
        <v>1</v>
      </c>
      <c r="M217" s="243" t="s">
        <v>1</v>
      </c>
      <c r="N217" s="243" t="s">
        <v>1</v>
      </c>
      <c r="O217" s="243" t="s">
        <v>1950</v>
      </c>
      <c r="P217" s="243" t="s">
        <v>1951</v>
      </c>
      <c r="Q217" s="243" t="s">
        <v>1</v>
      </c>
      <c r="R217" s="243" t="s">
        <v>1952</v>
      </c>
      <c r="S217" s="243" t="s">
        <v>132</v>
      </c>
      <c r="T217" s="146" t="str">
        <f>IF(OR(ISNUMBER(SEARCH("FAIL",K217&amp;" "&amp;Q217)),ISNUMBER(SEARCH("CLEAN RETEST REQUIRED",K217&amp;" "&amp;Q217))),"Failed",IF(OR(ISNUMBER(SEARCH("NOT RUN",K217&amp;" "&amp;Q217)),ISNUMBER(SEARCH("NOT IMPLEMENTED",K217&amp;" "&amp;Q217))),"Not started",IF(OR(ISNUMBER(SEARCH("PARTIAL",K217&amp;" "&amp;Q217)),ISNUMBER(SEARCH("PENDING",K217&amp;" "&amp;Q217)),ISNUMBER(SEARCH("IN PROGRESS",K217&amp;" "&amp;Q217)),ISNUMBER(SEARCH("OPEN",K217&amp;" "&amp;Q217)),ISNUMBER(SEARCH("RETEST REQUIRED",K217&amp;" "&amp;Q217)),ISNUMBER(SEARCH("IMPLEMENTATION UPDATED",K217&amp;" "&amp;Q217)),ISNUMBER(SEARCH("REQUIRED EVERY SESSION",K217&amp;" "&amp;Q217))),"Pending",IF(OR(Q217="PASS",ISNUMBER(SEARCH("PASS",K217&amp;" "&amp;Q217))),"Done","Pending"))))</f>
        <v>Not started</v>
      </c>
      <c r="U217" s="146" t="str">
        <f>IF(OR(C217="Admin optional",LEFT(A217,9)="OPERATOR-",LEFT(A217,8)="PAYMENT-",LEFT(A217,7)="DEPLOY-"),"External","Core")</f>
        <v>External</v>
      </c>
    </row>
    <row r="218" customFormat="false" ht="15" hidden="false" customHeight="false" outlineLevel="0" collapsed="false">
      <c r="A218" s="243" t="s">
        <v>1953</v>
      </c>
      <c r="B218" s="243" t="s">
        <v>1925</v>
      </c>
      <c r="C218" s="243" t="s">
        <v>45</v>
      </c>
      <c r="D218" s="243" t="s">
        <v>1954</v>
      </c>
      <c r="E218" s="243" t="s">
        <v>1955</v>
      </c>
      <c r="F218" s="243" t="s">
        <v>1956</v>
      </c>
      <c r="G218" s="243" t="s">
        <v>1957</v>
      </c>
      <c r="H218" s="243" t="s">
        <v>1958</v>
      </c>
      <c r="I218" s="243" t="s">
        <v>1959</v>
      </c>
      <c r="J218" s="243" t="s">
        <v>1960</v>
      </c>
      <c r="K218" s="243" t="s">
        <v>137</v>
      </c>
      <c r="L218" s="243" t="s">
        <v>1</v>
      </c>
      <c r="M218" s="243" t="s">
        <v>1</v>
      </c>
      <c r="N218" s="243" t="s">
        <v>1</v>
      </c>
      <c r="O218" s="243" t="s">
        <v>1961</v>
      </c>
      <c r="P218" s="243" t="s">
        <v>1962</v>
      </c>
      <c r="Q218" s="243" t="s">
        <v>1</v>
      </c>
      <c r="R218" s="243" t="s">
        <v>1963</v>
      </c>
      <c r="S218" s="243" t="s">
        <v>843</v>
      </c>
      <c r="T218" s="146" t="str">
        <f>IF(OR(ISNUMBER(SEARCH("FAIL",K218&amp;" "&amp;Q218)),ISNUMBER(SEARCH("CLEAN RETEST REQUIRED",K218&amp;" "&amp;Q218))),"Failed",IF(OR(ISNUMBER(SEARCH("NOT RUN",K218&amp;" "&amp;Q218)),ISNUMBER(SEARCH("NOT IMPLEMENTED",K218&amp;" "&amp;Q218))),"Not started",IF(OR(ISNUMBER(SEARCH("PARTIAL",K218&amp;" "&amp;Q218)),ISNUMBER(SEARCH("PENDING",K218&amp;" "&amp;Q218)),ISNUMBER(SEARCH("IN PROGRESS",K218&amp;" "&amp;Q218)),ISNUMBER(SEARCH("OPEN",K218&amp;" "&amp;Q218)),ISNUMBER(SEARCH("RETEST REQUIRED",K218&amp;" "&amp;Q218)),ISNUMBER(SEARCH("IMPLEMENTATION UPDATED",K218&amp;" "&amp;Q218)),ISNUMBER(SEARCH("REQUIRED EVERY SESSION",K218&amp;" "&amp;Q218))),"Pending",IF(OR(Q218="PASS",ISNUMBER(SEARCH("PASS",K218&amp;" "&amp;Q218))),"Done","Pending"))))</f>
        <v>Not started</v>
      </c>
      <c r="U218" s="146" t="str">
        <f>IF(OR(C218="Admin optional",LEFT(A218,9)="OPERATOR-",LEFT(A218,8)="PAYMENT-",LEFT(A218,7)="DEPLOY-"),"External","Core")</f>
        <v>External</v>
      </c>
    </row>
    <row r="219" customFormat="false" ht="15" hidden="false" customHeight="false" outlineLevel="0" collapsed="false">
      <c r="A219" s="243" t="s">
        <v>1964</v>
      </c>
      <c r="B219" s="243" t="s">
        <v>1925</v>
      </c>
      <c r="C219" s="243" t="s">
        <v>45</v>
      </c>
      <c r="D219" s="243" t="s">
        <v>1965</v>
      </c>
      <c r="E219" s="243" t="s">
        <v>1966</v>
      </c>
      <c r="F219" s="243" t="s">
        <v>4</v>
      </c>
      <c r="G219" s="243" t="s">
        <v>1967</v>
      </c>
      <c r="H219" s="243" t="s">
        <v>4</v>
      </c>
      <c r="I219" s="243" t="s">
        <v>1939</v>
      </c>
      <c r="J219" s="243" t="s">
        <v>1968</v>
      </c>
      <c r="K219" s="243" t="s">
        <v>137</v>
      </c>
      <c r="L219" s="243" t="s">
        <v>1</v>
      </c>
      <c r="M219" s="243" t="s">
        <v>1</v>
      </c>
      <c r="N219" s="243" t="s">
        <v>1</v>
      </c>
      <c r="O219" s="243" t="s">
        <v>1969</v>
      </c>
      <c r="P219" s="243" t="s">
        <v>1970</v>
      </c>
      <c r="Q219" s="243" t="s">
        <v>1</v>
      </c>
      <c r="R219" s="243" t="s">
        <v>1971</v>
      </c>
      <c r="S219" s="243" t="s">
        <v>843</v>
      </c>
      <c r="T219" s="146" t="str">
        <f>IF(OR(ISNUMBER(SEARCH("FAIL",K219&amp;" "&amp;Q219)),ISNUMBER(SEARCH("CLEAN RETEST REQUIRED",K219&amp;" "&amp;Q219))),"Failed",IF(OR(ISNUMBER(SEARCH("NOT RUN",K219&amp;" "&amp;Q219)),ISNUMBER(SEARCH("NOT IMPLEMENTED",K219&amp;" "&amp;Q219))),"Not started",IF(OR(ISNUMBER(SEARCH("PARTIAL",K219&amp;" "&amp;Q219)),ISNUMBER(SEARCH("PENDING",K219&amp;" "&amp;Q219)),ISNUMBER(SEARCH("IN PROGRESS",K219&amp;" "&amp;Q219)),ISNUMBER(SEARCH("OPEN",K219&amp;" "&amp;Q219)),ISNUMBER(SEARCH("RETEST REQUIRED",K219&amp;" "&amp;Q219)),ISNUMBER(SEARCH("IMPLEMENTATION UPDATED",K219&amp;" "&amp;Q219)),ISNUMBER(SEARCH("REQUIRED EVERY SESSION",K219&amp;" "&amp;Q219))),"Pending",IF(OR(Q219="PASS",ISNUMBER(SEARCH("PASS",K219&amp;" "&amp;Q219))),"Done","Pending"))))</f>
        <v>Not started</v>
      </c>
      <c r="U219" s="146" t="str">
        <f>IF(OR(C219="Admin optional",LEFT(A219,9)="OPERATOR-",LEFT(A219,8)="PAYMENT-",LEFT(A219,7)="DEPLOY-"),"External","Core")</f>
        <v>External</v>
      </c>
    </row>
    <row r="220" customFormat="false" ht="15" hidden="false" customHeight="false" outlineLevel="0" collapsed="false">
      <c r="A220" s="243" t="s">
        <v>1972</v>
      </c>
      <c r="B220" s="243" t="s">
        <v>1973</v>
      </c>
      <c r="C220" s="272" t="s">
        <v>54</v>
      </c>
      <c r="D220" s="243" t="s">
        <v>1974</v>
      </c>
      <c r="E220" s="243" t="s">
        <v>1975</v>
      </c>
      <c r="F220" s="243" t="s">
        <v>4</v>
      </c>
      <c r="G220" s="243" t="s">
        <v>1976</v>
      </c>
      <c r="H220" s="243" t="s">
        <v>4</v>
      </c>
      <c r="I220" s="243" t="s">
        <v>4</v>
      </c>
      <c r="J220" s="243" t="s">
        <v>1977</v>
      </c>
      <c r="K220" s="243" t="s">
        <v>1978</v>
      </c>
      <c r="L220" s="243" t="s">
        <v>1</v>
      </c>
      <c r="M220" s="243" t="s">
        <v>1</v>
      </c>
      <c r="N220" s="243" t="s">
        <v>1</v>
      </c>
      <c r="O220" s="243" t="s">
        <v>1979</v>
      </c>
      <c r="P220" s="243" t="s">
        <v>1980</v>
      </c>
      <c r="Q220" s="243" t="s">
        <v>1</v>
      </c>
      <c r="R220" s="243" t="s">
        <v>1981</v>
      </c>
      <c r="S220" s="243" t="s">
        <v>106</v>
      </c>
      <c r="T220" s="146" t="str">
        <f>IF(OR(ISNUMBER(SEARCH("FAIL",K220&amp;" "&amp;Q220)),ISNUMBER(SEARCH("CLEAN RETEST REQUIRED",K220&amp;" "&amp;Q220))),"Failed",IF(OR(ISNUMBER(SEARCH("NOT RUN",K220&amp;" "&amp;Q220)),ISNUMBER(SEARCH("NOT IMPLEMENTED",K220&amp;" "&amp;Q220))),"Not started",IF(OR(ISNUMBER(SEARCH("PARTIAL",K220&amp;" "&amp;Q220)),ISNUMBER(SEARCH("PENDING",K220&amp;" "&amp;Q220)),ISNUMBER(SEARCH("IN PROGRESS",K220&amp;" "&amp;Q220)),ISNUMBER(SEARCH("OPEN",K220&amp;" "&amp;Q220)),ISNUMBER(SEARCH("RETEST REQUIRED",K220&amp;" "&amp;Q220)),ISNUMBER(SEARCH("IMPLEMENTATION UPDATED",K220&amp;" "&amp;Q220)),ISNUMBER(SEARCH("REQUIRED EVERY SESSION",K220&amp;" "&amp;Q220))),"Pending",IF(OR(Q220="PASS",ISNUMBER(SEARCH("PASS",K220&amp;" "&amp;Q220))),"Done","Pending"))))</f>
        <v>Not started</v>
      </c>
      <c r="U220" s="146" t="str">
        <f>IF(OR(C220="Admin optional",LEFT(A220,9)="OPERATOR-",LEFT(A220,8)="PAYMENT-",LEFT(A220,7)="DEPLOY-"),"External","Core")</f>
        <v>External</v>
      </c>
    </row>
    <row r="221" customFormat="false" ht="15" hidden="false" customHeight="false" outlineLevel="0" collapsed="false">
      <c r="A221" s="243" t="s">
        <v>1982</v>
      </c>
      <c r="B221" s="243" t="s">
        <v>1973</v>
      </c>
      <c r="C221" s="272" t="s">
        <v>54</v>
      </c>
      <c r="D221" s="243" t="s">
        <v>1974</v>
      </c>
      <c r="E221" s="243" t="s">
        <v>1983</v>
      </c>
      <c r="F221" s="243" t="s">
        <v>1984</v>
      </c>
      <c r="G221" s="243" t="s">
        <v>1985</v>
      </c>
      <c r="H221" s="243" t="s">
        <v>4</v>
      </c>
      <c r="I221" s="243" t="s">
        <v>1986</v>
      </c>
      <c r="J221" s="243" t="s">
        <v>1987</v>
      </c>
      <c r="K221" s="243" t="s">
        <v>1978</v>
      </c>
      <c r="L221" s="243" t="s">
        <v>1</v>
      </c>
      <c r="M221" s="243" t="s">
        <v>1</v>
      </c>
      <c r="N221" s="243" t="s">
        <v>1</v>
      </c>
      <c r="O221" s="243" t="s">
        <v>1988</v>
      </c>
      <c r="P221" s="243" t="s">
        <v>1989</v>
      </c>
      <c r="Q221" s="243" t="s">
        <v>1</v>
      </c>
      <c r="R221" s="243" t="s">
        <v>1990</v>
      </c>
      <c r="S221" s="243" t="s">
        <v>106</v>
      </c>
      <c r="T221" s="146" t="str">
        <f>IF(OR(ISNUMBER(SEARCH("FAIL",K221&amp;" "&amp;Q221)),ISNUMBER(SEARCH("CLEAN RETEST REQUIRED",K221&amp;" "&amp;Q221))),"Failed",IF(OR(ISNUMBER(SEARCH("NOT RUN",K221&amp;" "&amp;Q221)),ISNUMBER(SEARCH("NOT IMPLEMENTED",K221&amp;" "&amp;Q221))),"Not started",IF(OR(ISNUMBER(SEARCH("PARTIAL",K221&amp;" "&amp;Q221)),ISNUMBER(SEARCH("PENDING",K221&amp;" "&amp;Q221)),ISNUMBER(SEARCH("IN PROGRESS",K221&amp;" "&amp;Q221)),ISNUMBER(SEARCH("OPEN",K221&amp;" "&amp;Q221)),ISNUMBER(SEARCH("RETEST REQUIRED",K221&amp;" "&amp;Q221)),ISNUMBER(SEARCH("IMPLEMENTATION UPDATED",K221&amp;" "&amp;Q221)),ISNUMBER(SEARCH("REQUIRED EVERY SESSION",K221&amp;" "&amp;Q221))),"Pending",IF(OR(Q221="PASS",ISNUMBER(SEARCH("PASS",K221&amp;" "&amp;Q221))),"Done","Pending"))))</f>
        <v>Not started</v>
      </c>
      <c r="U221" s="146" t="str">
        <f>IF(OR(C221="Admin optional",LEFT(A221,9)="OPERATOR-",LEFT(A221,8)="PAYMENT-",LEFT(A221,7)="DEPLOY-"),"External","Core")</f>
        <v>External</v>
      </c>
    </row>
    <row r="222" customFormat="false" ht="15" hidden="false" customHeight="false" outlineLevel="0" collapsed="false">
      <c r="A222" s="243" t="s">
        <v>1991</v>
      </c>
      <c r="B222" s="243" t="s">
        <v>1973</v>
      </c>
      <c r="C222" s="272" t="s">
        <v>54</v>
      </c>
      <c r="D222" s="243" t="s">
        <v>1992</v>
      </c>
      <c r="E222" s="243" t="s">
        <v>1993</v>
      </c>
      <c r="F222" s="243" t="s">
        <v>4</v>
      </c>
      <c r="G222" s="243" t="s">
        <v>1994</v>
      </c>
      <c r="H222" s="243" t="s">
        <v>4</v>
      </c>
      <c r="I222" s="243" t="s">
        <v>4</v>
      </c>
      <c r="J222" s="243" t="s">
        <v>1995</v>
      </c>
      <c r="K222" s="243" t="s">
        <v>1978</v>
      </c>
      <c r="L222" s="243" t="s">
        <v>1</v>
      </c>
      <c r="M222" s="243" t="s">
        <v>1</v>
      </c>
      <c r="N222" s="243" t="s">
        <v>1</v>
      </c>
      <c r="O222" s="243" t="s">
        <v>1996</v>
      </c>
      <c r="P222" s="243" t="s">
        <v>1997</v>
      </c>
      <c r="Q222" s="243" t="s">
        <v>1</v>
      </c>
      <c r="R222" s="243" t="s">
        <v>1998</v>
      </c>
      <c r="S222" s="243" t="s">
        <v>106</v>
      </c>
      <c r="T222" s="146" t="str">
        <f>IF(OR(ISNUMBER(SEARCH("FAIL",K222&amp;" "&amp;Q222)),ISNUMBER(SEARCH("CLEAN RETEST REQUIRED",K222&amp;" "&amp;Q222))),"Failed",IF(OR(ISNUMBER(SEARCH("NOT RUN",K222&amp;" "&amp;Q222)),ISNUMBER(SEARCH("NOT IMPLEMENTED",K222&amp;" "&amp;Q222))),"Not started",IF(OR(ISNUMBER(SEARCH("PARTIAL",K222&amp;" "&amp;Q222)),ISNUMBER(SEARCH("PENDING",K222&amp;" "&amp;Q222)),ISNUMBER(SEARCH("IN PROGRESS",K222&amp;" "&amp;Q222)),ISNUMBER(SEARCH("OPEN",K222&amp;" "&amp;Q222)),ISNUMBER(SEARCH("RETEST REQUIRED",K222&amp;" "&amp;Q222)),ISNUMBER(SEARCH("IMPLEMENTATION UPDATED",K222&amp;" "&amp;Q222)),ISNUMBER(SEARCH("REQUIRED EVERY SESSION",K222&amp;" "&amp;Q222))),"Pending",IF(OR(Q222="PASS",ISNUMBER(SEARCH("PASS",K222&amp;" "&amp;Q222))),"Done","Pending"))))</f>
        <v>Not started</v>
      </c>
      <c r="U222" s="146" t="str">
        <f>IF(OR(C222="Admin optional",LEFT(A222,9)="OPERATOR-",LEFT(A222,8)="PAYMENT-",LEFT(A222,7)="DEPLOY-"),"External","Core")</f>
        <v>External</v>
      </c>
    </row>
    <row r="223" customFormat="false" ht="15" hidden="false" customHeight="false" outlineLevel="0" collapsed="false">
      <c r="A223" s="243" t="s">
        <v>1999</v>
      </c>
      <c r="B223" s="243" t="s">
        <v>1973</v>
      </c>
      <c r="C223" s="272" t="s">
        <v>54</v>
      </c>
      <c r="D223" s="243" t="s">
        <v>2000</v>
      </c>
      <c r="E223" s="243" t="s">
        <v>2001</v>
      </c>
      <c r="F223" s="243" t="s">
        <v>4</v>
      </c>
      <c r="G223" s="243" t="s">
        <v>2002</v>
      </c>
      <c r="H223" s="243" t="s">
        <v>4</v>
      </c>
      <c r="I223" s="243" t="s">
        <v>2003</v>
      </c>
      <c r="J223" s="243" t="s">
        <v>2004</v>
      </c>
      <c r="K223" s="243" t="s">
        <v>1978</v>
      </c>
      <c r="L223" s="243" t="s">
        <v>1</v>
      </c>
      <c r="M223" s="243" t="s">
        <v>1</v>
      </c>
      <c r="N223" s="243" t="s">
        <v>1</v>
      </c>
      <c r="O223" s="243" t="s">
        <v>2005</v>
      </c>
      <c r="P223" s="243" t="s">
        <v>2006</v>
      </c>
      <c r="Q223" s="243" t="s">
        <v>1</v>
      </c>
      <c r="R223" s="243" t="s">
        <v>2007</v>
      </c>
      <c r="S223" s="243" t="s">
        <v>106</v>
      </c>
      <c r="T223" s="146" t="str">
        <f>IF(OR(ISNUMBER(SEARCH("FAIL",K223&amp;" "&amp;Q223)),ISNUMBER(SEARCH("CLEAN RETEST REQUIRED",K223&amp;" "&amp;Q223))),"Failed",IF(OR(ISNUMBER(SEARCH("NOT RUN",K223&amp;" "&amp;Q223)),ISNUMBER(SEARCH("NOT IMPLEMENTED",K223&amp;" "&amp;Q223))),"Not started",IF(OR(ISNUMBER(SEARCH("PARTIAL",K223&amp;" "&amp;Q223)),ISNUMBER(SEARCH("PENDING",K223&amp;" "&amp;Q223)),ISNUMBER(SEARCH("IN PROGRESS",K223&amp;" "&amp;Q223)),ISNUMBER(SEARCH("OPEN",K223&amp;" "&amp;Q223)),ISNUMBER(SEARCH("RETEST REQUIRED",K223&amp;" "&amp;Q223)),ISNUMBER(SEARCH("IMPLEMENTATION UPDATED",K223&amp;" "&amp;Q223)),ISNUMBER(SEARCH("REQUIRED EVERY SESSION",K223&amp;" "&amp;Q223))),"Pending",IF(OR(Q223="PASS",ISNUMBER(SEARCH("PASS",K223&amp;" "&amp;Q223))),"Done","Pending"))))</f>
        <v>Not started</v>
      </c>
      <c r="U223" s="146" t="str">
        <f>IF(OR(C223="Admin optional",LEFT(A223,9)="OPERATOR-",LEFT(A223,8)="PAYMENT-",LEFT(A223,7)="DEPLOY-"),"External","Core")</f>
        <v>External</v>
      </c>
    </row>
    <row r="224" customFormat="false" ht="15" hidden="false" customHeight="false" outlineLevel="0" collapsed="false">
      <c r="A224" s="243" t="s">
        <v>2008</v>
      </c>
      <c r="B224" s="243" t="s">
        <v>1973</v>
      </c>
      <c r="C224" s="272" t="s">
        <v>54</v>
      </c>
      <c r="D224" s="243" t="s">
        <v>2009</v>
      </c>
      <c r="E224" s="243" t="s">
        <v>2010</v>
      </c>
      <c r="F224" s="243" t="s">
        <v>4</v>
      </c>
      <c r="G224" s="243" t="s">
        <v>2011</v>
      </c>
      <c r="H224" s="243" t="s">
        <v>4</v>
      </c>
      <c r="I224" s="243" t="s">
        <v>2012</v>
      </c>
      <c r="J224" s="243" t="s">
        <v>2013</v>
      </c>
      <c r="K224" s="243" t="s">
        <v>1978</v>
      </c>
      <c r="L224" s="243" t="s">
        <v>1</v>
      </c>
      <c r="M224" s="243" t="s">
        <v>1</v>
      </c>
      <c r="N224" s="243" t="s">
        <v>1</v>
      </c>
      <c r="O224" s="243" t="s">
        <v>2014</v>
      </c>
      <c r="P224" s="243" t="s">
        <v>2015</v>
      </c>
      <c r="Q224" s="243" t="s">
        <v>1</v>
      </c>
      <c r="R224" s="243" t="s">
        <v>2016</v>
      </c>
      <c r="S224" s="243" t="s">
        <v>106</v>
      </c>
      <c r="T224" s="146" t="str">
        <f>IF(OR(ISNUMBER(SEARCH("FAIL",K224&amp;" "&amp;Q224)),ISNUMBER(SEARCH("CLEAN RETEST REQUIRED",K224&amp;" "&amp;Q224))),"Failed",IF(OR(ISNUMBER(SEARCH("NOT RUN",K224&amp;" "&amp;Q224)),ISNUMBER(SEARCH("NOT IMPLEMENTED",K224&amp;" "&amp;Q224))),"Not started",IF(OR(ISNUMBER(SEARCH("PARTIAL",K224&amp;" "&amp;Q224)),ISNUMBER(SEARCH("PENDING",K224&amp;" "&amp;Q224)),ISNUMBER(SEARCH("IN PROGRESS",K224&amp;" "&amp;Q224)),ISNUMBER(SEARCH("OPEN",K224&amp;" "&amp;Q224)),ISNUMBER(SEARCH("RETEST REQUIRED",K224&amp;" "&amp;Q224)),ISNUMBER(SEARCH("IMPLEMENTATION UPDATED",K224&amp;" "&amp;Q224)),ISNUMBER(SEARCH("REQUIRED EVERY SESSION",K224&amp;" "&amp;Q224))),"Pending",IF(OR(Q224="PASS",ISNUMBER(SEARCH("PASS",K224&amp;" "&amp;Q224))),"Done","Pending"))))</f>
        <v>Not started</v>
      </c>
      <c r="U224" s="146" t="str">
        <f>IF(OR(C224="Admin optional",LEFT(A224,9)="OPERATOR-",LEFT(A224,8)="PAYMENT-",LEFT(A224,7)="DEPLOY-"),"External","Core")</f>
        <v>External</v>
      </c>
    </row>
    <row r="225" customFormat="false" ht="15" hidden="false" customHeight="false" outlineLevel="0" collapsed="false">
      <c r="A225" s="243" t="s">
        <v>2017</v>
      </c>
      <c r="B225" s="243" t="s">
        <v>1973</v>
      </c>
      <c r="C225" s="272" t="s">
        <v>54</v>
      </c>
      <c r="D225" s="243" t="s">
        <v>1974</v>
      </c>
      <c r="E225" s="243" t="s">
        <v>2018</v>
      </c>
      <c r="F225" s="243" t="s">
        <v>1984</v>
      </c>
      <c r="G225" s="243" t="s">
        <v>2019</v>
      </c>
      <c r="H225" s="243" t="s">
        <v>4</v>
      </c>
      <c r="I225" s="243" t="s">
        <v>1986</v>
      </c>
      <c r="J225" s="243" t="s">
        <v>2020</v>
      </c>
      <c r="K225" s="243" t="s">
        <v>1978</v>
      </c>
      <c r="L225" s="243" t="s">
        <v>1</v>
      </c>
      <c r="M225" s="243" t="s">
        <v>1</v>
      </c>
      <c r="N225" s="243" t="s">
        <v>1</v>
      </c>
      <c r="O225" s="243" t="s">
        <v>2021</v>
      </c>
      <c r="P225" s="243" t="s">
        <v>2022</v>
      </c>
      <c r="Q225" s="243" t="s">
        <v>1</v>
      </c>
      <c r="R225" s="243" t="s">
        <v>2023</v>
      </c>
      <c r="S225" s="243" t="s">
        <v>106</v>
      </c>
      <c r="T225" s="146" t="str">
        <f>IF(OR(ISNUMBER(SEARCH("FAIL",K225&amp;" "&amp;Q225)),ISNUMBER(SEARCH("CLEAN RETEST REQUIRED",K225&amp;" "&amp;Q225))),"Failed",IF(OR(ISNUMBER(SEARCH("NOT RUN",K225&amp;" "&amp;Q225)),ISNUMBER(SEARCH("NOT IMPLEMENTED",K225&amp;" "&amp;Q225))),"Not started",IF(OR(ISNUMBER(SEARCH("PARTIAL",K225&amp;" "&amp;Q225)),ISNUMBER(SEARCH("PENDING",K225&amp;" "&amp;Q225)),ISNUMBER(SEARCH("IN PROGRESS",K225&amp;" "&amp;Q225)),ISNUMBER(SEARCH("OPEN",K225&amp;" "&amp;Q225)),ISNUMBER(SEARCH("RETEST REQUIRED",K225&amp;" "&amp;Q225)),ISNUMBER(SEARCH("IMPLEMENTATION UPDATED",K225&amp;" "&amp;Q225)),ISNUMBER(SEARCH("REQUIRED EVERY SESSION",K225&amp;" "&amp;Q225))),"Pending",IF(OR(Q225="PASS",ISNUMBER(SEARCH("PASS",K225&amp;" "&amp;Q225))),"Done","Pending"))))</f>
        <v>Not started</v>
      </c>
      <c r="U225" s="146" t="str">
        <f>IF(OR(C225="Admin optional",LEFT(A225,9)="OPERATOR-",LEFT(A225,8)="PAYMENT-",LEFT(A225,7)="DEPLOY-"),"External","Core")</f>
        <v>External</v>
      </c>
    </row>
    <row r="226" customFormat="false" ht="15" hidden="false" customHeight="false" outlineLevel="0" collapsed="false">
      <c r="A226" s="243" t="s">
        <v>2024</v>
      </c>
      <c r="B226" s="243" t="s">
        <v>1973</v>
      </c>
      <c r="C226" s="272" t="s">
        <v>54</v>
      </c>
      <c r="D226" s="243" t="s">
        <v>2025</v>
      </c>
      <c r="E226" s="243" t="s">
        <v>2026</v>
      </c>
      <c r="F226" s="243" t="s">
        <v>4</v>
      </c>
      <c r="G226" s="243" t="s">
        <v>2027</v>
      </c>
      <c r="H226" s="243" t="s">
        <v>4</v>
      </c>
      <c r="I226" s="243" t="s">
        <v>2028</v>
      </c>
      <c r="J226" s="243" t="s">
        <v>2029</v>
      </c>
      <c r="K226" s="243" t="s">
        <v>1978</v>
      </c>
      <c r="L226" s="243" t="s">
        <v>1</v>
      </c>
      <c r="M226" s="243" t="s">
        <v>1</v>
      </c>
      <c r="N226" s="243" t="s">
        <v>1</v>
      </c>
      <c r="O226" s="243" t="s">
        <v>2030</v>
      </c>
      <c r="P226" s="243" t="s">
        <v>2031</v>
      </c>
      <c r="Q226" s="243" t="s">
        <v>1</v>
      </c>
      <c r="R226" s="243" t="s">
        <v>2032</v>
      </c>
      <c r="S226" s="243" t="s">
        <v>106</v>
      </c>
      <c r="T226" s="146" t="str">
        <f>IF(OR(ISNUMBER(SEARCH("FAIL",K226&amp;" "&amp;Q226)),ISNUMBER(SEARCH("CLEAN RETEST REQUIRED",K226&amp;" "&amp;Q226))),"Failed",IF(OR(ISNUMBER(SEARCH("NOT RUN",K226&amp;" "&amp;Q226)),ISNUMBER(SEARCH("NOT IMPLEMENTED",K226&amp;" "&amp;Q226))),"Not started",IF(OR(ISNUMBER(SEARCH("PARTIAL",K226&amp;" "&amp;Q226)),ISNUMBER(SEARCH("PENDING",K226&amp;" "&amp;Q226)),ISNUMBER(SEARCH("IN PROGRESS",K226&amp;" "&amp;Q226)),ISNUMBER(SEARCH("OPEN",K226&amp;" "&amp;Q226)),ISNUMBER(SEARCH("RETEST REQUIRED",K226&amp;" "&amp;Q226)),ISNUMBER(SEARCH("IMPLEMENTATION UPDATED",K226&amp;" "&amp;Q226)),ISNUMBER(SEARCH("REQUIRED EVERY SESSION",K226&amp;" "&amp;Q226))),"Pending",IF(OR(Q226="PASS",ISNUMBER(SEARCH("PASS",K226&amp;" "&amp;Q226))),"Done","Pending"))))</f>
        <v>Not started</v>
      </c>
      <c r="U226" s="146" t="str">
        <f>IF(OR(C226="Admin optional",LEFT(A226,9)="OPERATOR-",LEFT(A226,8)="PAYMENT-",LEFT(A226,7)="DEPLOY-"),"External","Core")</f>
        <v>External</v>
      </c>
    </row>
    <row r="227" customFormat="false" ht="15" hidden="false" customHeight="false" outlineLevel="0" collapsed="false">
      <c r="A227" s="243" t="s">
        <v>2033</v>
      </c>
      <c r="B227" s="243" t="s">
        <v>2034</v>
      </c>
      <c r="C227" s="272" t="s">
        <v>54</v>
      </c>
      <c r="D227" s="243" t="s">
        <v>2035</v>
      </c>
      <c r="E227" s="243" t="s">
        <v>2036</v>
      </c>
      <c r="F227" s="243" t="s">
        <v>2037</v>
      </c>
      <c r="G227" s="243" t="s">
        <v>2038</v>
      </c>
      <c r="H227" s="243" t="s">
        <v>4</v>
      </c>
      <c r="I227" s="243" t="s">
        <v>2039</v>
      </c>
      <c r="J227" s="243" t="s">
        <v>2040</v>
      </c>
      <c r="K227" s="243" t="s">
        <v>1978</v>
      </c>
      <c r="L227" s="243" t="s">
        <v>1</v>
      </c>
      <c r="M227" s="243" t="s">
        <v>1</v>
      </c>
      <c r="N227" s="243" t="s">
        <v>1</v>
      </c>
      <c r="O227" s="243" t="s">
        <v>2041</v>
      </c>
      <c r="P227" s="243" t="s">
        <v>2042</v>
      </c>
      <c r="Q227" s="243" t="s">
        <v>1</v>
      </c>
      <c r="R227" s="243" t="s">
        <v>2043</v>
      </c>
      <c r="S227" s="243" t="s">
        <v>106</v>
      </c>
      <c r="T227" s="146" t="str">
        <f>IF(OR(ISNUMBER(SEARCH("FAIL",K227&amp;" "&amp;Q227)),ISNUMBER(SEARCH("CLEAN RETEST REQUIRED",K227&amp;" "&amp;Q227))),"Failed",IF(OR(ISNUMBER(SEARCH("NOT RUN",K227&amp;" "&amp;Q227)),ISNUMBER(SEARCH("NOT IMPLEMENTED",K227&amp;" "&amp;Q227))),"Not started",IF(OR(ISNUMBER(SEARCH("PARTIAL",K227&amp;" "&amp;Q227)),ISNUMBER(SEARCH("PENDING",K227&amp;" "&amp;Q227)),ISNUMBER(SEARCH("IN PROGRESS",K227&amp;" "&amp;Q227)),ISNUMBER(SEARCH("OPEN",K227&amp;" "&amp;Q227)),ISNUMBER(SEARCH("RETEST REQUIRED",K227&amp;" "&amp;Q227)),ISNUMBER(SEARCH("IMPLEMENTATION UPDATED",K227&amp;" "&amp;Q227)),ISNUMBER(SEARCH("REQUIRED EVERY SESSION",K227&amp;" "&amp;Q227))),"Pending",IF(OR(Q227="PASS",ISNUMBER(SEARCH("PASS",K227&amp;" "&amp;Q227))),"Done","Pending"))))</f>
        <v>Not started</v>
      </c>
      <c r="U227" s="146" t="str">
        <f>IF(OR(C227="Admin optional",LEFT(A227,9)="OPERATOR-",LEFT(A227,8)="PAYMENT-",LEFT(A227,7)="DEPLOY-"),"External","Core")</f>
        <v>External</v>
      </c>
    </row>
    <row r="228" customFormat="false" ht="15" hidden="false" customHeight="false" outlineLevel="0" collapsed="false">
      <c r="A228" s="243" t="s">
        <v>2044</v>
      </c>
      <c r="B228" s="243" t="s">
        <v>2034</v>
      </c>
      <c r="C228" s="272" t="s">
        <v>54</v>
      </c>
      <c r="D228" s="243" t="s">
        <v>2045</v>
      </c>
      <c r="E228" s="243" t="s">
        <v>2046</v>
      </c>
      <c r="F228" s="243" t="s">
        <v>4</v>
      </c>
      <c r="G228" s="243" t="s">
        <v>2047</v>
      </c>
      <c r="H228" s="243" t="s">
        <v>4</v>
      </c>
      <c r="I228" s="243" t="s">
        <v>2048</v>
      </c>
      <c r="J228" s="243" t="s">
        <v>2049</v>
      </c>
      <c r="K228" s="243" t="s">
        <v>1978</v>
      </c>
      <c r="L228" s="243" t="s">
        <v>1</v>
      </c>
      <c r="M228" s="243" t="s">
        <v>1</v>
      </c>
      <c r="N228" s="243" t="s">
        <v>1</v>
      </c>
      <c r="O228" s="243" t="s">
        <v>2050</v>
      </c>
      <c r="P228" s="243" t="s">
        <v>2051</v>
      </c>
      <c r="Q228" s="243" t="s">
        <v>1</v>
      </c>
      <c r="R228" s="243" t="s">
        <v>2052</v>
      </c>
      <c r="S228" s="243" t="s">
        <v>106</v>
      </c>
      <c r="T228" s="146" t="str">
        <f>IF(OR(ISNUMBER(SEARCH("FAIL",K228&amp;" "&amp;Q228)),ISNUMBER(SEARCH("CLEAN RETEST REQUIRED",K228&amp;" "&amp;Q228))),"Failed",IF(OR(ISNUMBER(SEARCH("NOT RUN",K228&amp;" "&amp;Q228)),ISNUMBER(SEARCH("NOT IMPLEMENTED",K228&amp;" "&amp;Q228))),"Not started",IF(OR(ISNUMBER(SEARCH("PARTIAL",K228&amp;" "&amp;Q228)),ISNUMBER(SEARCH("PENDING",K228&amp;" "&amp;Q228)),ISNUMBER(SEARCH("IN PROGRESS",K228&amp;" "&amp;Q228)),ISNUMBER(SEARCH("OPEN",K228&amp;" "&amp;Q228)),ISNUMBER(SEARCH("RETEST REQUIRED",K228&amp;" "&amp;Q228)),ISNUMBER(SEARCH("IMPLEMENTATION UPDATED",K228&amp;" "&amp;Q228)),ISNUMBER(SEARCH("REQUIRED EVERY SESSION",K228&amp;" "&amp;Q228))),"Pending",IF(OR(Q228="PASS",ISNUMBER(SEARCH("PASS",K228&amp;" "&amp;Q228))),"Done","Pending"))))</f>
        <v>Not started</v>
      </c>
      <c r="U228" s="146" t="str">
        <f>IF(OR(C228="Admin optional",LEFT(A228,9)="OPERATOR-",LEFT(A228,8)="PAYMENT-",LEFT(A228,7)="DEPLOY-"),"External","Core")</f>
        <v>External</v>
      </c>
    </row>
    <row r="229" customFormat="false" ht="15" hidden="false" customHeight="false" outlineLevel="0" collapsed="false">
      <c r="A229" s="243" t="s">
        <v>2053</v>
      </c>
      <c r="B229" s="243" t="s">
        <v>2034</v>
      </c>
      <c r="C229" s="272" t="s">
        <v>54</v>
      </c>
      <c r="D229" s="243" t="s">
        <v>2045</v>
      </c>
      <c r="E229" s="243" t="s">
        <v>2054</v>
      </c>
      <c r="F229" s="243" t="s">
        <v>4</v>
      </c>
      <c r="G229" s="243" t="s">
        <v>2055</v>
      </c>
      <c r="H229" s="243" t="s">
        <v>4</v>
      </c>
      <c r="I229" s="243" t="s">
        <v>2056</v>
      </c>
      <c r="J229" s="243" t="s">
        <v>2057</v>
      </c>
      <c r="K229" s="243" t="s">
        <v>1978</v>
      </c>
      <c r="L229" s="243" t="s">
        <v>1</v>
      </c>
      <c r="M229" s="243" t="s">
        <v>1</v>
      </c>
      <c r="N229" s="243" t="s">
        <v>1</v>
      </c>
      <c r="O229" s="243" t="s">
        <v>2058</v>
      </c>
      <c r="P229" s="243" t="s">
        <v>2059</v>
      </c>
      <c r="Q229" s="243" t="s">
        <v>1</v>
      </c>
      <c r="R229" s="243" t="s">
        <v>2060</v>
      </c>
      <c r="S229" s="243" t="s">
        <v>106</v>
      </c>
      <c r="T229" s="146" t="str">
        <f>IF(OR(ISNUMBER(SEARCH("FAIL",K229&amp;" "&amp;Q229)),ISNUMBER(SEARCH("CLEAN RETEST REQUIRED",K229&amp;" "&amp;Q229))),"Failed",IF(OR(ISNUMBER(SEARCH("NOT RUN",K229&amp;" "&amp;Q229)),ISNUMBER(SEARCH("NOT IMPLEMENTED",K229&amp;" "&amp;Q229))),"Not started",IF(OR(ISNUMBER(SEARCH("PARTIAL",K229&amp;" "&amp;Q229)),ISNUMBER(SEARCH("PENDING",K229&amp;" "&amp;Q229)),ISNUMBER(SEARCH("IN PROGRESS",K229&amp;" "&amp;Q229)),ISNUMBER(SEARCH("OPEN",K229&amp;" "&amp;Q229)),ISNUMBER(SEARCH("RETEST REQUIRED",K229&amp;" "&amp;Q229)),ISNUMBER(SEARCH("IMPLEMENTATION UPDATED",K229&amp;" "&amp;Q229)),ISNUMBER(SEARCH("REQUIRED EVERY SESSION",K229&amp;" "&amp;Q229))),"Pending",IF(OR(Q229="PASS",ISNUMBER(SEARCH("PASS",K229&amp;" "&amp;Q229))),"Done","Pending"))))</f>
        <v>Not started</v>
      </c>
      <c r="U229" s="146" t="str">
        <f>IF(OR(C229="Admin optional",LEFT(A229,9)="OPERATOR-",LEFT(A229,8)="PAYMENT-",LEFT(A229,7)="DEPLOY-"),"External","Core")</f>
        <v>External</v>
      </c>
    </row>
    <row r="230" customFormat="false" ht="15" hidden="false" customHeight="false" outlineLevel="0" collapsed="false">
      <c r="A230" s="243" t="s">
        <v>2061</v>
      </c>
      <c r="B230" s="243" t="s">
        <v>2034</v>
      </c>
      <c r="C230" s="272" t="s">
        <v>54</v>
      </c>
      <c r="D230" s="243" t="s">
        <v>2062</v>
      </c>
      <c r="E230" s="243" t="s">
        <v>2063</v>
      </c>
      <c r="F230" s="243" t="s">
        <v>2064</v>
      </c>
      <c r="G230" s="243" t="s">
        <v>2065</v>
      </c>
      <c r="H230" s="243" t="s">
        <v>4</v>
      </c>
      <c r="I230" s="243" t="s">
        <v>2066</v>
      </c>
      <c r="J230" s="243" t="s">
        <v>2067</v>
      </c>
      <c r="K230" s="243" t="s">
        <v>2068</v>
      </c>
      <c r="L230" s="243" t="s">
        <v>1</v>
      </c>
      <c r="M230" s="243" t="s">
        <v>1</v>
      </c>
      <c r="N230" s="243" t="s">
        <v>1</v>
      </c>
      <c r="O230" s="243" t="s">
        <v>2069</v>
      </c>
      <c r="P230" s="243" t="s">
        <v>2070</v>
      </c>
      <c r="Q230" s="243" t="s">
        <v>1</v>
      </c>
      <c r="R230" s="243" t="s">
        <v>2071</v>
      </c>
      <c r="S230" s="243" t="s">
        <v>106</v>
      </c>
      <c r="T230" s="146" t="str">
        <f>IF(OR(ISNUMBER(SEARCH("FAIL",K230&amp;" "&amp;Q230)),ISNUMBER(SEARCH("CLEAN RETEST REQUIRED",K230&amp;" "&amp;Q230))),"Failed",IF(OR(ISNUMBER(SEARCH("NOT RUN",K230&amp;" "&amp;Q230)),ISNUMBER(SEARCH("NOT IMPLEMENTED",K230&amp;" "&amp;Q230))),"Not started",IF(OR(ISNUMBER(SEARCH("PARTIAL",K230&amp;" "&amp;Q230)),ISNUMBER(SEARCH("PENDING",K230&amp;" "&amp;Q230)),ISNUMBER(SEARCH("IN PROGRESS",K230&amp;" "&amp;Q230)),ISNUMBER(SEARCH("OPEN",K230&amp;" "&amp;Q230)),ISNUMBER(SEARCH("RETEST REQUIRED",K230&amp;" "&amp;Q230)),ISNUMBER(SEARCH("IMPLEMENTATION UPDATED",K230&amp;" "&amp;Q230)),ISNUMBER(SEARCH("REQUIRED EVERY SESSION",K230&amp;" "&amp;Q230))),"Pending",IF(OR(Q230="PASS",ISNUMBER(SEARCH("PASS",K230&amp;" "&amp;Q230))),"Done","Pending"))))</f>
        <v>Pending</v>
      </c>
      <c r="U230" s="146" t="str">
        <f>IF(OR(C230="Admin optional",LEFT(A230,9)="OPERATOR-",LEFT(A230,8)="PAYMENT-",LEFT(A230,7)="DEPLOY-"),"External","Core")</f>
        <v>External</v>
      </c>
    </row>
    <row r="231" customFormat="false" ht="15" hidden="false" customHeight="false" outlineLevel="0" collapsed="false">
      <c r="A231" s="243" t="s">
        <v>2072</v>
      </c>
      <c r="B231" s="243" t="s">
        <v>2034</v>
      </c>
      <c r="C231" s="272" t="s">
        <v>54</v>
      </c>
      <c r="D231" s="243" t="s">
        <v>2073</v>
      </c>
      <c r="E231" s="243" t="s">
        <v>2074</v>
      </c>
      <c r="F231" s="243" t="s">
        <v>4</v>
      </c>
      <c r="G231" s="243" t="s">
        <v>2075</v>
      </c>
      <c r="H231" s="243" t="s">
        <v>4</v>
      </c>
      <c r="I231" s="243" t="s">
        <v>2076</v>
      </c>
      <c r="J231" s="243" t="s">
        <v>2077</v>
      </c>
      <c r="K231" s="243" t="s">
        <v>2068</v>
      </c>
      <c r="L231" s="243" t="s">
        <v>1</v>
      </c>
      <c r="M231" s="243" t="s">
        <v>1</v>
      </c>
      <c r="N231" s="243" t="s">
        <v>1</v>
      </c>
      <c r="O231" s="243" t="s">
        <v>2078</v>
      </c>
      <c r="P231" s="243" t="s">
        <v>2079</v>
      </c>
      <c r="Q231" s="243" t="s">
        <v>1</v>
      </c>
      <c r="R231" s="243" t="s">
        <v>2080</v>
      </c>
      <c r="S231" s="243" t="s">
        <v>106</v>
      </c>
      <c r="T231" s="146" t="str">
        <f>IF(OR(ISNUMBER(SEARCH("FAIL",K231&amp;" "&amp;Q231)),ISNUMBER(SEARCH("CLEAN RETEST REQUIRED",K231&amp;" "&amp;Q231))),"Failed",IF(OR(ISNUMBER(SEARCH("NOT RUN",K231&amp;" "&amp;Q231)),ISNUMBER(SEARCH("NOT IMPLEMENTED",K231&amp;" "&amp;Q231))),"Not started",IF(OR(ISNUMBER(SEARCH("PARTIAL",K231&amp;" "&amp;Q231)),ISNUMBER(SEARCH("PENDING",K231&amp;" "&amp;Q231)),ISNUMBER(SEARCH("IN PROGRESS",K231&amp;" "&amp;Q231)),ISNUMBER(SEARCH("OPEN",K231&amp;" "&amp;Q231)),ISNUMBER(SEARCH("RETEST REQUIRED",K231&amp;" "&amp;Q231)),ISNUMBER(SEARCH("IMPLEMENTATION UPDATED",K231&amp;" "&amp;Q231)),ISNUMBER(SEARCH("REQUIRED EVERY SESSION",K231&amp;" "&amp;Q231))),"Pending",IF(OR(Q231="PASS",ISNUMBER(SEARCH("PASS",K231&amp;" "&amp;Q231))),"Done","Pending"))))</f>
        <v>Pending</v>
      </c>
      <c r="U231" s="146" t="str">
        <f>IF(OR(C231="Admin optional",LEFT(A231,9)="OPERATOR-",LEFT(A231,8)="PAYMENT-",LEFT(A231,7)="DEPLOY-"),"External","Core")</f>
        <v>External</v>
      </c>
    </row>
    <row r="232" customFormat="false" ht="15" hidden="false" customHeight="false" outlineLevel="0" collapsed="false">
      <c r="A232" s="243" t="s">
        <v>2081</v>
      </c>
      <c r="B232" s="243" t="s">
        <v>2034</v>
      </c>
      <c r="C232" s="272" t="s">
        <v>54</v>
      </c>
      <c r="D232" s="243" t="s">
        <v>2035</v>
      </c>
      <c r="E232" s="243" t="s">
        <v>2082</v>
      </c>
      <c r="F232" s="243" t="s">
        <v>2083</v>
      </c>
      <c r="G232" s="243" t="s">
        <v>2084</v>
      </c>
      <c r="H232" s="243" t="s">
        <v>4</v>
      </c>
      <c r="I232" s="243" t="s">
        <v>2085</v>
      </c>
      <c r="J232" s="243" t="s">
        <v>2086</v>
      </c>
      <c r="K232" s="243" t="s">
        <v>137</v>
      </c>
      <c r="L232" s="243" t="s">
        <v>1</v>
      </c>
      <c r="M232" s="243" t="s">
        <v>1</v>
      </c>
      <c r="N232" s="243" t="s">
        <v>1</v>
      </c>
      <c r="O232" s="243" t="s">
        <v>2087</v>
      </c>
      <c r="P232" s="243" t="s">
        <v>2088</v>
      </c>
      <c r="Q232" s="243" t="s">
        <v>1</v>
      </c>
      <c r="R232" s="243" t="s">
        <v>2089</v>
      </c>
      <c r="S232" s="243" t="s">
        <v>392</v>
      </c>
      <c r="T232" s="146" t="str">
        <f>IF(OR(ISNUMBER(SEARCH("FAIL",K232&amp;" "&amp;Q232)),ISNUMBER(SEARCH("CLEAN RETEST REQUIRED",K232&amp;" "&amp;Q232))),"Failed",IF(OR(ISNUMBER(SEARCH("NOT RUN",K232&amp;" "&amp;Q232)),ISNUMBER(SEARCH("NOT IMPLEMENTED",K232&amp;" "&amp;Q232))),"Not started",IF(OR(ISNUMBER(SEARCH("PARTIAL",K232&amp;" "&amp;Q232)),ISNUMBER(SEARCH("PENDING",K232&amp;" "&amp;Q232)),ISNUMBER(SEARCH("IN PROGRESS",K232&amp;" "&amp;Q232)),ISNUMBER(SEARCH("OPEN",K232&amp;" "&amp;Q232)),ISNUMBER(SEARCH("RETEST REQUIRED",K232&amp;" "&amp;Q232)),ISNUMBER(SEARCH("IMPLEMENTATION UPDATED",K232&amp;" "&amp;Q232)),ISNUMBER(SEARCH("REQUIRED EVERY SESSION",K232&amp;" "&amp;Q232))),"Pending",IF(OR(Q232="PASS",ISNUMBER(SEARCH("PASS",K232&amp;" "&amp;Q232))),"Done","Pending"))))</f>
        <v>Not started</v>
      </c>
      <c r="U232" s="146" t="str">
        <f>IF(OR(C232="Admin optional",LEFT(A232,9)="OPERATOR-",LEFT(A232,8)="PAYMENT-",LEFT(A232,7)="DEPLOY-"),"External","Core")</f>
        <v>External</v>
      </c>
    </row>
    <row r="233" customFormat="false" ht="15" hidden="false" customHeight="false" outlineLevel="0" collapsed="false">
      <c r="A233" s="243" t="s">
        <v>2090</v>
      </c>
      <c r="B233" s="243" t="s">
        <v>2034</v>
      </c>
      <c r="C233" s="272" t="s">
        <v>54</v>
      </c>
      <c r="D233" s="243" t="s">
        <v>2091</v>
      </c>
      <c r="E233" s="243" t="s">
        <v>2092</v>
      </c>
      <c r="F233" s="243" t="s">
        <v>4</v>
      </c>
      <c r="G233" s="243" t="s">
        <v>2093</v>
      </c>
      <c r="H233" s="243" t="s">
        <v>4</v>
      </c>
      <c r="I233" s="243" t="s">
        <v>4</v>
      </c>
      <c r="J233" s="243" t="s">
        <v>2094</v>
      </c>
      <c r="K233" s="243" t="s">
        <v>1978</v>
      </c>
      <c r="L233" s="243" t="s">
        <v>1</v>
      </c>
      <c r="M233" s="243" t="s">
        <v>1</v>
      </c>
      <c r="N233" s="243" t="s">
        <v>1</v>
      </c>
      <c r="O233" s="243" t="s">
        <v>2095</v>
      </c>
      <c r="P233" s="243" t="s">
        <v>2096</v>
      </c>
      <c r="Q233" s="243" t="s">
        <v>1</v>
      </c>
      <c r="R233" s="243" t="s">
        <v>2097</v>
      </c>
      <c r="S233" s="243" t="s">
        <v>132</v>
      </c>
      <c r="T233" s="146" t="str">
        <f>IF(OR(ISNUMBER(SEARCH("FAIL",K233&amp;" "&amp;Q233)),ISNUMBER(SEARCH("CLEAN RETEST REQUIRED",K233&amp;" "&amp;Q233))),"Failed",IF(OR(ISNUMBER(SEARCH("NOT RUN",K233&amp;" "&amp;Q233)),ISNUMBER(SEARCH("NOT IMPLEMENTED",K233&amp;" "&amp;Q233))),"Not started",IF(OR(ISNUMBER(SEARCH("PARTIAL",K233&amp;" "&amp;Q233)),ISNUMBER(SEARCH("PENDING",K233&amp;" "&amp;Q233)),ISNUMBER(SEARCH("IN PROGRESS",K233&amp;" "&amp;Q233)),ISNUMBER(SEARCH("OPEN",K233&amp;" "&amp;Q233)),ISNUMBER(SEARCH("RETEST REQUIRED",K233&amp;" "&amp;Q233)),ISNUMBER(SEARCH("IMPLEMENTATION UPDATED",K233&amp;" "&amp;Q233)),ISNUMBER(SEARCH("REQUIRED EVERY SESSION",K233&amp;" "&amp;Q233))),"Pending",IF(OR(Q233="PASS",ISNUMBER(SEARCH("PASS",K233&amp;" "&amp;Q233))),"Done","Pending"))))</f>
        <v>Not started</v>
      </c>
      <c r="U233" s="146" t="str">
        <f>IF(OR(C233="Admin optional",LEFT(A233,9)="OPERATOR-",LEFT(A233,8)="PAYMENT-",LEFT(A233,7)="DEPLOY-"),"External","Core")</f>
        <v>External</v>
      </c>
    </row>
    <row r="234" customFormat="false" ht="15" hidden="false" customHeight="false" outlineLevel="0" collapsed="false">
      <c r="A234" s="243" t="s">
        <v>2098</v>
      </c>
      <c r="B234" s="243" t="s">
        <v>2034</v>
      </c>
      <c r="C234" s="272" t="s">
        <v>54</v>
      </c>
      <c r="D234" s="243" t="s">
        <v>2099</v>
      </c>
      <c r="E234" s="243" t="s">
        <v>2100</v>
      </c>
      <c r="F234" s="243" t="s">
        <v>4</v>
      </c>
      <c r="G234" s="243" t="s">
        <v>2101</v>
      </c>
      <c r="H234" s="243" t="s">
        <v>4</v>
      </c>
      <c r="I234" s="243" t="s">
        <v>4</v>
      </c>
      <c r="J234" s="243" t="s">
        <v>2102</v>
      </c>
      <c r="K234" s="243" t="s">
        <v>1978</v>
      </c>
      <c r="L234" s="243" t="s">
        <v>1</v>
      </c>
      <c r="M234" s="243" t="s">
        <v>1</v>
      </c>
      <c r="N234" s="243" t="s">
        <v>1</v>
      </c>
      <c r="O234" s="243" t="s">
        <v>2103</v>
      </c>
      <c r="P234" s="243" t="s">
        <v>2104</v>
      </c>
      <c r="Q234" s="243" t="s">
        <v>1</v>
      </c>
      <c r="R234" s="243" t="s">
        <v>2105</v>
      </c>
      <c r="S234" s="243" t="s">
        <v>106</v>
      </c>
      <c r="T234" s="146" t="str">
        <f>IF(OR(ISNUMBER(SEARCH("FAIL",K234&amp;" "&amp;Q234)),ISNUMBER(SEARCH("CLEAN RETEST REQUIRED",K234&amp;" "&amp;Q234))),"Failed",IF(OR(ISNUMBER(SEARCH("NOT RUN",K234&amp;" "&amp;Q234)),ISNUMBER(SEARCH("NOT IMPLEMENTED",K234&amp;" "&amp;Q234))),"Not started",IF(OR(ISNUMBER(SEARCH("PARTIAL",K234&amp;" "&amp;Q234)),ISNUMBER(SEARCH("PENDING",K234&amp;" "&amp;Q234)),ISNUMBER(SEARCH("IN PROGRESS",K234&amp;" "&amp;Q234)),ISNUMBER(SEARCH("OPEN",K234&amp;" "&amp;Q234)),ISNUMBER(SEARCH("RETEST REQUIRED",K234&amp;" "&amp;Q234)),ISNUMBER(SEARCH("IMPLEMENTATION UPDATED",K234&amp;" "&amp;Q234)),ISNUMBER(SEARCH("REQUIRED EVERY SESSION",K234&amp;" "&amp;Q234))),"Pending",IF(OR(Q234="PASS",ISNUMBER(SEARCH("PASS",K234&amp;" "&amp;Q234))),"Done","Pending"))))</f>
        <v>Not started</v>
      </c>
      <c r="U234" s="146" t="str">
        <f>IF(OR(C234="Admin optional",LEFT(A234,9)="OPERATOR-",LEFT(A234,8)="PAYMENT-",LEFT(A234,7)="DEPLOY-"),"External","Core")</f>
        <v>External</v>
      </c>
    </row>
    <row r="235" customFormat="false" ht="15" hidden="false" customHeight="false" outlineLevel="0" collapsed="false">
      <c r="A235" s="243" t="s">
        <v>2106</v>
      </c>
      <c r="B235" s="243" t="s">
        <v>2034</v>
      </c>
      <c r="C235" s="272" t="s">
        <v>54</v>
      </c>
      <c r="D235" s="243" t="s">
        <v>2107</v>
      </c>
      <c r="E235" s="243" t="s">
        <v>2108</v>
      </c>
      <c r="F235" s="243" t="s">
        <v>4</v>
      </c>
      <c r="G235" s="243" t="s">
        <v>2109</v>
      </c>
      <c r="H235" s="243" t="s">
        <v>4</v>
      </c>
      <c r="I235" s="243" t="s">
        <v>2110</v>
      </c>
      <c r="J235" s="243" t="s">
        <v>2111</v>
      </c>
      <c r="K235" s="243" t="s">
        <v>1978</v>
      </c>
      <c r="L235" s="243" t="s">
        <v>1</v>
      </c>
      <c r="M235" s="243" t="s">
        <v>1</v>
      </c>
      <c r="N235" s="243" t="s">
        <v>1</v>
      </c>
      <c r="O235" s="243" t="s">
        <v>2112</v>
      </c>
      <c r="P235" s="243" t="s">
        <v>2113</v>
      </c>
      <c r="Q235" s="243" t="s">
        <v>1</v>
      </c>
      <c r="R235" s="243" t="s">
        <v>2114</v>
      </c>
      <c r="S235" s="243" t="s">
        <v>106</v>
      </c>
      <c r="T235" s="146" t="str">
        <f>IF(OR(ISNUMBER(SEARCH("FAIL",K235&amp;" "&amp;Q235)),ISNUMBER(SEARCH("CLEAN RETEST REQUIRED",K235&amp;" "&amp;Q235))),"Failed",IF(OR(ISNUMBER(SEARCH("NOT RUN",K235&amp;" "&amp;Q235)),ISNUMBER(SEARCH("NOT IMPLEMENTED",K235&amp;" "&amp;Q235))),"Not started",IF(OR(ISNUMBER(SEARCH("PARTIAL",K235&amp;" "&amp;Q235)),ISNUMBER(SEARCH("PENDING",K235&amp;" "&amp;Q235)),ISNUMBER(SEARCH("IN PROGRESS",K235&amp;" "&amp;Q235)),ISNUMBER(SEARCH("OPEN",K235&amp;" "&amp;Q235)),ISNUMBER(SEARCH("RETEST REQUIRED",K235&amp;" "&amp;Q235)),ISNUMBER(SEARCH("IMPLEMENTATION UPDATED",K235&amp;" "&amp;Q235)),ISNUMBER(SEARCH("REQUIRED EVERY SESSION",K235&amp;" "&amp;Q235))),"Pending",IF(OR(Q235="PASS",ISNUMBER(SEARCH("PASS",K235&amp;" "&amp;Q235))),"Done","Pending"))))</f>
        <v>Not started</v>
      </c>
      <c r="U235" s="146" t="str">
        <f>IF(OR(C235="Admin optional",LEFT(A235,9)="OPERATOR-",LEFT(A235,8)="PAYMENT-",LEFT(A235,7)="DEPLOY-"),"External","Core")</f>
        <v>External</v>
      </c>
    </row>
    <row r="236" customFormat="false" ht="15" hidden="false" customHeight="false" outlineLevel="0" collapsed="false">
      <c r="A236" s="243" t="s">
        <v>2115</v>
      </c>
      <c r="B236" s="243" t="s">
        <v>1871</v>
      </c>
      <c r="C236" s="273" t="s">
        <v>63</v>
      </c>
      <c r="D236" s="243" t="s">
        <v>2116</v>
      </c>
      <c r="E236" s="243" t="s">
        <v>2117</v>
      </c>
      <c r="F236" s="243" t="s">
        <v>4</v>
      </c>
      <c r="G236" s="243" t="s">
        <v>4</v>
      </c>
      <c r="H236" s="243" t="s">
        <v>4</v>
      </c>
      <c r="I236" s="243" t="s">
        <v>4</v>
      </c>
      <c r="J236" s="243" t="s">
        <v>2118</v>
      </c>
      <c r="K236" s="243" t="s">
        <v>137</v>
      </c>
      <c r="L236" s="243" t="s">
        <v>1</v>
      </c>
      <c r="M236" s="243" t="s">
        <v>1</v>
      </c>
      <c r="N236" s="243" t="s">
        <v>1</v>
      </c>
      <c r="O236" s="243" t="s">
        <v>2119</v>
      </c>
      <c r="P236" s="243" t="s">
        <v>2120</v>
      </c>
      <c r="Q236" s="243" t="s">
        <v>1</v>
      </c>
      <c r="R236" s="243" t="s">
        <v>2121</v>
      </c>
      <c r="S236" s="243" t="s">
        <v>106</v>
      </c>
      <c r="T236" s="146" t="str">
        <f>IF(OR(ISNUMBER(SEARCH("FAIL",K236&amp;" "&amp;Q236)),ISNUMBER(SEARCH("CLEAN RETEST REQUIRED",K236&amp;" "&amp;Q236))),"Failed",IF(OR(ISNUMBER(SEARCH("NOT RUN",K236&amp;" "&amp;Q236)),ISNUMBER(SEARCH("NOT IMPLEMENTED",K236&amp;" "&amp;Q236))),"Not started",IF(OR(ISNUMBER(SEARCH("PARTIAL",K236&amp;" "&amp;Q236)),ISNUMBER(SEARCH("PENDING",K236&amp;" "&amp;Q236)),ISNUMBER(SEARCH("IN PROGRESS",K236&amp;" "&amp;Q236)),ISNUMBER(SEARCH("OPEN",K236&amp;" "&amp;Q236)),ISNUMBER(SEARCH("RETEST REQUIRED",K236&amp;" "&amp;Q236)),ISNUMBER(SEARCH("IMPLEMENTATION UPDATED",K236&amp;" "&amp;Q236)),ISNUMBER(SEARCH("REQUIRED EVERY SESSION",K236&amp;" "&amp;Q236))),"Pending",IF(OR(Q236="PASS",ISNUMBER(SEARCH("PASS",K236&amp;" "&amp;Q236))),"Done","Pending"))))</f>
        <v>Not started</v>
      </c>
      <c r="U236" s="146" t="str">
        <f>IF(OR(C236="Admin optional",LEFT(A236,9)="OPERATOR-",LEFT(A236,8)="PAYMENT-",LEFT(A236,7)="DEPLOY-"),"External","Core")</f>
        <v>External</v>
      </c>
    </row>
    <row r="237" customFormat="false" ht="15" hidden="false" customHeight="false" outlineLevel="0" collapsed="false">
      <c r="A237" s="243" t="s">
        <v>2122</v>
      </c>
      <c r="B237" s="243" t="s">
        <v>1871</v>
      </c>
      <c r="C237" s="273" t="s">
        <v>63</v>
      </c>
      <c r="D237" s="243" t="s">
        <v>2123</v>
      </c>
      <c r="E237" s="243" t="s">
        <v>2124</v>
      </c>
      <c r="F237" s="243" t="s">
        <v>4</v>
      </c>
      <c r="G237" s="243" t="s">
        <v>2125</v>
      </c>
      <c r="H237" s="243" t="s">
        <v>4</v>
      </c>
      <c r="I237" s="243" t="s">
        <v>2126</v>
      </c>
      <c r="J237" s="243" t="s">
        <v>2127</v>
      </c>
      <c r="K237" s="243" t="s">
        <v>137</v>
      </c>
      <c r="L237" s="243" t="s">
        <v>1</v>
      </c>
      <c r="M237" s="243" t="s">
        <v>1</v>
      </c>
      <c r="N237" s="243" t="s">
        <v>1</v>
      </c>
      <c r="O237" s="243" t="s">
        <v>2128</v>
      </c>
      <c r="P237" s="243" t="s">
        <v>2129</v>
      </c>
      <c r="Q237" s="243" t="s">
        <v>1</v>
      </c>
      <c r="R237" s="243" t="s">
        <v>2130</v>
      </c>
      <c r="S237" s="243" t="s">
        <v>106</v>
      </c>
      <c r="T237" s="146" t="str">
        <f>IF(OR(ISNUMBER(SEARCH("FAIL",K237&amp;" "&amp;Q237)),ISNUMBER(SEARCH("CLEAN RETEST REQUIRED",K237&amp;" "&amp;Q237))),"Failed",IF(OR(ISNUMBER(SEARCH("NOT RUN",K237&amp;" "&amp;Q237)),ISNUMBER(SEARCH("NOT IMPLEMENTED",K237&amp;" "&amp;Q237))),"Not started",IF(OR(ISNUMBER(SEARCH("PARTIAL",K237&amp;" "&amp;Q237)),ISNUMBER(SEARCH("PENDING",K237&amp;" "&amp;Q237)),ISNUMBER(SEARCH("IN PROGRESS",K237&amp;" "&amp;Q237)),ISNUMBER(SEARCH("OPEN",K237&amp;" "&amp;Q237)),ISNUMBER(SEARCH("RETEST REQUIRED",K237&amp;" "&amp;Q237)),ISNUMBER(SEARCH("IMPLEMENTATION UPDATED",K237&amp;" "&amp;Q237)),ISNUMBER(SEARCH("REQUIRED EVERY SESSION",K237&amp;" "&amp;Q237))),"Pending",IF(OR(Q237="PASS",ISNUMBER(SEARCH("PASS",K237&amp;" "&amp;Q237))),"Done","Pending"))))</f>
        <v>Not started</v>
      </c>
      <c r="U237" s="146" t="str">
        <f>IF(OR(C237="Admin optional",LEFT(A237,9)="OPERATOR-",LEFT(A237,8)="PAYMENT-",LEFT(A237,7)="DEPLOY-"),"External","Core")</f>
        <v>External</v>
      </c>
    </row>
    <row r="238" customFormat="false" ht="15" hidden="false" customHeight="false" outlineLevel="0" collapsed="false">
      <c r="A238" s="243" t="s">
        <v>2131</v>
      </c>
      <c r="B238" s="243" t="s">
        <v>1871</v>
      </c>
      <c r="C238" s="273" t="s">
        <v>63</v>
      </c>
      <c r="D238" s="243" t="s">
        <v>2132</v>
      </c>
      <c r="E238" s="243" t="s">
        <v>2133</v>
      </c>
      <c r="F238" s="243" t="s">
        <v>4</v>
      </c>
      <c r="G238" s="243" t="s">
        <v>2134</v>
      </c>
      <c r="H238" s="243" t="s">
        <v>4</v>
      </c>
      <c r="I238" s="243" t="s">
        <v>2135</v>
      </c>
      <c r="J238" s="243" t="s">
        <v>2136</v>
      </c>
      <c r="K238" s="243" t="s">
        <v>137</v>
      </c>
      <c r="L238" s="243" t="s">
        <v>1</v>
      </c>
      <c r="M238" s="243" t="s">
        <v>1</v>
      </c>
      <c r="N238" s="243" t="s">
        <v>1</v>
      </c>
      <c r="O238" s="243" t="s">
        <v>2137</v>
      </c>
      <c r="P238" s="243" t="s">
        <v>2138</v>
      </c>
      <c r="Q238" s="243" t="s">
        <v>1</v>
      </c>
      <c r="R238" s="243" t="s">
        <v>2139</v>
      </c>
      <c r="S238" s="243" t="s">
        <v>106</v>
      </c>
      <c r="T238" s="146" t="str">
        <f>IF(OR(ISNUMBER(SEARCH("FAIL",K238&amp;" "&amp;Q238)),ISNUMBER(SEARCH("CLEAN RETEST REQUIRED",K238&amp;" "&amp;Q238))),"Failed",IF(OR(ISNUMBER(SEARCH("NOT RUN",K238&amp;" "&amp;Q238)),ISNUMBER(SEARCH("NOT IMPLEMENTED",K238&amp;" "&amp;Q238))),"Not started",IF(OR(ISNUMBER(SEARCH("PARTIAL",K238&amp;" "&amp;Q238)),ISNUMBER(SEARCH("PENDING",K238&amp;" "&amp;Q238)),ISNUMBER(SEARCH("IN PROGRESS",K238&amp;" "&amp;Q238)),ISNUMBER(SEARCH("OPEN",K238&amp;" "&amp;Q238)),ISNUMBER(SEARCH("RETEST REQUIRED",K238&amp;" "&amp;Q238)),ISNUMBER(SEARCH("IMPLEMENTATION UPDATED",K238&amp;" "&amp;Q238)),ISNUMBER(SEARCH("REQUIRED EVERY SESSION",K238&amp;" "&amp;Q238))),"Pending",IF(OR(Q238="PASS",ISNUMBER(SEARCH("PASS",K238&amp;" "&amp;Q238))),"Done","Pending"))))</f>
        <v>Not started</v>
      </c>
      <c r="U238" s="146" t="str">
        <f>IF(OR(C238="Admin optional",LEFT(A238,9)="OPERATOR-",LEFT(A238,8)="PAYMENT-",LEFT(A238,7)="DEPLOY-"),"External","Core")</f>
        <v>External</v>
      </c>
    </row>
    <row r="239" customFormat="false" ht="15" hidden="false" customHeight="false" outlineLevel="0" collapsed="false">
      <c r="A239" s="243" t="s">
        <v>2140</v>
      </c>
      <c r="B239" s="243" t="s">
        <v>1871</v>
      </c>
      <c r="C239" s="273" t="s">
        <v>63</v>
      </c>
      <c r="D239" s="243" t="s">
        <v>2141</v>
      </c>
      <c r="E239" s="243" t="s">
        <v>2142</v>
      </c>
      <c r="F239" s="243" t="s">
        <v>2143</v>
      </c>
      <c r="G239" s="243" t="s">
        <v>2144</v>
      </c>
      <c r="H239" s="243" t="s">
        <v>4</v>
      </c>
      <c r="I239" s="243" t="s">
        <v>2145</v>
      </c>
      <c r="J239" s="243" t="s">
        <v>2146</v>
      </c>
      <c r="K239" s="243" t="s">
        <v>137</v>
      </c>
      <c r="L239" s="243" t="s">
        <v>1</v>
      </c>
      <c r="M239" s="243" t="s">
        <v>1</v>
      </c>
      <c r="N239" s="243" t="s">
        <v>1</v>
      </c>
      <c r="O239" s="243" t="s">
        <v>2147</v>
      </c>
      <c r="P239" s="243" t="s">
        <v>2148</v>
      </c>
      <c r="Q239" s="243" t="s">
        <v>1</v>
      </c>
      <c r="R239" s="243" t="s">
        <v>2149</v>
      </c>
      <c r="S239" s="243" t="s">
        <v>106</v>
      </c>
      <c r="T239" s="146" t="str">
        <f>IF(OR(ISNUMBER(SEARCH("FAIL",K239&amp;" "&amp;Q239)),ISNUMBER(SEARCH("CLEAN RETEST REQUIRED",K239&amp;" "&amp;Q239))),"Failed",IF(OR(ISNUMBER(SEARCH("NOT RUN",K239&amp;" "&amp;Q239)),ISNUMBER(SEARCH("NOT IMPLEMENTED",K239&amp;" "&amp;Q239))),"Not started",IF(OR(ISNUMBER(SEARCH("PARTIAL",K239&amp;" "&amp;Q239)),ISNUMBER(SEARCH("PENDING",K239&amp;" "&amp;Q239)),ISNUMBER(SEARCH("IN PROGRESS",K239&amp;" "&amp;Q239)),ISNUMBER(SEARCH("OPEN",K239&amp;" "&amp;Q239)),ISNUMBER(SEARCH("RETEST REQUIRED",K239&amp;" "&amp;Q239)),ISNUMBER(SEARCH("IMPLEMENTATION UPDATED",K239&amp;" "&amp;Q239)),ISNUMBER(SEARCH("REQUIRED EVERY SESSION",K239&amp;" "&amp;Q239))),"Pending",IF(OR(Q239="PASS",ISNUMBER(SEARCH("PASS",K239&amp;" "&amp;Q239))),"Done","Pending"))))</f>
        <v>Not started</v>
      </c>
      <c r="U239" s="146" t="str">
        <f>IF(OR(C239="Admin optional",LEFT(A239,9)="OPERATOR-",LEFT(A239,8)="PAYMENT-",LEFT(A239,7)="DEPLOY-"),"External","Core")</f>
        <v>External</v>
      </c>
    </row>
    <row r="240" customFormat="false" ht="15" hidden="false" customHeight="false" outlineLevel="0" collapsed="false">
      <c r="A240" s="243" t="s">
        <v>2150</v>
      </c>
      <c r="B240" s="243" t="s">
        <v>1871</v>
      </c>
      <c r="C240" s="273" t="s">
        <v>63</v>
      </c>
      <c r="D240" s="243" t="s">
        <v>2151</v>
      </c>
      <c r="E240" s="243" t="s">
        <v>2152</v>
      </c>
      <c r="F240" s="243" t="s">
        <v>4</v>
      </c>
      <c r="G240" s="243" t="s">
        <v>2153</v>
      </c>
      <c r="H240" s="243" t="s">
        <v>4</v>
      </c>
      <c r="I240" s="243" t="s">
        <v>4</v>
      </c>
      <c r="J240" s="243" t="s">
        <v>2154</v>
      </c>
      <c r="K240" s="243" t="s">
        <v>137</v>
      </c>
      <c r="L240" s="243" t="s">
        <v>1</v>
      </c>
      <c r="M240" s="243" t="s">
        <v>1</v>
      </c>
      <c r="N240" s="243" t="s">
        <v>1</v>
      </c>
      <c r="O240" s="243" t="s">
        <v>2155</v>
      </c>
      <c r="P240" s="243" t="s">
        <v>2156</v>
      </c>
      <c r="Q240" s="243" t="s">
        <v>1</v>
      </c>
      <c r="R240" s="243" t="s">
        <v>2157</v>
      </c>
      <c r="S240" s="243" t="s">
        <v>106</v>
      </c>
      <c r="T240" s="146" t="str">
        <f>IF(OR(ISNUMBER(SEARCH("FAIL",K240&amp;" "&amp;Q240)),ISNUMBER(SEARCH("CLEAN RETEST REQUIRED",K240&amp;" "&amp;Q240))),"Failed",IF(OR(ISNUMBER(SEARCH("NOT RUN",K240&amp;" "&amp;Q240)),ISNUMBER(SEARCH("NOT IMPLEMENTED",K240&amp;" "&amp;Q240))),"Not started",IF(OR(ISNUMBER(SEARCH("PARTIAL",K240&amp;" "&amp;Q240)),ISNUMBER(SEARCH("PENDING",K240&amp;" "&amp;Q240)),ISNUMBER(SEARCH("IN PROGRESS",K240&amp;" "&amp;Q240)),ISNUMBER(SEARCH("OPEN",K240&amp;" "&amp;Q240)),ISNUMBER(SEARCH("RETEST REQUIRED",K240&amp;" "&amp;Q240)),ISNUMBER(SEARCH("IMPLEMENTATION UPDATED",K240&amp;" "&amp;Q240)),ISNUMBER(SEARCH("REQUIRED EVERY SESSION",K240&amp;" "&amp;Q240))),"Pending",IF(OR(Q240="PASS",ISNUMBER(SEARCH("PASS",K240&amp;" "&amp;Q240))),"Done","Pending"))))</f>
        <v>Not started</v>
      </c>
      <c r="U240" s="146" t="str">
        <f>IF(OR(C240="Admin optional",LEFT(A240,9)="OPERATOR-",LEFT(A240,8)="PAYMENT-",LEFT(A240,7)="DEPLOY-"),"External","Core")</f>
        <v>External</v>
      </c>
    </row>
    <row r="241" customFormat="false" ht="15" hidden="false" customHeight="false" outlineLevel="0" collapsed="false">
      <c r="A241" s="243" t="s">
        <v>2158</v>
      </c>
      <c r="B241" s="243" t="s">
        <v>1871</v>
      </c>
      <c r="C241" s="273" t="s">
        <v>63</v>
      </c>
      <c r="D241" s="243" t="s">
        <v>2159</v>
      </c>
      <c r="E241" s="243" t="s">
        <v>2160</v>
      </c>
      <c r="F241" s="243" t="s">
        <v>4</v>
      </c>
      <c r="G241" s="243" t="s">
        <v>2161</v>
      </c>
      <c r="H241" s="243" t="s">
        <v>4</v>
      </c>
      <c r="I241" s="243" t="s">
        <v>2162</v>
      </c>
      <c r="J241" s="243" t="s">
        <v>2163</v>
      </c>
      <c r="K241" s="243" t="s">
        <v>137</v>
      </c>
      <c r="L241" s="243" t="s">
        <v>1</v>
      </c>
      <c r="M241" s="243" t="s">
        <v>1</v>
      </c>
      <c r="N241" s="243" t="s">
        <v>1</v>
      </c>
      <c r="O241" s="243" t="s">
        <v>2164</v>
      </c>
      <c r="P241" s="243" t="s">
        <v>2165</v>
      </c>
      <c r="Q241" s="243" t="s">
        <v>1</v>
      </c>
      <c r="R241" s="243" t="s">
        <v>2166</v>
      </c>
      <c r="S241" s="243" t="s">
        <v>106</v>
      </c>
      <c r="T241" s="146" t="str">
        <f>IF(OR(ISNUMBER(SEARCH("FAIL",K241&amp;" "&amp;Q241)),ISNUMBER(SEARCH("CLEAN RETEST REQUIRED",K241&amp;" "&amp;Q241))),"Failed",IF(OR(ISNUMBER(SEARCH("NOT RUN",K241&amp;" "&amp;Q241)),ISNUMBER(SEARCH("NOT IMPLEMENTED",K241&amp;" "&amp;Q241))),"Not started",IF(OR(ISNUMBER(SEARCH("PARTIAL",K241&amp;" "&amp;Q241)),ISNUMBER(SEARCH("PENDING",K241&amp;" "&amp;Q241)),ISNUMBER(SEARCH("IN PROGRESS",K241&amp;" "&amp;Q241)),ISNUMBER(SEARCH("OPEN",K241&amp;" "&amp;Q241)),ISNUMBER(SEARCH("RETEST REQUIRED",K241&amp;" "&amp;Q241)),ISNUMBER(SEARCH("IMPLEMENTATION UPDATED",K241&amp;" "&amp;Q241)),ISNUMBER(SEARCH("REQUIRED EVERY SESSION",K241&amp;" "&amp;Q241))),"Pending",IF(OR(Q241="PASS",ISNUMBER(SEARCH("PASS",K241&amp;" "&amp;Q241))),"Done","Pending"))))</f>
        <v>Not started</v>
      </c>
      <c r="U241" s="146" t="str">
        <f>IF(OR(C241="Admin optional",LEFT(A241,9)="OPERATOR-",LEFT(A241,8)="PAYMENT-",LEFT(A241,7)="DEPLOY-"),"External","Core")</f>
        <v>External</v>
      </c>
    </row>
    <row r="242" customFormat="false" ht="15" hidden="false" customHeight="false" outlineLevel="0" collapsed="false">
      <c r="A242" s="243" t="s">
        <v>2167</v>
      </c>
      <c r="B242" s="243" t="s">
        <v>1871</v>
      </c>
      <c r="C242" s="273" t="s">
        <v>63</v>
      </c>
      <c r="D242" s="243" t="s">
        <v>2168</v>
      </c>
      <c r="E242" s="243" t="s">
        <v>2169</v>
      </c>
      <c r="F242" s="243" t="s">
        <v>4</v>
      </c>
      <c r="G242" s="243" t="s">
        <v>2170</v>
      </c>
      <c r="H242" s="243" t="s">
        <v>4</v>
      </c>
      <c r="I242" s="243" t="s">
        <v>2171</v>
      </c>
      <c r="J242" s="243" t="s">
        <v>2172</v>
      </c>
      <c r="K242" s="243" t="s">
        <v>137</v>
      </c>
      <c r="L242" s="243" t="s">
        <v>1</v>
      </c>
      <c r="M242" s="243" t="s">
        <v>1</v>
      </c>
      <c r="N242" s="243" t="s">
        <v>1</v>
      </c>
      <c r="O242" s="243" t="s">
        <v>2173</v>
      </c>
      <c r="P242" s="243" t="s">
        <v>2174</v>
      </c>
      <c r="Q242" s="243" t="s">
        <v>1</v>
      </c>
      <c r="R242" s="243" t="s">
        <v>2175</v>
      </c>
      <c r="S242" s="243" t="s">
        <v>106</v>
      </c>
      <c r="T242" s="146" t="str">
        <f>IF(OR(ISNUMBER(SEARCH("FAIL",K242&amp;" "&amp;Q242)),ISNUMBER(SEARCH("CLEAN RETEST REQUIRED",K242&amp;" "&amp;Q242))),"Failed",IF(OR(ISNUMBER(SEARCH("NOT RUN",K242&amp;" "&amp;Q242)),ISNUMBER(SEARCH("NOT IMPLEMENTED",K242&amp;" "&amp;Q242))),"Not started",IF(OR(ISNUMBER(SEARCH("PARTIAL",K242&amp;" "&amp;Q242)),ISNUMBER(SEARCH("PENDING",K242&amp;" "&amp;Q242)),ISNUMBER(SEARCH("IN PROGRESS",K242&amp;" "&amp;Q242)),ISNUMBER(SEARCH("OPEN",K242&amp;" "&amp;Q242)),ISNUMBER(SEARCH("RETEST REQUIRED",K242&amp;" "&amp;Q242)),ISNUMBER(SEARCH("IMPLEMENTATION UPDATED",K242&amp;" "&amp;Q242)),ISNUMBER(SEARCH("REQUIRED EVERY SESSION",K242&amp;" "&amp;Q242))),"Pending",IF(OR(Q242="PASS",ISNUMBER(SEARCH("PASS",K242&amp;" "&amp;Q242))),"Done","Pending"))))</f>
        <v>Not started</v>
      </c>
      <c r="U242" s="146" t="str">
        <f>IF(OR(C242="Admin optional",LEFT(A242,9)="OPERATOR-",LEFT(A242,8)="PAYMENT-",LEFT(A242,7)="DEPLOY-"),"External","Core")</f>
        <v>External</v>
      </c>
    </row>
    <row r="243" customFormat="false" ht="15" hidden="false" customHeight="false" outlineLevel="0" collapsed="false">
      <c r="A243" s="243" t="s">
        <v>2176</v>
      </c>
      <c r="B243" s="243" t="s">
        <v>1871</v>
      </c>
      <c r="C243" s="273" t="s">
        <v>63</v>
      </c>
      <c r="D243" s="243" t="s">
        <v>2177</v>
      </c>
      <c r="E243" s="243" t="s">
        <v>2178</v>
      </c>
      <c r="F243" s="243" t="s">
        <v>4</v>
      </c>
      <c r="G243" s="243" t="s">
        <v>2179</v>
      </c>
      <c r="H243" s="243" t="s">
        <v>4</v>
      </c>
      <c r="I243" s="243" t="s">
        <v>4</v>
      </c>
      <c r="J243" s="243" t="s">
        <v>2180</v>
      </c>
      <c r="K243" s="243" t="s">
        <v>137</v>
      </c>
      <c r="L243" s="243" t="s">
        <v>1</v>
      </c>
      <c r="M243" s="243" t="s">
        <v>1</v>
      </c>
      <c r="N243" s="243" t="s">
        <v>1</v>
      </c>
      <c r="O243" s="243" t="s">
        <v>2181</v>
      </c>
      <c r="P243" s="243" t="s">
        <v>2182</v>
      </c>
      <c r="Q243" s="243" t="s">
        <v>1</v>
      </c>
      <c r="R243" s="243" t="s">
        <v>2183</v>
      </c>
      <c r="S243" s="243" t="s">
        <v>106</v>
      </c>
      <c r="T243" s="146" t="str">
        <f>IF(OR(ISNUMBER(SEARCH("FAIL",K243&amp;" "&amp;Q243)),ISNUMBER(SEARCH("CLEAN RETEST REQUIRED",K243&amp;" "&amp;Q243))),"Failed",IF(OR(ISNUMBER(SEARCH("NOT RUN",K243&amp;" "&amp;Q243)),ISNUMBER(SEARCH("NOT IMPLEMENTED",K243&amp;" "&amp;Q243))),"Not started",IF(OR(ISNUMBER(SEARCH("PARTIAL",K243&amp;" "&amp;Q243)),ISNUMBER(SEARCH("PENDING",K243&amp;" "&amp;Q243)),ISNUMBER(SEARCH("IN PROGRESS",K243&amp;" "&amp;Q243)),ISNUMBER(SEARCH("OPEN",K243&amp;" "&amp;Q243)),ISNUMBER(SEARCH("RETEST REQUIRED",K243&amp;" "&amp;Q243)),ISNUMBER(SEARCH("IMPLEMENTATION UPDATED",K243&amp;" "&amp;Q243)),ISNUMBER(SEARCH("REQUIRED EVERY SESSION",K243&amp;" "&amp;Q243))),"Pending",IF(OR(Q243="PASS",ISNUMBER(SEARCH("PASS",K243&amp;" "&amp;Q243))),"Done","Pending"))))</f>
        <v>Not started</v>
      </c>
      <c r="U243" s="146" t="str">
        <f>IF(OR(C243="Admin optional",LEFT(A243,9)="OPERATOR-",LEFT(A243,8)="PAYMENT-",LEFT(A243,7)="DEPLOY-"),"External","Core")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