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<sst xmlns="http://schemas.openxmlformats.org/spreadsheetml/2006/main" count="2700" uniqueCount="1299">
  <si>
    <t>EFFECT / SCOPE MARKERS</t>
  </si>
  <si>
    <t/>
  </si>
  <si>
    <t>Done</t>
  </si>
  <si>
    <t>115 (97%)</t>
  </si>
  <si>
    <t>X</t>
  </si>
  <si>
    <t>No expected effect — An unchanged X cell is PASS</t>
  </si>
  <si>
    <t>Pending</t>
  </si>
  <si>
    <t>0</t>
  </si>
  <si>
    <t>DELTA</t>
  </si>
  <si>
    <t>Required direct effect — Record before/after count and direction</t>
  </si>
  <si>
    <t>Not started</t>
  </si>
  <si>
    <t>4</t>
  </si>
  <si>
    <t>INDIRECT</t>
  </si>
  <si>
    <t>Conditional effect — State the condition and prove it occurred</t>
  </si>
  <si>
    <t>Failed</t>
  </si>
  <si>
    <t>GAP</t>
  </si>
  <si>
    <t>Known observability gap — Record FAIL/GAP separately from domain PASS</t>
  </si>
  <si>
    <t>Total</t>
  </si>
  <si>
    <t>119</t>
  </si>
  <si>
    <t>DOMAIN PRIORITY</t>
  </si>
  <si>
    <t>QA domain</t>
  </si>
  <si>
    <t>Priority</t>
  </si>
  <si>
    <t>Progress / remaining min/max</t>
  </si>
  <si>
    <t>API test</t>
  </si>
  <si>
    <t>15</t>
  </si>
  <si>
    <t>4 passed / 5 total (80%) · 120/290</t>
  </si>
  <si>
    <t>Asset</t>
  </si>
  <si>
    <t>9</t>
  </si>
  <si>
    <t>7 passed / 7 total (100%) · 0/0</t>
  </si>
  <si>
    <t>QA infrastructure</t>
  </si>
  <si>
    <t>14</t>
  </si>
  <si>
    <t>2 passed / 2 total (100%) · 0/0</t>
  </si>
  <si>
    <t>Group</t>
  </si>
  <si>
    <t>8</t>
  </si>
  <si>
    <t>0 passed / 2 total (0%) · 345/815</t>
  </si>
  <si>
    <t>Identity &amp; access</t>
  </si>
  <si>
    <t>13</t>
  </si>
  <si>
    <t>8 passed / 9 total (89%) · 120/240</t>
  </si>
  <si>
    <t>Content</t>
  </si>
  <si>
    <t>7</t>
  </si>
  <si>
    <t>3 passed / 3 total (100%) · 0/0</t>
  </si>
  <si>
    <t>Event</t>
  </si>
  <si>
    <t>12</t>
  </si>
  <si>
    <t>55 passed / 55 total (100%) · 0/0</t>
  </si>
  <si>
    <t>Notifications</t>
  </si>
  <si>
    <t>6</t>
  </si>
  <si>
    <t>6 passed / 6 total (100%) · 0/0</t>
  </si>
  <si>
    <t>Tournament</t>
  </si>
  <si>
    <t>11</t>
  </si>
  <si>
    <t>15 passed / 15 total (100%) · 0/0</t>
  </si>
  <si>
    <t>Administration</t>
  </si>
  <si>
    <t>5</t>
  </si>
  <si>
    <t>4 passed / 4 total (100%) · 0/0</t>
  </si>
  <si>
    <t>Chat</t>
  </si>
  <si>
    <t>10</t>
  </si>
  <si>
    <t>Operator</t>
  </si>
  <si>
    <t>3</t>
  </si>
  <si>
    <t>5 passed / 5 total (100%) · 0/0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</si>
  <si>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</si>
  <si>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</si>
  <si>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</si>
  <si>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</si>
  <si>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</si>
  <si>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</si>
  <si>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</si>
  <si>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</si>
  <si>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</si>
  <si>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</si>
  <si>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</si>
  <si>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</si>
  <si>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</si>
  <si>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</si>
  <si>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</si>
  <si>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</si>
  <si>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</si>
  <si>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</si>
  <si>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</si>
  <si>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</si>
  <si>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</si>
  <si>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</si>
  <si>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</si>
  <si>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</si>
  <si>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</si>
  <si>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</si>
  <si>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</si>
  <si>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</si>
  <si>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</si>
  <si>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</si>
  <si>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</si>
  <si>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</si>
  <si>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</si>
  <si>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</si>
  <si>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</si>
  <si>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</si>
  <si>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</si>
  <si>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</si>
  <si>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</si>
  <si>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</si>
  <si>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</si>
  <si>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</si>
  <si>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guides/qa/checklists/integration/AFFILIATE-INVITATION-001.md;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</si>
  <si>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</si>
  <si>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</si>
  <si>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</si>
  <si>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</si>
  <si>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</si>
  <si>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</si>
  <si>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</si>
  <si>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</si>
  <si>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</si>
  <si>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</si>
  <si>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</si>
  <si>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</si>
  <si>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</si>
  <si>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</si>
  <si>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</si>
  <si>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</si>
  <si>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</si>
  <si>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</si>
  <si>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</si>
  <si>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</si>
  <si>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</si>
  <si>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INTEGRATION-API-GROUP-001</t>
  </si>
  <si>
    <t>Group regression journey</t>
  </si>
  <si>
    <t>Group participant invitation links</t>
  </si>
  <si>
    <t>Shared Event invitation API flow: ordered stable URLs, new registration and existing-account claim, accepted group membership, active workspace, replay/conflict/failure handling and unchanged Event acceptance/payment.</t>
  </si>
  <si>
    <t>INDIRECT only existing producers; compare before/after</t>
  </si>
  <si>
    <t>DELTA authorized writes and denied cross-scope requests; no secrets</t>
  </si>
  <si>
    <t>INDIRECT workspace-owned rating/following mutations only</t>
  </si>
  <si>
    <t>INDIRECT configured moderation worker only; no invented scheduling rule</t>
  </si>
  <si>
    <t>DELTA one external-ID binding, accepted community membership and workspace profile; target group active after registration; foreign/replayed identity does not gain access.</t>
  </si>
  <si>
    <t>NOT RUN / CHECKLIST PREPARED</t>
  </si>
  <si>
    <t>N/A - server-owned API</t>
  </si>
  <si>
    <t>15 focused backend tests PASS (2026-09-24): filter defaults/preservation and shared invitation claim plus community admission/replay. Does not prove this full UI/HTTP journey.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</si>
  <si>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Final NOT RUN block7: develop and test URL/Connect OAuth simulator locally in myscoutee-mcp with real dev endpoints, browser login/consent, callback and authenticated tool calls. No production configuration or external ChatGPT account required. Own baseline/checkpoints/cleanup.</t>
  </si>
  <si>
    <t>guides/qa/checklists/integration/INTEGRATION-API-GROUP-001.md; Added 2026-09-24. No campaign fixture or browser actions executed. Priority I/L/A/N/O=5/4/4/4/4; effort actions/extra actors/oracles/boundaries/restore/external=26/2/4/3/1/1.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NOT RUN blocks 2-3: fresh registration versus existing pre-registered demo recipient; real entry UI, cancelled/retried Setup retains invitation, first active-group load and reload/login. No session injection to skip entry gates.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User clarification2026-09-27: URL-first MCP connection is API-domain development, NOT IMPLEMENTED. Added to section7: implement first, then execute the independent API checkpoint. Existing manual client registration/consent is partial implementation; ordinary user flow must not require client-secret copying. Tall revoke-card layout included. | Local/dev full-flow requirement: implement a versioned real MCP/OAuth test client and callback receiver so URL discovery -&gt; browser sign-in/consent -&gt; token exchange -&gt; private tool call completes against the running application without fabricated grants/responses or a production dependency. | MCP client development target refined: optional browser URL/Connect client in myscoutee-mcp; reuse Inspector/OAuth, real login/callback/private tool result. Full Help Center and API popup question-mark help have separate HU/EN seeds. Feature remains NOT IMPLEMENTED; no runtime UI support claimed. | 2026-09-27 clarification: local MCP OAuth simulation remains in final API NOT RUN block7; no live deployment config prerequisite. Actual browser-based ChatGPT is a separate user-operated manual deployment test.</t>
  </si>
  <si>
    <t>P0 85</t>
  </si>
  <si>
    <t>120/290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</si>
  <si>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</si>
  <si>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</si>
  <si>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</si>
  <si>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</si>
  <si>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</si>
  <si>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</si>
  <si>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</si>
  <si>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</si>
  <si>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</si>
  <si>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</si>
  <si>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</si>
  <si>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</si>
  <si>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</si>
  <si>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</si>
  <si>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</si>
  <si>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</si>
  <si>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</si>
  <si>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</si>
  <si>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</si>
  <si>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</si>
  <si>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</si>
  <si>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</si>
  <si>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</si>
  <si>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</si>
  <si>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</si>
  <si>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</si>
  <si>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</si>
  <si>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</si>
  <si>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</si>
  <si>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</si>
  <si>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</si>
  <si>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</si>
  <si>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</si>
  <si>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</si>
  <si>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</si>
  <si>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One Save created demo-profile-7e3c471d-d5fb-4175-ba07-885db86856fe: public/A, form v2, 3 images, 1 experience profile, 0 provider identities and one unique stable development-email owner.•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</si>
  <si>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</si>
  <si>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</si>
  <si>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</si>
  <si>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</si>
  <si>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</si>
  <si>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</si>
  <si>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</si>
  <si>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</si>
  <si>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Anonymous acceptance retained only qa-analytics for the exact revision, wrote one entry audit and created no session or server consent before registration.• One Save created demo-profile-5b569629-0a7b-46c8-b7e3-044f8f8f80dd with 3 images and exactly one user-owned consent; total delta +1, ownerless delta 0, qa-marketing absent, and /game did not reopen privacy.•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</si>
  <si>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</si>
  <si>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</si>
  <si>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</si>
  <si>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</si>
  <si>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</si>
  <si>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</si>
  <si>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Baseline: Nova consents 2, total consents 26, ownerless 0, controlled-revision consents 0.• Fresh anonymous /entry browser shows exact v3 with no selected optional IDs, consent, audit or session; Cancel/Accept boundary visible.• One Cancel wrote exactly one rejected v3 audit; browser consent/session stayed absent and all server consent deltas stayed 0.• Login/Member reopened the same v3 gate without mutating the rejection audit, optional selection, session or server cardinality.• Accepting only Previous analytics stored the exact local v3 consent and prepended one accepted audit without removing the rejection; session stayed absent and server deltas stayed 0.• Nova login transferred one entry-source v3 consent (6a7e170d67960971c52a31b6): only qa-previous-analytics, target/total delta +1, ownerless 0, v4 consent absent.• Guarded activation made only v4 active at 19:13:40.771Z; v3 consent remained byte-identical and v4 consent stayed absent before reload.• Reload retained Nova/v3/audit history but forced a non-backdrop-dismissible v4 popup with empty selection; server still had no v4 consent and cardinality stayed +1/+1/0.•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</si>
  <si>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</si>
  <si>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</si>
  <si>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</si>
  <si>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</si>
  <si>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</si>
  <si>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</si>
  <si>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Fresh Nova browser with no local consent bootstrap forced v5 and preselected only qa-current-analytics from v4.• Previously unselected qa-current-marketing and new qa-product-research both started unselected; v5 consent was absent before the user action.• Nova approved exactly qa-current-analytics plus qa-product-research; the popup closed and the demo session remained active.• Initial terminal verification found a fixture-stage defect, not an application write: stage had updated metadata on all English privacy revisions. Stage now deactivates only the active revision; versioned repair-stage restored three inactive snapshots without touching consents.•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</si>
  <si>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</si>
  <si>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</si>
  <si>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</si>
  <si>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</si>
  <si>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</si>
  <si>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</si>
  <si>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</si>
  <si>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</si>
  <si>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</si>
  <si>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</si>
  <si>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A accepted once with no warning; reload retained the same one slot/audit.• B accepted as slot 2; A/B stayed usable and converged to the same warning counter.• C remained blocked at two slots. A generic selector-message defect was fixed and replayed without deleting the first immutable audit; the exact repair-run order was ACCEPTED/ACCEPTED/BLOCKED_LIMIT/BLOCKED_LIMIT/ACCEPTED.• Explicit A logout released only A; accepted C then joined B as the exact final two sessions.• Final oracle: 2 active opaque sessions, 5 explicit-attempt audits, 4 normalized security notification/outbox rows, B/C counters 4, no raw UA/IP/token/session ID in UI.•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</si>
  <si>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</si>
  <si>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</si>
  <si>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Paris as an absent-country control• Paris target after permission reset and Block</t>
  </si>
  <si>
    <t>X for read-only eligibility checks unless dedicated security metrics are later specified</t>
  </si>
  <si>
    <t>• Budapest 47.4979/19.0402 resolves eligible=true and country:hu• London 51.5074/-0.1278 resolves eligible=true and country:gb from the versioned OSM partition• Paris 48.8566/2.3522 resolves eligible=false while country:fr is absent, without implying a ban• Denied permission keeps Allow location without assuming a country or creating a session•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</si>
  <si>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</si>
  <si>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</si>
  <si>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</si>
  <si>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</si>
  <si>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</si>
  <si>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</si>
  <si>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</si>
  <si>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</si>
  <si>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</si>
  <si>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</si>
  <si>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</si>
  <si>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</si>
  <si>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</si>
  <si>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</si>
  <si>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</si>
  <si>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</si>
  <si>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</si>
  <si>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</si>
  <si>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</si>
  <si>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</si>
  <si>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</si>
  <si>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</si>
  <si>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</si>
  <si>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</si>
  <si>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</si>
  <si>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</si>
  <si>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</si>
  <si>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</si>
  <si>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</si>
  <si>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DEPLOY-EXTERNAL-CONFIG-001</t>
  </si>
  <si>
    <t>Deferred deployment QA</t>
  </si>
  <si>
    <t>Firebase and remote MCP external configuration</t>
  </si>
  <si>
    <t>Fresh/existing Firebase entry, pending location persistence/retry/account isolation; verified non-demo invitation denial; ChatGPT/Claude installation, remote OAuth callbacks and grant lifecycle</t>
  </si>
  <si>
    <t>DELTA normal authenticated session and provider outcomes</t>
  </si>
  <si>
    <t>No demo substitution for real provider authentication; no cross-account grant or pending-coordinate leakage</t>
  </si>
  <si>
    <t>DEFERRED / NOT RUN</t>
  </si>
  <si>
    <t>N/A</t>
  </si>
  <si>
    <t>2026-09-27</t>
  </si>
  <si>
    <t>Supporting shared-path tests only; real provider outcomes NOT RUN</t>
  </si>
  <si>
    <t>Own configured test deployment: Firebase and help checks; user manually connects MyScoutee from the browser-based ChatGPT website, completes login/consent, invokes an allowed tool in that conversation and verifies revocation. Local OAuth simulator is outside deployment scope.</t>
  </si>
  <si>
    <t>User explicitly deferred configuration-dependent checks2026-09-27. Moved from GROUP-LIFECYCLE-00119.2 and INTEGRATION-API-GROUP-0017; retains earlier DEPLOY-FIREBASE-LIFECYCLE-001 invitation-policy assertion. guides/qa/checklists/deployment/DEPLOY-EXTERNAL-CONFIG-001.md. Current firebase-config404; no external-provider PASS. Time range is a planning estimate after prerequisites are configured; includes configured deployment help update/import.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User clarification2026-09-27: URL-first ChatGPT/Codex/Claude MCP connection without manual client-secret copying is NOT IMPLEMENTED. Development is required BEFORE deployment QA. Existing manual client registration and consent page do not prove the complete flow; external client initiates Connect. Tall connection cards keep Revoke top right. | Corrected domain2026-09-27: URL-first MCP implementation belongs to API test, not deployment setup. This row retains actual configured external-client interoperability checks only; no cross-case execution dependency or inherited PASS. | Boundary clarified: public HTTPS/external service registration/real ChatGPT-Codex-Claude interoperability belong here when they require configured deployment. Local/dev must still complete the real application protocol with a test client. Each case runs independently; URL-first feature still NOT IMPLEMENTED. | External assistant acceptance requires user Connect/login/approval, followed by actual authorized MCP tool discovery and read invocation in that same host/account. Simulator success alone is insufficient. Record actual ChatGPT/Claude conversation result; a supported dev tunnel may supply reachability. | 2026-09-27 clarification: explicit user-operated manual ChatGPT website acceptance added; not Codex-host substitution. Local simulator needs no production config and remains API scope.</t>
  </si>
  <si>
    <t>P2 60</t>
  </si>
  <si>
    <t>120/240</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</si>
  <si>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</si>
  <si>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</si>
  <si>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</si>
  <si>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</si>
  <si>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</si>
  <si>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</si>
  <si>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</si>
  <si>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</si>
  <si>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</si>
  <si>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</si>
  <si>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</si>
  <si>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</si>
  <si>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</si>
  <si>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</si>
  <si>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</si>
  <si>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</si>
  <si>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</si>
  <si>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</si>
  <si>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</si>
  <si>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</si>
  <si>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</si>
  <si>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</si>
  <si>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</si>
  <si>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</si>
  <si>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</si>
  <si>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</si>
  <si>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</si>
  <si>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</si>
  <si>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</si>
  <si>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</si>
  <si>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</si>
  <si>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</si>
  <si>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</si>
  <si>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</si>
  <si>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</si>
  <si>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</si>
  <si>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</si>
  <si>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</si>
  <si>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</si>
  <si>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</si>
  <si>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</si>
  <si>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</si>
  <si>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</si>
  <si>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</si>
  <si>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</si>
  <si>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</si>
  <si>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</si>
  <si>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</si>
  <si>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</si>
  <si>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</si>
  <si>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</si>
  <si>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</si>
  <si>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</si>
  <si>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</si>
  <si>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</si>
  <si>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</si>
  <si>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</si>
  <si>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</si>
  <si>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</si>
  <si>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</si>
  <si>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</si>
  <si>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</si>
  <si>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</si>
  <si>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</si>
  <si>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</si>
  <si>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</si>
  <si>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</si>
  <si>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</si>
  <si>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</si>
  <si>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</si>
  <si>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</si>
  <si>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</si>
  <si>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</si>
  <si>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</si>
  <si>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</si>
  <si>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</si>
  <si>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</si>
  <si>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</si>
  <si>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</si>
  <si>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</si>
  <si>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</si>
  <si>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</si>
  <si>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</si>
  <si>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</si>
  <si>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</si>
  <si>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</si>
  <si>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</si>
  <si>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Guarded advance at 22:42:44+02:00 changed only the active checkpoint pointer and retained original reset snapshots; follow-up status kept one active Ticketing On event, Casey/Nova/Riley accepted 3/8, no pending/invited rows and both exact active tickets.• Lina Park is the deterministic Casey-friend external control and Liam Parker the deterministic non-friend; neither has tracked participation on the event and both activity snapshots are now owned.• Prior three managed browsers were closed before replacement; new Casey/Lina/Liam windows are identity-verified with Austin geolocation. Nova/Riley remain persisted membership/ticket controls and need no active browser for the visibility producer.• Casey Unpublish PASS: the same event is DR/Public/Ticketing On with unchanged Casey/Nova/Riley accepted membership 3/8 and no pending/invited/request rows; the already-open Casey My Events projection shows the single draft without reload.• Nova's and Riley's exact original tickets were retained and changed A-&gt;D; no new ticket appeared, ticket counters are 0/0 and Casey remains ticketless. Lina/Liam still have no participation or ticket artifact.• The Unpublish-owned event recompute completed at 20:55:46Z, attempt 2, empty lastError; the affinity worker returned to pendingCount 0.• Friends only draft Save DOMAIN PASS / NOTIFICATION FAIL: the same event remained DR/Ticketing On and persisted visibility=Friends only; Casey/Nova/Riley remained accepted 3/8 with no pending/invited/request row.• Both exact original tickets stayed D with unchanged IDs/codes/issue times, no replacement appeared, counters stayed 0/0, Casey remained ticketless and Lina/Liam controls remained unchanged. Casey's open card changed to the Friends icon without reload.•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Pre-Save open UI baseline PASS: Nova New shows exactly the retained modified + under-review rows (2); Riley New shows those plus member-approved (3); neither contains the removed false schedule-changed row. Both lists remain open for the visibility-only Save.•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First replay Publish instruction NOT EXECUTED / fixture timing invalid: original endAt reached 01:18; Casey's normal poll changed from the card to empty at 01:18:25, screenshot 01:19:17 confirmed it, no Publish request was sent and the persisted oracle stayed unchanged.•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Explore list PASS: Lina's open Explore list contained QA EVENT-TICKET-007 exactly once and Liam's contained no target card; neither changed filters or opened a card. The immediate oracle retained both controls and all membership/ticket/task state unchanged.• Direct detail initially FAIL: Liam's server request returned the full Friends-only event DTO, proving the detail read omitted the external-viewer visibility authorization even though Explore filtering was correct.•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</si>
  <si>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</si>
  <si>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</si>
  <si>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</si>
  <si>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</si>
  <si>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</si>
  <si>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</si>
  <si>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</si>
  <si>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</si>
  <si>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</si>
  <si>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</si>
  <si>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</si>
  <si>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</si>
  <si>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</si>
  <si>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</si>
  <si>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</si>
  <si>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</si>
  <si>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</si>
  <si>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</si>
  <si>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</si>
  <si>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</si>
  <si>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</si>
  <si>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</si>
  <si>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</si>
  <si>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</si>
  <si>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</si>
  <si>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</si>
  <si>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</si>
  <si>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</si>
  <si>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</si>
  <si>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</si>
  <si>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</si>
  <si>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</si>
  <si>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</si>
  <si>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</si>
  <si>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</si>
  <si>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</si>
  <si>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</si>
  <si>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</si>
  <si>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</si>
  <si>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</si>
  <si>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</si>
  <si>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</si>
  <si>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</si>
  <si>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</si>
  <si>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</si>
  <si>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</si>
  <si>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</si>
  <si>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</si>
  <si>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</si>
  <si>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</si>
  <si>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</si>
  <si>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</si>
  <si>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</si>
  <si>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</si>
  <si>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</si>
  <si>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</si>
  <si>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</si>
  <si>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</si>
  <si>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</si>
  <si>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</si>
  <si>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</si>
  <si>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</si>
  <si>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</si>
  <si>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</si>
  <si>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</si>
  <si>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</si>
  <si>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</si>
  <si>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</si>
  <si>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</si>
  <si>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</si>
  <si>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</si>
  <si>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</si>
  <si>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</si>
  <si>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</si>
  <si>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</si>
  <si>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</si>
  <si>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</si>
  <si>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</si>
  <si>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</si>
  <si>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</si>
  <si>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</si>
  <si>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</si>
  <si>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</si>
  <si>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</si>
  <si>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</si>
  <si>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</si>
  <si>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</si>
  <si>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</si>
  <si>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</si>
  <si>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</si>
  <si>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</si>
  <si>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</si>
  <si>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</si>
  <si>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</si>
  <si>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</si>
  <si>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</si>
  <si>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</si>
  <si>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</si>
  <si>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</si>
  <si>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</si>
  <si>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</si>
  <si>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No ticket/payment/chat/lifecycle/recompute artifact existed; affinity and notification workers were terminal with pending 0.• FAIL before producer: reload showed no Casey My Events badge and /api/auth/me returned hosting/event counters 0; opening the popup alone patched the UI.• Root cause was fixture stage omitting the existing write-side event-counter projection, not SmartList or Trash behavior.• Guarded repair captured two reset snapshots and projected counters without changing event/SmartList. HTTP reload oracle now gives Casey hosting/event.hosting/event.all=1 and Nova events/event.active/event.all=1 with matching counterOverrides.• Focused reload replay PASS: closed-popup main badges were Casey My Events=1 and Nova Events=1; both opened lists contained the same event once.• Fixture occupancy defect repaired: creator/Admin is now included in the shared embedded projection; both already-open lists converged 1/8 -&gt; 2/8 by normal popup poll without reload or SmartList change.• Backend preflight defect fixed: global organizer Trash no longer increments an accepted participant's personal Trash counter; explicit deleted memberships still do. Regression source added; owner hot deploy compiled/restarted successfully.• Exact action baseline captured 2026-08-13T20:16:21.233Z: A/public, Casey+Nova 2/8, Casey Hosting/All=1, Nova Active/All=1, lifecycle task/outbox/notification 0. One completed earlier read/location recompute is retained and excluded from Trash attribution.• NOT EXECUTED before producer: Codex's Java hot restart raced the continuous classes deletion wave, left /activities/events/filter unmapped and both open polls showed empty/zero. No Delete request or persisted delta occurred; this is not attributed to the user.• Correct-scope repair: DevTools restart is gated by a marker touched after successful classes; HTTP list failures remain errors while successful empty pages remain authoritative. SmartList was unchanged.•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Terminal verifier PASS at 2026-08-13T20:46:09.146Z: T/statusBeforeSuppression=A/post-baseline trashedAtIso; unchanged Casey Admin + Nova Member 2/8 audit rows; Casey Hosting/All/Trash=0/0/1; Nova Events/Active/All/Trash=0/0/0/0.•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Casey's organizer Trash UI and later fresh-bundle read both PASS: Trash=1 and exactly one QA EVENT-LIFE-002 card.• Nova's untouched Active foreground poll removed the card, but initially FAIL: inclusive All stayed 1 until switching to All returned no card and corrected the menu to 0. Persisted Active/All were already 0/0.•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Nova Notifications New UI PASS: exact unread QA EVENT-LIFE-002 / The event was deleted. row was visible and not opened. Repeated guarded verifier at 2026-08-13T21:05:00.659Z retained exactly one row with empty readAtIso, one pending dev-mode outbox and no duplicate lifecycle effect.• Fresh-bundle Nova reconstruction PASS: after one reload, Events &gt; All was empty and both the main Events and All red counters were absent, agreeing with persisted Active/All=0/0 without a corrective bucket switch.•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</si>
  <si>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</si>
  <si>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</si>
  <si>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</si>
  <si>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</si>
  <si>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</si>
  <si>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</si>
  <si>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</si>
  <si>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</si>
  <si>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</si>
  <si>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The first direct stage exposed a harness-only Nova Trash1 error. Counter reconstruction now treats organizer Trash as host/admin-only and keeps participant membership Trash separate; corrected baseline and Casey Trash UI both passed.• Saved pre-Restore oracle at 2026-08-14T11:13:29.545Z: exactly one event, two members, zero resources/tickets/lifecycle artifacts, Casey Trash1 and Nova Active/All/Trash0.• In-place PASS: Casey restored exactly once; the Trash card/counter disappeared and Nova saw the event through the normal foreground poll without reload.• Java write oracle PASS: same record/source/title became A/published, statusBeforeSuppression and trashedAtIso cleared; exact Casey Admin + Nova Member 2/8 remained; zero member/resource/basket/payment/ticket/chat/lifecycle notification/outbox duplication.• Counter delta PASS: Casey Hosting/My Events +1 and Trash -1; Nova Events/Active/All +1 and Trash unchanged0.• Fresh-bundle read-only PASS: Casey My Events and Nova Active/All each showed the same single event with no Trash counter. Reads created no second task.•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</si>
  <si>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</si>
  <si>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</si>
  <si>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</si>
  <si>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</si>
  <si>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</si>
  <si>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</si>
  <si>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</si>
  <si>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</si>
  <si>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</si>
  <si>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</si>
  <si>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Original Leave UI passed but Java persisted Nova Trash0; later poll removed the badge. Exact failed state retained and root cause fixed in the canonical write-side counter projector, not SmartList/query code.• Corrected Leave PASS: same Casey canonical stayed A at 1/8; same Nova overlay/member became T/suppressed; Nova persisted Active/All/Trash 0/0/1; one member-left chat message; no organizer lifecycle artifacts.• Repeated filter/realtime polls retained Trash1. Nova fresh reload still showed badge1 and exactly one Trash card.• Final Restore PASS: same identities returned A/accepted with suppression cleared, occupancy2/8, Casey counters1/1/0 and Nova counters1/1/0; one member-joined message and correct per-user chat projections.• Final Casey My Events and Nova Active Events fresh DOM reads each showed exactly one 2/8 card and no Trash. One coalesced EVENT_MEMBERS_CHANGED task finished done at 2026-08-14T12:03:21.935Z with no error.•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</si>
  <si>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</si>
  <si>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</si>
  <si>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</si>
  <si>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</si>
  <si>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</si>
  <si>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</si>
  <si>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Nova participant branch: Active Events exactly one QA EVENT-LIFE-003 at 2/8; Invitations and Trash empty before/after reload; final DOM Active1 with no Trash.•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</si>
  <si>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</si>
  <si>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</si>
  <si>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</si>
  <si>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</si>
  <si>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</si>
  <si>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</si>
  <si>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</si>
  <si>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</si>
  <si>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</si>
  <si>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</si>
  <si>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</si>
  <si>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Persisted terminal oracle proved pendingSource=admin, requestKind=invite, exact Casey-to-Nova unread invitation/outbox identities, Nova Invitations/All 1/1 and no unrelated domain/task artifacts.• Nova showed one notification and exactly one QA EVENT-INV-001 Invitations card at 1/8 with pending badge 1.•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</si>
  <si>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</si>
  <si>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</si>
  <si>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</si>
  <si>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</si>
  <si>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</si>
  <si>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</si>
  <si>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DEPLOY-EXTERNAL-CONFIG-001 section1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</si>
  <si>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</si>
  <si>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</si>
  <si>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</si>
  <si>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</si>
  <si>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</si>
  <si>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</si>
  <si>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</si>
  <si>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</si>
  <si>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</si>
  <si>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</si>
  <si>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</si>
  <si>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</si>
  <si>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</si>
  <si>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</si>
  <si>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</si>
  <si>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</si>
  <si>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</si>
  <si>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</si>
  <si>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</si>
  <si>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</si>
  <si>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</si>
  <si>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No event chat or chat counters exist for any actor. Riley Invitations/All is 1/1; Nova Active/All is 1/1; Casey Hosting is 1.• Fresh DOM baseline: Casey My Events1/Chats0, Nova Events1/Chats0, Riley Invitations1/Chats0. Riley's list contains exactly one QA EVENT-INV-004 card at 2/8 with pending1.• Riley Accept ran once: membership stayed pending and moved invite-&gt;approval; Riley Invitations/Pending changed 1/0-&gt;0/1, chat stayed zero, and Casey received one unread Admin join-request.• In-place controls: Casey card remains 2/8 pending1 with notification 3-&gt;4; Nova Events1/Chats0; Riley Invitations0/Chats0.• Casey Members action baseline is 2 members + 1 pending with Riley once Waiting For Admin Approval, Casey once Admin and Nova once accepted Member; the repeated read oracle is unchanged.• First Admin Approve persisted the exact accepted3/pending0, three-owner chat, one member-joined row, Chats1 for all and target-only approval notification/outbox; poll, reopen and refreshed Members reads passed.• Focused FAIL: Casey Chats stayed0 in the action-owning document while Members suppressed the side poll. Java returned only members although its write-side counters were correct.• Repair returns and atomically applies the canonical actor counter snapshot; HTTP hot-deploy compatibility and full frontend-local event/chat/counter plus later-poll parity are implemented.• Guarded replay at 13:56:35.748Z restored only the same Admin approval boundary: accepted/pending2/1, Riley pending approval, Chats0, exact-one retained join-request, zero chat and zero approval artifacts. Riley Accept remains proven and is not replayed.•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Fixed replay PASS at 15:13:47Z: Casey's still-open Members document changed Chats0-&gt;1 from the approval response and reached 3 members immediately. The 17:14 screenshot shows Nova and Riley at Chats1; Riley also has the one approval notification.• Terminal oracle: accepted/pending3/0, three identical mainEvent owner copies all unread1, one Riley Outside joined the event system row, stored Chats/All/Event1 for all three, one Riley-only approval notification/outbox and zero chat-message notification artifacts.•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</si>
  <si>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</si>
  <si>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</si>
  <si>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</si>
  <si>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</si>
  <si>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</si>
  <si>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</si>
  <si>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</si>
  <si>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</si>
  <si>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</si>
  <si>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Riley Reject itself removed the live invitation and in-place Invitations badge while Chats stayed0; persisted accepted/pending became2/0 with Riley suppressed and zero chat/acceptance/approval notification artifacts.• The first normal embedded-member refresh normalized the impossible capacity1 to accepted2. This diagnosed a fixture defect, not a reject write defect.• Fixture repaired to the coherent full boundary: Casey+Nova accepted plus Riley's reserved final seat equals capacity3.• Repaired replay UI/write PASS at 15:40:50.696Z: the user confirmed in-place Invitations1-&gt;0 with Chats0; fresh Riley reconstruction shows Invitations0, Chats0 and the single personal Trash card.• Oracle retained capacity3, accepted/pending2/0, Casey+Nova exact accepted identities and only Riley suppressed from pending. Live pending/invited lists, chats/messages and invitation/acceptance/approval notifications/outbox are zero.• Normal worker PASS at 15:45:57.345Z: the one EVENT_MEMBERS_CHANGED task completed on attempt1 with empty lastError and pendingCount0; all state and zero-artifact controls remained unchanged.• Branch A PASS/CLOSED. Never repeat Riley Reject; reset independently before branch B.• Branch B first action at 15:51:50.195674866Z: Casey Members changed 2 members · 1 pending -&gt; 2 members in place, Riley disappeared once, Riley Invitations1-&gt;0 live, Nova unchanged; capacity3 and Casey+Nova accepted persisted with Riley deleted and all chat/notification controls zero.• FAIL: zero EVENT_MEMBERS_CHANGED tasks were stored although cancelling the pending invite released its reserved final seat; the same path also skipped waitlist promotion.•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Repair replay baseline staged at 16:01:33.676Z and proved again by read-only status: capacity3, accepted/pending2/1, Riley final-seat invite, chats0 and zero tasks/artifacts. Same three managed documents reloaded and match Casey My Events1, Nova Events1, Riley Invitations1, all Chats0.• Branch C independent baseline staged at 17:27:14.493Z; post-stage Casey/Nova/Riley hard reloads and a later oracle prove capacity3, accepted/pending2/1 with Riley reserving the final seat and zero tasks/artifacts.• Casey read-only candidate query returned multiple selectable non-members; a repeated Mongo oracle proved the query itself performed no write. The actual picker shows Riley selected and Farkas Anna as the visible new candidate.• Branch C first write at 19:48:43+02:00 is server/write PASS but UX FAIL: Farkas Anna was rejected with unchanged capacity3 accepted/pending2/1 and zero tasks/artifacts, yet the picker closed silently.• Repair requires one shared HTTP/local invite outcome, frontend-local capacity parity, the existing confirmation dialog in actionless information mode, and matching versioned en/hu local plus Mongo translations.•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Branch C terminal PASS/CLOSED: user explicitly confirmed the visible standard top-right X closed the notice; combined screenshot proves exact message/no footer actions, and terminal oracle proves capacity3 accepted/pending2/1 with every artifact0. Never repeat Branch C.• Branch D next: fresh reset/stage, Riley accepts once through UI, snapshot exact membership/chat/task/notification effects, then replay the identical authenticated join once and require changed=false with every count unchanged.• Branch D READY: staged18:31:33.042Z; two statuses prove capacity3 accepted/pending2/1 and zero chats/tasks/acceptance artifacts/payments. Same documents reloaded Casey18:32:11.813Z, Nova18:32:15.329Z, Riley18:32:19.418Z; initial My Events/Events/Invitations1 and Chats0.•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Post-fix no-op18:47:37.568Z PASS: HTTP200 accepted changed=false counterDelta null; accepted3/pending0, Riley timestamp18:43:38.772815972Z, chat3/message1/task1 same id/availability, notifications2/outbox1, payments/basket0. Only terminal original-task read remains; no more joins.• Terminal worker PASS/CLOSED: task6a7f61daae56910e99a48530 done18:49:15.677199764Z attempt1/error-empty, pendingCount0; final membership/chat/notification/payment fingerprint unchanged. EVENT-INV-005 all branches PASS/CLOSED.• Java repair replay at 16:06:13.505868724Z PASS: one EVENT_MEMBERS_CHANGED task, completed 16:12:08.607775317Z attempt1/error-empty; capacity3, accepted/pending2/0 and every chat/notification control zero.•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The 16:13:41.562Z replay lineage is NOT EXECUTED because the reload boundary was not yet proven; no Delete occurred and the fixture was reset.•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</si>
  <si>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</si>
  <si>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</si>
  <si>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</si>
  <si>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</si>
  <si>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</si>
  <si>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</si>
  <si>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</si>
  <si>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</si>
  <si>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</si>
  <si>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</si>
  <si>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</si>
  <si>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</si>
  <si>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</si>
  <si>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</si>
  <si>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</si>
  <si>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</si>
  <si>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</si>
  <si>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</si>
  <si>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</si>
  <si>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</si>
  <si>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</si>
  <si>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</si>
  <si>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</si>
  <si>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</si>
  <si>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</si>
  <si>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</si>
  <si>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</si>
  <si>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</si>
  <si>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</si>
  <si>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</si>
  <si>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</si>
  <si>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</si>
  <si>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</si>
  <si>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</si>
  <si>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</si>
  <si>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</si>
  <si>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</si>
  <si>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</si>
  <si>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</si>
  <si>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</si>
  <si>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</si>
  <si>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</si>
  <si>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</si>
  <si>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</si>
  <si>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</si>
  <si>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</si>
  <si>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</si>
  <si>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</si>
  <si>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</si>
  <si>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</si>
  <si>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</si>
  <si>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</si>
  <si>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</si>
  <si>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</si>
  <si>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</si>
  <si>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</si>
  <si>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</si>
  <si>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</si>
  <si>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</si>
  <si>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</si>
  <si>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</si>
  <si>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</si>
  <si>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</si>
  <si>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</si>
  <si>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</si>
  <si>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</si>
  <si>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</si>
  <si>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</si>
  <si>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</si>
  <si>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</si>
  <si>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</si>
  <si>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</si>
  <si>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</si>
  <si>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</si>
  <si>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</si>
  <si>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</si>
  <si>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</si>
  <si>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</si>
  <si>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</si>
  <si>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</si>
  <si>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</si>
  <si>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</si>
  <si>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</si>
  <si>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</si>
  <si>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</si>
  <si>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</si>
  <si>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</si>
  <si>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</si>
  <si>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</si>
  <si>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</si>
  <si>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</si>
  <si>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</si>
  <si>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</si>
  <si>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</si>
  <si>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</si>
  <si>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</si>
  <si>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</si>
  <si>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</si>
  <si>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</si>
  <si>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</si>
  <si>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</si>
  <si>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</si>
  <si>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</si>
  <si>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</si>
  <si>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</si>
  <si>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</si>
  <si>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</si>
  <si>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</si>
  <si>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</si>
  <si>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</si>
  <si>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</si>
  <si>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</si>
  <si>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</si>
  <si>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</si>
  <si>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</si>
  <si>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</si>
  <si>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</si>
  <si>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</si>
  <si>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</si>
  <si>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</si>
  <si>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</si>
  <si>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</si>
  <si>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</si>
  <si>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</si>
  <si>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</si>
  <si>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</si>
  <si>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</si>
  <si>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</si>
  <si>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Pending reload: the Public Explore card and orange Continue booking survive from the visible basket without writes.• Each Cancel: in-place Continue booking -&gt; Request Join and ID-scoped Activity removal; one reload reconstructs the same fresh state while retaining a closed basket audit.• Re-Join: appends a distinct physical basket and leaves all prior audits immutable.• Terminal approval: directly accepts Nova, creates one A ticket/counters 1/1 and closes the current basket reservation without changing prior Cancel audits; Casey/Riley stay ticketless.• Ticket reads: normal poll exposes counter 1 and two opens reuse the same Nova ticket ID/code.</t>
  </si>
  <si>
    <t>PASS / CLOSED; TWO REPAIRS VERIFIED</t>
  </si>
  <si>
    <t>2026-08-12</t>
  </si>
  <si>
    <t>• PASS: all three Join identities and both Cancel in-place/reload branches.• PASS: approval membership, occupancy, ticket identity and counters.• FAIL retained: terminal approval basket-closure oracle.• UPDATED: active-slot-only basket finalizer and acceptance-before-ticket ordering source regressions; backend/frontend hot deploys PASS.• BASELINE PASS: reset -&gt; not-staged -&gt; fresh stage -&gt; independent Casey-only oracle; managed actors relaunched and identity-verified.• REPLAY FIRST JOIN PASS: one active basket 6a7c9fdbf8a7d3829acd8028, one pending membership/notification, zero tickets/counters.• PENDING RELOAD PASS: Continue booking retained; basket/membership/notification identities and timestamps unchanged; no ticket write.• FIRST CANCEL IN-PLACE PASS: Request Join appeared without reload; basket 6a7c9fdbf8a7d3829acd8028 closed as cancelled/deleted and inactive; Nova pending 0/trash 1; Casey Pending then Cancelled; tickets/counters 0/0.• FIRST POST-CANCEL RELOAD PASS: Request Join reconstructed; closed audit, membership, notification identities/timestamps and zero ticket state remained unchanged.• FIRST RE-JOIN PASS: distinct active basket 6a7ca1dcf8a7d3829acd8030 appended; first audit immutable; Nova pending 1; Casey Pending/Cancelled/Pending; tickets/counters 0/0.• SECOND CANCEL IN-PLACE PASS: Request Join appeared without reload; both basket attempts are distinct closed audits; Nova pending 0/trash 1; Casey Pending/Cancelled/Pending/Cancelled; tickets/counters 0/0.• SECOND POST-CANCEL RELOAD PASS: Request Join reconstructed; both audits/timestamps, membership, four notifications and zero ticket state remained unchanged.• FINAL JOIN PASS: third distinct active basket 6a7ca61cf8a7d3829acd8035 appended; older audits immutable; Nova pending 1; Casey has five ordered notifications; tickets/counters 0/0.• TERMINAL APPROVAL PASS / REPAIR VERIFIED: Nova accepted 2+0/8; one A ticket 6a7ca6ddf8a7d3829acd8038 / TKT-be2fc931-af92-47f8-83ad-0cefc4c1d416; counters 1/1; third basket approved/succeeded/inactive; two Cancel audits immutable.• NORMAL TICKET POLL FAIL: repeated successful realtime responses carried tickets 1/asset.tickets 1, but an open Explore popup caused the frontend to discard the snapshot and Ticket showed no item badge.• UPDATED: popup-visible global counters now converge without advancing deferred profile/impressions cursor; per-user revision tokens reject stale pre-mutation poll responses; watcher build PASS.• FOCUSED REPLAY BASELINE PASS: reset -&gt; not-staged -&gt; fresh stage -&gt; independent Casey-only oracle; managed actors replaced with new bundle and identities verified; prior clean Cancel/reload/re-Join evidence retained.• FOCUSED REPLAY JOIN PASS: POST join 200; basket 6a7ca9c2f8a7d3829acd8039 is the one active approval-pending attempt; Nova pending 1, Casey Pending 1, tickets/counters 0/0.• FOCUSED APPROVAL/POLL PASS: action POST 200; Nova accepted 2+0/8; basket approved/succeeded/inactive; one A ticket 6a7cab4ef8a7d3829acd803f, counters 1/1; repeated normal polls exposed item-level Ticket 1 while Explore/join-review stayed open.• FIRST TICKET READ PASS: GET /api/assets/tickets 200 at 19:24:09; persisted ticket ID/code, issue/use state and counters remained unchanged with no second credential or domain write.•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</si>
  <si>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</si>
  <si>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Approval POST 200: Nova accepted at 2+0/8; one A ticket 6a7c9b3ff8a7d3829acd8013 / TKT-7b0475a4-136d-427c-beb8-b99bccb66fa6; Nova counters 1/1, Casey 0/0.• Terminal basket-closure FAIL: current basket 6a7c996af8a7d3829acd8007 stayed approval-pending/pending with reservationActive true; both earlier Cancel audits stayed closed.• Owning-domain and local-parity fixes are hot-deployed; source regressions added without a separate build/test process.• Fresh replay baseline independently proved Casey-only 1+0/8 with no Nova membership/basket/notification/ticket; three managed actors replaced and verified.• First replay Join PASS: basket 6a7c9fdbf8a7d3829acd8028 is approval-pending/pending active; Nova pending 1, Casey Pending rows 1, tickets/counters 0/0.• Pending Explore reload PASS: same basket ID and exact timestamps; same pending membership/notification; Continue booking retained; zero writes/tickets.• First Cancel in-place PASS: same basket is now cancelled/deleted inactive at 2026-08-12T16:35:47.888144723Z; Nova is suppressed at pending 0/trash 1; Casey has exactly Pending then Cancelled; tickets/counters remain 0/0.• First post-Cancel reload PASS: same closed basket timestamps and state, suppressed membership, two Casey notification identities and 0/0 tickets/counters were unchanged.• First re-Join PASS: new active basket 6a7ca1dcf8a7d3829acd8030 appended without mutating first audit; pending membership/occupancy restored; Casey order Pending/Cancelled/Pending; tickets/counters 0/0.• Second Cancel in-place PASS: second basket closed at 2026-08-12T16:41:18.371454648Z while first audit stayed unchanged; Nova pending 0/trash 1; Casey has four ordered notification rows; tickets/counters 0/0.• Second post-Cancel reload PASS: both closed audit IDs/timestamps, suppressed membership, four notification rows and tickets/counters 0/0 remained unchanged.• Final Join PASS: third active basket 6a7ca61cf8a7d3829acd8035 appended with two prior audits immutable; Nova pending 1; Casey has five ordered notifications; tickets/counters 0/0.• Clean terminal approval PASS: action endpoint 200; Nova accepted 2+0/8; exactly one A ticket 6a7ca6ddf8a7d3829acd8038 / TKT-be2fc931-af92-47f8-83ad-0cefc4c1d416, counters 1/1; third basket approved/succeeded/inactive; both Cancel audits immutable.• Terminal basket-closure repair is verified.• Ticket poll FAIL: backend payload was correct but open-popup gating discarded every non-notification snapshot; Ticket item badge stayed absent.• Popup-safe, stale-response-protected global counter synchronization is hot-deployed; only the affected Join -&gt; approval-with-Explore-open -&gt; poll -&gt; two-read path requires replay. Prior clean Cancel/reload/re-Join evidence remains valid.• Focused popup-counter replay Join PASS: POST join 200 at 19:13:38; basket 6a7ca9c2f8a7d3829acd8039 active approval-pending, Nova pending 1, Casey Pending 1, tickets/counters 0/0; Join was not repeated.• Focused approval/poll PASS: action POST 200 at 19:20:14; one A ticket 6a7cab4ef8a7d3829acd803f / TKT-970b4c17-dd7c-4d93-88c9-d42a1dfde12b; basket closed, counters 1/1; normal polls at 19:20:26/56 and 19:21:26/56 converged item-level Ticket 1 with Explore/join-review open.• First Ticket read PASS: GET /api/assets/tickets 200 at 19:24:09; the oracle retained the exact ticket ID/code, issue/use state and counters with no second credential or domain write.•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</si>
  <si>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</si>
  <si>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</si>
  <si>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</si>
  <si>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</si>
  <si>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</si>
  <si>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</si>
  <si>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</si>
  <si>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</si>
  <si>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Repaired stable baseline plus explicit arm PASS: arm at 17:45:25.759Z set the printed 17:47:25.759Z deadline only after Nova confirmed Upcoming.• Upcoming transition PASS: GET 19:47:17 returned the one card; GET 19:47:47 returned empty and the already-open UI converged without reload.• Past classification PASS: Nova selected Past once; DOM showed one QA EVENT-TICKET-006 card; oracle retained the same unused A ticket manual-qa-checkpoint:v1:event-domain:ticket / TKT-ba6bfa5c-b14d-48e6-bb62-3af1e245b0c6 and counters 1/1.• Expired scan PASS: authorized Android POST /api/assets/tickets/validate returned 200 at 20:14:06; visible result was 'Ez a jegy lejárt.' Final oracle retained the same A/unused ticket, no replacement, replay audit, outbox or notification.•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</si>
  <si>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</si>
  <si>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</si>
  <si>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</si>
  <si>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</si>
  <si>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</si>
  <si>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</si>
  <si>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</si>
  <si>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</si>
  <si>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</si>
  <si>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</si>
  <si>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Initial list FAIL at 20:23:14+02:00: Nova Events and Active Events badges were 1, but the authenticated 200 response and popup list were empty; no invite request was sent and the persisted baseline was unchanged.• Root cause: payment oracle exposed three legacy reserved-event records—one joined then two later initiated—outside the old fixture selector; latest-open payment therefore classified accepted Nova as pending.• Write-side repair: terminal event acceptance now finalizes the latest open payment after basket finalization and before ticket sync. No query/projection masking was retained.• Fixture repair at 18:44:01.807Z removed the three guarded legacy records; future stage/reset/status owns payments. Event/member/ticket/counters/outbox/tasks stayed unchanged and payments became empty.• Focused replay PASS without reload: authenticated Active Events returned exactly one record, and Nova's already-open popup converged on its normal poll to QA EVENT-TICKET-007 with badge 1 and members 2/8.• Invite-candidate fixture FAIL at 20:49:08+02:00: the popup was empty and confirmation disabled; no request or persisted invite mutation occurred. Riley was public and outside membership, but event candidates require a prior single + met=true rate that the fixture omitted.• Guarded candidate preparation at 18:54:03.858Z created one reset-owned Nova-Riley rate. Independent status retained membership/ticket/counter/payment/outbox/task baselines, and Nova-authenticated candidate API returned only Riley with total 1.• The already-open empty popup retained its prior response, so the replay resumed only at Invite popup close/reopen.•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Initial Riley response in-place FAIL: Invitations emptied, but Pending did not become 1. Persisted oracle/read PASS: pending requestKind approval/pendingSource member, stored Pending 1/Invitations 0, ticket counters 0/0, no Riley ticket, one Casey join-request; reload reconstructed the row.•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Frontend-local runtime NOT EXECUTED for the Riley-response projection: the active deterministic fixture uses HTTP; local adapter contract was inspected and the shared regression covers the affected store, but no local runtime PASS is claimed.•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First Casey terminal approval durable PASS at 21:49:11+02:00: Riley accepted, one A ticket 6a7cce37f8a7d3829acd8053 / TKT-3d3eddd0-221f-453e-b8f2-1b40fe29d795, counters 1/1, one Riley overlay, one three-member main chat and one joined system message; Nova's exact ticket stayed unchanged.•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Guarded focused rearm READY at 22:08:27+02:00: only the failed approval effects were removed. Riley is pending approval with Pending 1/Tickets 0, no overlay/ticket/chat/task; Nova's original ticket, Riley's resolved invite, Casey's join-request and all earlier PASS evidence remain.•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Notifications New PASS: manual observation plus managed read-only DOM proved 1 new/New 1 and the exact QA EVENT-TICKET-007 / Approved / Casey Bridge · Event admin row; merely opening New kept readAtIso empty.•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</si>
  <si>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</si>
  <si>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</si>
  <si>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</si>
  <si>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</si>
  <si>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</si>
  <si>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</si>
  <si>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</si>
  <si>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</si>
  <si>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</si>
  <si>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</si>
  <si>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Stage created zero outbox and recompute tasks. The previous visibility trio was closed before exactly three Casey/Nova/Riley sessions launched and identity-verified; no fourth QA window runs.•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Casey pre-Unpublish My Events PASS: A and B appear exactly once with 2/8 (1); Nova's two-ticket list stays open and Riley is idle. Second read oracle remained identical with zero new outbox/recompute.• A-only Unpublish immediate PASS: one POST at 02:01:34+02:00; Nova's open Ticket list/count converged 2-&gt;1 to B-only without reload. Oracle proved A DR + original ticket D + Nova counters 1/1 while B stayed active with exact same A ticket ID/code; Casey/Riley remain ticketless.•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Shared SmartList repair built: normal poll now requests at least the configured current page while retaining a larger loaded window; focused 1-of-18 and two-page regressions added. Existing frontend-sync hot-deploy completed at 02:21:31+02:00; focused live replay remains pending.•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Corrected diagnosis: no race was proven. The foreground Ticket list lacked the established delta reconciliation contract, while the notification-priority realtime path also applied non-notification domain counters under an open popup.•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</si>
  <si>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</si>
  <si>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</si>
  <si>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</si>
  <si>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</si>
  <si>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</si>
  <si>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Cached holder: the same exact unused B card and complete QR remain available without a server response.• Online scanner: Casey succeeds once, repeat is already-used, and Nova reconnect creates no replacement/duplicate.</t>
  </si>
  <si>
    <t>• Dev-only checkpoint PWA switch is ignored in production; held target cleanup restores online.• Existing watcher synced the home repair at 12:55:38 and final side-menu chunk at 13:04:29; no parallel build.• Read oracle: navigator false, activated controlling worker, game-page-status-offline, gray visibility header + Offline badge, three home controls/all non-Ticket domain items disabled, Ticket active, pencil/header-notification/FAB absent.• Existing watchers built Java + users.service-3VAB3CS6.js by 13:20:03. With Ticket never opened after reload, the side-menu poll advanced Upcoming cache 10:46:45Z -&gt; 11:22:56Z and retained A+B with scanCode; B remains A/unused: TKT-e5230543-0bd6-4c03-9375-b271e32bd9a5.• First offline B QR visual result is retracted: app-sw returned a cached GET /api/assets/tickets and the local timestamp changed despite no nginx request. The watcher synced the fix at 13:37:19 and the waiting worker was activated.• Corrected replay PASS: offline B full QR opened with cache timestamp unchanged at 11:40:47.443Z, no ticket API request and persisted B A/unused. Its visible medium.webp was a CacheStorage hit; automatic unseen-image prefetch is not claimed.• First physical scan PASS: Casey's authorized phone sent one validate at 13:54:29/HTTP 200; original B now has usedAt 11:54:29.767918052Z and Casey actor, while Nova remained offline.• Replay PASS: second validate at 13:57:04 returned already-used; canonical B fields stayed exact. One immutable replay audit plus one Nova warning/outbox occurrence1 were created without raw code and are not a second ticket-use mutation.•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</si>
  <si>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</si>
  <si>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</si>
  <si>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</si>
  <si>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</si>
  <si>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</si>
  <si>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</si>
  <si>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</si>
  <si>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</si>
  <si>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</si>
  <si>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</si>
  <si>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</si>
  <si>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</si>
  <si>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</si>
  <si>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</si>
  <si>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</si>
  <si>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</si>
  <si>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</si>
  <si>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</si>
  <si>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</si>
  <si>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</si>
  <si>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</si>
  <si>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</si>
  <si>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</si>
  <si>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</si>
  <si>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</si>
  <si>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</si>
  <si>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</si>
  <si>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</si>
  <si>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</si>
  <si>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</si>
  <si>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</si>
  <si>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</si>
  <si>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</si>
  <si>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</si>
  <si>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</si>
  <si>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</si>
  <si>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</si>
  <si>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</si>
  <si>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</si>
  <si>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</si>
  <si>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</si>
  <si>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</si>
  <si>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</si>
  <si>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</si>
  <si>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</si>
  <si>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</si>
  <si>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</si>
  <si>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</si>
  <si>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</si>
  <si>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</si>
  <si>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</si>
  <si>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</si>
  <si>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</si>
  <si>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</si>
  <si>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</si>
  <si>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</si>
  <si>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</si>
  <si>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</si>
  <si>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</si>
  <si>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</si>
  <si>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</si>
  <si>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</si>
  <si>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</si>
  <si>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</si>
  <si>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</si>
  <si>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</si>
  <si>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</si>
  <si>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</si>
  <si>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</si>
  <si>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</si>
  <si>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</si>
  <si>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</si>
  <si>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</si>
  <si>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</si>
  <si>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</si>
  <si>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</si>
  <si>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</si>
  <si>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</si>
  <si>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</si>
  <si>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</si>
  <si>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</si>
  <si>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</si>
  <si>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</si>
  <si>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</si>
  <si>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</si>
  <si>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</si>
  <si>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</si>
  <si>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</si>
  <si>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</si>
  <si>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</si>
  <si>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</si>
  <si>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</si>
  <si>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</si>
  <si>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</si>
  <si>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</si>
  <si>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</si>
  <si>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</si>
  <si>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</si>
  <si>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</si>
  <si>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</si>
  <si>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</si>
  <si>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</si>
  <si>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</si>
  <si>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</si>
  <si>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</si>
  <si>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</si>
  <si>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</si>
  <si>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</si>
  <si>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</si>
  <si>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</si>
  <si>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</si>
  <si>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</si>
  <si>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</si>
  <si>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</si>
  <si>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11/11 focused frontend-local occurrence/serializer/download tests PASS; existing backend/frontend watcher builds PASS; actual HTTP and UI export/time-change/cancellation/empty/error/retry checks, Android and Ubuntu imports, physical offline native alarm.</t>
  </si>
  <si>
    <t>None: closed within recorded manual snapshot/export scope; importer limitations are documented.</t>
  </si>
  <si>
    <t>PASS/CLOSED 2026-09-24. guides/qa/evidence/EVENT-CALENDAR-EXPORT-001-20260924.md; guides/qa/checklists/event/EVENT-CALENDAR-EXPORT-001.md. One-time/Daily/Weekly concrete occurrences; local adapter regression coverage distinguished from native testing. Android same-UID update without duplicate; omitted entries remain; native alarm setup required. Ubuntu duplicate batch rejected; clean import succeeds. Dev auth fallback limitation explicit. Scoped native/download cleanup and versioned fixture/session reset verified; settings/Job restored. Earlier affiliate results unchanged.</t>
  </si>
  <si>
    <t>P1 73</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</si>
  <si>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</si>
  <si>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</si>
  <si>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</si>
  <si>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</si>
  <si>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</si>
  <si>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</si>
  <si>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</si>
  <si>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</si>
  <si>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</si>
  <si>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</si>
  <si>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</si>
  <si>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</si>
  <si>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</si>
  <si>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</si>
  <si>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</si>
  <si>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</si>
  <si>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</si>
  <si>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</si>
  <si>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</si>
  <si>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</si>
  <si>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</si>
  <si>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</si>
  <si>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</si>
  <si>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</si>
  <si>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</si>
  <si>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</si>
  <si>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</si>
  <si>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</si>
  <si>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</si>
  <si>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</si>
  <si>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</si>
  <si>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</si>
  <si>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</si>
  <si>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</si>
  <si>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</si>
  <si>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</si>
  <si>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Stage-system avatar reuses the Final card accent while the row background keeps its notification tone• Every automatic lifecycle message names the completed/started stage; advancement names source and destination•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</si>
  <si>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</si>
  <si>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</si>
  <si>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</si>
  <si>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Guarded terminal replay preserved PASS Start/room evidence byte-identically, set Casey 7 / Riley 9 and finalized once.• Persisted terminal oracle proved three separate ordered records: Riley Casey-authored Final finalized, Riley system Won the tournament, Casey system Did not win; Nova received none.• Three-browser UI passed exact recipients, short texts and separate producer avatars. Winner/advanced trophy glow and not-winner/not-advanced diagonal strike passed after the existing frontend watcher rebuild; Casey audit portrait stayed unchanged.•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</si>
  <si>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</si>
  <si>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</si>
  <si>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</si>
  <si>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</si>
  <si>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</si>
  <si>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</si>
  <si>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</si>
  <si>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</si>
  <si>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</si>
  <si>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</si>
  <si>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</si>
  <si>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</si>
  <si>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</si>
  <si>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</si>
  <si>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</si>
  <si>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</si>
  <si>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</si>
  <si>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</si>
  <si>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</si>
  <si>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</si>
  <si>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</si>
  <si>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</si>
  <si>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</si>
  <si>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</si>
  <si>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</si>
  <si>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</si>
  <si>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</si>
  <si>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</si>
  <si>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</si>
  <si>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</si>
  <si>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</si>
  <si>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</si>
  <si>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</si>
  <si>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</si>
  <si>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</si>
  <si>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</si>
  <si>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</si>
  <si>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</si>
  <si>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</si>
  <si>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</si>
  <si>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</si>
  <si>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</si>
  <si>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</si>
  <si>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</si>
  <si>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</si>
  <si>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</si>
  <si>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</si>
  <si>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</si>
  <si>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</si>
  <si>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</si>
  <si>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</si>
  <si>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</si>
  <si>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</si>
  <si>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</si>
  <si>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</si>
  <si>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</si>
  <si>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</si>
  <si>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</si>
  <si>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</si>
  <si>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</si>
  <si>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</si>
  <si>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</si>
  <si>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</si>
  <si>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</si>
  <si>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</si>
  <si>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</si>
  <si>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</si>
  <si>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</si>
  <si>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</si>
  <si>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</si>
  <si>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</si>
  <si>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</si>
  <si>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</si>
  <si>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</si>
  <si>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</si>
  <si>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</si>
  <si>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</si>
  <si>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</si>
  <si>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</si>
  <si>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</si>
  <si>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</si>
  <si>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</si>
  <si>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</si>
  <si>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</si>
  <si>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</si>
  <si>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</si>
  <si>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</si>
  <si>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</si>
  <si>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</si>
  <si>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</si>
  <si>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</si>
  <si>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</si>
  <si>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</si>
  <si>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</si>
  <si>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</si>
  <si>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</si>
  <si>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</si>
  <si>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</si>
  <si>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</si>
  <si>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</si>
  <si>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</si>
  <si>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</si>
  <si>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</si>
  <si>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</si>
  <si>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</si>
  <si>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</si>
  <si>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</si>
  <si>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</si>
  <si>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</si>
  <si>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</si>
  <si>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</si>
  <si>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</si>
  <si>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</si>
  <si>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</si>
  <si>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</si>
  <si>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</si>
  <si>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</si>
  <si>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</si>
  <si>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</si>
  <si>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</si>
  <si>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</si>
  <si>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</si>
  <si>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</si>
  <si>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</si>
  <si>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</si>
  <si>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</si>
  <si>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</si>
  <si>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</si>
  <si>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</si>
  <si>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</si>
  <si>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</si>
  <si>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</si>
  <si>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</si>
  <si>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</si>
  <si>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</si>
  <si>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</si>
  <si>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</si>
  <si>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</si>
  <si>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</si>
  <si>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</si>
  <si>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</si>
  <si>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</si>
  <si>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</si>
  <si>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</si>
  <si>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</si>
  <si>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</si>
  <si>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</si>
  <si>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</si>
  <si>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</si>
  <si>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</si>
  <si>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</si>
  <si>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</si>
  <si>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</si>
  <si>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</si>
  <si>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</si>
  <si>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</si>
  <si>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</si>
  <si>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</si>
  <si>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</si>
  <si>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</si>
  <si>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</si>
  <si>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</si>
  <si>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</si>
  <si>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</si>
  <si>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</si>
  <si>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</si>
  <si>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</si>
  <si>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</si>
  <si>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</si>
  <si>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</si>
  <si>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</si>
  <si>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</si>
  <si>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</si>
  <si>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</si>
  <si>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</si>
  <si>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</si>
  <si>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</si>
  <si>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</si>
  <si>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</si>
  <si>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</si>
  <si>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</si>
  <si>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</si>
  <si>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</si>
  <si>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</si>
  <si>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</si>
  <si>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</si>
  <si>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</si>
  <si>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</si>
  <si>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</si>
  <si>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</si>
  <si>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</si>
  <si>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</si>
  <si>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</si>
  <si>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</si>
  <si>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</si>
  <si>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</si>
  <si>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</si>
  <si>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</si>
  <si>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</si>
  <si>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</si>
  <si>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</si>
  <si>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</si>
  <si>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</si>
  <si>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</si>
  <si>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</si>
  <si>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</si>
  <si>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</si>
  <si>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</si>
  <si>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</si>
  <si>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</si>
  <si>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</si>
  <si>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</si>
  <si>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</si>
  <si>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</si>
  <si>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</si>
  <si>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</si>
  <si>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</si>
  <si>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</si>
  <si>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</si>
  <si>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</si>
  <si>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</si>
  <si>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</si>
  <si>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</si>
  <si>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</si>
  <si>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</si>
  <si>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</si>
  <si>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</si>
  <si>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</si>
  <si>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</si>
  <si>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</si>
  <si>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</si>
  <si>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</si>
  <si>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</si>
  <si>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</si>
  <si>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</si>
  <si>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</si>
  <si>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</si>
  <si>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</si>
  <si>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</si>
  <si>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</si>
  <si>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</si>
  <si>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</si>
  <si>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</si>
  <si>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</si>
  <si>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GROUP-LIFECYCLE-001</t>
  </si>
  <si>
    <t>Community group lifecycle</t>
  </si>
  <si>
    <t>Create/edit/view groups and draft visibility rules; category/roster/role controls; disjoint hosting/participation/explore; join/invite/approve/leave; workspace selector; configurable app-admin Group review versus group-admin content moderation; persisted red badges updated through SmartList signals; Group support channel/filter.</t>
  </si>
  <si>
    <t>DELTA community membership, workspace profile and stored policy; accepted/pending lists and counters match canonical records.</t>
  </si>
  <si>
    <t>IN PROGRESS</t>
  </si>
  <si>
    <t>IN PROGRESS: HTTP Lifecycle22/29 closed (1–13,17–25); Group overall22/48 (45.83%).26 active: Admin grants and responsibility lifecycle.</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</si>
  <si>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2026-09-26: 105 focused backend tests PASS and 47 frontend tests PASS, covering explore boundaries, Base-only asset API key, contact repository account resolution and ticket account aggregation. These unit results do not close the manual local/HTTP journey. | My Tools follow-up (2026-09-26): 40 focused frontend tests PASS; 1 backend stored menu-counter test PASS. Account ownership/store/counters and stale-poll checks covered; browser journey NOT RUN. | Scope follow-up (2026-09-26): 195 backend and 32 frontend focused tests PASS. Payment payer/recipient query identity, account contacts, group event authorization and ticket scanner covered; manual local/HTTP journey NOT RUN. | Overlay navigation (2026-09-26): 27 focused frontend tests PASS; no real-device/Router/Firebase journey claimed. MCP Go race tests and image 1.3.0 initialization/discovery PASS; six generated schemas match OpenAPI. Help source parity PASS. | 2026-09-26: 13 focused frontend checks passed: popup/category/distance (5), local membership/notification lifecycle (5), workspace scopes and stale polls (3). Existing dev watchers compiled frontend/backend; added Java regression cases not run. No full-flow PASS.</t>
  </si>
  <si>
    <t>Continue26.5 normal invitation return/fresh grant;26.6 final-member deletion; finish26.7–8 UI/notifications.26.1–4 verified; retain14–16 partial. Whole-case duplicate/deployment audit queued.</t>
  </si>
  <si>
    <t>guides/qa/checklists/group/GROUP-LIFECYCLE-001.md; Added 2026-09-24. No campaign fixture or browser actions executed. Priority I/L/A/N/O=4/4/4/3/3; effort actions/extra actors/oracles/boundaries/restore/external=40/2/4/3/2/0.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Shared UI micros appended to existing GROUP-LIFECYCLE-001 checklist; no execution or new PASS claimed. UI_NOTES_2026_09_25.md separates completed code from pending implementation. | 2026-09-26 resume: retained 10-group/27-membership baseline verified for read-only block 1/25. No manual PASS; mutation blocks not staged. guides/qa/evidence/GROUP-LIFECYCLE-001-20260926.md | NOT RUN block 19.1: complete real demo-selector entry, consent, admission before session, saved/rejected location, cancel/retry, first avatar load, reload/logout/login. No injected-session proof. | Source audit: community membership notification hook absent; Members action missing pending badge fixed and observed red in managed UI. Shared menu single-digit circle 20x20px; card numeric alignment checked after watcher deploy. Full counter/notification lifecycle is not fixed or verified. Overall remains NOT RUN. Full conversation coverage inventory in the dated execution log. | Superseding 2026-09-26 correction: member write counters, notification hooks and live store reconciliation implemented; complete lifecycle remains NOT RUN. Correct selector 2 / Groups 3 scope preserved. Retained badge-writes-ready and join snapshots exist; no product membership writes executed. Earlier absent-hook/not-staged descriptions are historical. See dated evidence follow-up and checklist 6.1.5–8. | Group/member attention writes now apply transition deltas like Activity Event, rather than recounting child collections. Versioned block-1 baseline verified without data writes; ordered browser restart in progress. | 2026-09-26 automated delegated browser continuation: creation and required/textual policy draft/save/read-only; hidden roster badge and private-roster invitation cancel/accept/reload; compact image; contextual menu/member counters. Nine focused frontend checks PASS. See GROUP-LIFECYCLE-001-members-media-policy-20260926.json. No full-case PASS. | 2026-09-26: separate checklist block 26 added for group Admin grant/revoke provenance, creator departure, Admin-first/member-fallback takeover, last-member deletion, Asset Manager icon/palette/confirmation parity and notification recipients/retry/scoped badges. Block 26 local and dev HTTP NOT RUN; closed PASS rows unchanged. | 2026-09-26 22:14: block 26 partially exercised in HTTP (grant provenance/403/revoke, ordinary-member leave, creator departure, Admin-first/member-fallback takeover, last-member deletion and Main fallback); 52 focused frontend tests PASS. Notification routing and duplicate release notification repaired/retested. Isolated admin fixture restored. Block 5 timeout/disabled selector/rollback/new-choice/late-response/reload proved; versioned after-workspace-selection checkpoint captured and verified. See dated evidence; no whole-case PASS. 2026-09-26: sequential closure map audited; earlier 2–4 evidence retained. Deferred role/layout and request/live-order checks mapped to 27–29. Current isolated moderation branch retained, support header defect open; see dated evidence.; 2026-09-26 23:17 retained checkpoint: shared read-only multi-image moderation editor and metadata verified in Group scope; 15/15 gallery tests. Group button overlap and empty read-only policy section repaired, editor/admin layout checked. App-admin companion and actor windows retained; Maya Base Feed draft NOT published. Evidence GROUP-LIFECYCLE-001-block6-resume-20260926.json. No block-6 PASS. 2026-09-27 resumed: Base Feed multi-image readonly admin PASS; app-disabled creation accepted, enabled creation under-review; full Group/nested policy readonly verified. See block6-continued evidence. Group support scope/read/reply/retry and HU verified. Late moderation response resurrected row: fixed and real delayed-response on-the-fly replay PASS; counters preserved. 2026-09-27 01:08: HTTP block 6 PASS; confirmation waits for save/failure retains state, notification delta adapters repaired and browser read/retry PASS, concurrent member/read PASS, Main realtime aggregate PASS, Event/Asset readonly previews PASS, member labels fit360px. 17 moderation/dialog +2 adapter tests PASS. Exact after-moderation-checks savepoint verified; resume7. Local NOT RUN. 2026-09-27 01:30: HTTP block7 PASS: voluntary leave→Trash→accepted Restore; admin remove→blocked→pending Restore→admin approval. Failure/delay/retry/direct403 bypass checks and live retained UI verified;41 focused frontend tests PASS. Exact after-membership-trash boundary saved for8; Local browser NOT RUN. | 2026-09-27 02:55: Block8 Group/Main Event/group-owned Event admission and replay checked; HU desktop/mobile Group/Event/Affiliate Copy PASS. Removed Group member cannot bypass blocked/pending restoration with Event link. Fresh visitor location fixture corrected by explicit request. Exact cleanup pending; no block8 closure. See GROUP-LIFECYCLE-001-block8-progress-20260927.json. | Valid Maya replay: external group Event accepted, identical replay, blocked/pending restore cannot bypass Group approval, Admin approval restores Event access; UI writes only and independent Mongo reads. See GROUP-LIFECYCLE-001-block8-maya-20260927.json. No block8 closure. Main Event Maya UI Accept updated retained card1/10→2/10; duplicate link preserved exact normalized state, base/group Event memberships and prior referrer. Registration-first source route checked; fresh-account browser PASS not claimed. Native-browser registration replay: guides/qa/evidence/GROUP-LIFECYCLE-001-block8-registration-20260927.json. New Group/Event users persist real browser coordinates through UI; accepted memberships/replay PASS. Setup Update remains open; explicit Close resumes login for existing missing-location user. Watcher build PASS; new units/live Firebase NOT RUN. Block8 CLOSED: versioned restore-sharing scope verification PASS, independent reserved resources/fresh profiles zero, exact after-membership-trash savepoint verification PASS. Evidence: GROUP-LIFECYCLE-001-block8-cleanup-20260927.json. No replay of closed1–7. | Block9 in progress: Event/Asset two-message and mixed delta UI+Mongo PASS; intentional share-token network failure after asset deletions retained picker, Retry sent only outstanding two additions (49 messages). Evidence GROUP-LIFECYCLE-001-block9-chat-sharing-20260927.json. No block9 closure. | Block9 CLOSED 2026-09-27: complete chat sharing basket/delta/retry/paging/context/mobile HTTP chain, logout history race fixed and replayed. 13-scope exact cleanup, chat original41/zero paging, immutable after-chat-sharing captured resume10. Evidence GROUP-LIFECYCLE-001-block9-chat-sharing-20260927.json. Added overlay specs NOT RUN; owning watcher builds PASS. | 2026-09-27 block10 active: manual cash create/retry, Deleted state, red busy confirmation and refund request/approval replay; evidence GROUP-LIFECYCLE-001-block10-cash-20260927.json. 9/48 closed unchanged; checkout/affiliate controls pending. Cash refund live replay PASS; lost DELETE response/retry retains Deleted with one reversal. Short-window poll fix replay PASS. Checkout/negative controls remain; block10 IN PROGRESS. | Block10 latest: corrected referral prerequisite via exact versioned restore, valid cash exclusion/card EUR10 contribution+refund PASS. All eight recipient/payer denials plus unrelated deletion404 PASS with unchanged totals. Canonical header summary centralized in existing signal store; watcher03:17Z and both actor browser reads PASS. Points9/11 complete; point10 solely awaits cash-checkout accounting semantics. See block10-cash JSON pointStatus; no full block PASS. | Block10 CLOSED: final Cash-only booking accepted/no affiliate contribution; manual cash receipt separately proves history/totals/refund. Prior additional-booking-receipt expectation withdrawn as QA interpretation error; no semantics change. Barion/3DS-off restored. Exact cash restore and after-chat-sharing verification PASS; after-cash-history captured03:24:57Z resume11. Evidence block10-cash JSON finalCashBooking/cleanup. | 2026-09-27 block11 CLOSED: approved-only contact invitations/denials, retained overlays, recipient messages/unread reset, phone/share nesting, EN desktop/HU mobile; exact fixture restore PASS; after-contacts savepoint resume12. Evidence GROUP-LIFECYCLE-001-block11-contacts-20260927.json. | 2026-09-27 block12 CLOSED: selection limits including nested/mobile; contact consent cancellation/failure/retry/decisions, pagination/search, private methods, same chat/persistence and delayed group/account switch PASS. Exact contacts restore and after-contacts verification PASS; after-contact-controls captured resume13. Evidence GROUP-LIFECYCLE-001-block12-controls-20260927.json. | 2026-09-27 block13 CLOSED: empty HU/EN calendar notices retain blurred parent and produce no download; positive ICS download and libical import four events PASS. Desktop calendar UI NOT RUN. Blocks14–16 partial evidence retained in per-block JSON; no replay of completed subchecks. | 2026-09-27 block17 CLOSED for user-agreed HTTP Help/native anonymous MCP scope: current Codex conversation directly invoked MyScoutee topic list/read successfully. MCP connection UI create/reload/secret-hide/revoke also verified. No private OAuth or Local PASS claimed. Block18 X/Back and rapid reopen checks passed; remaining checks continue. | 2026-09-27 block18 CLOSED: physical Android native-Back defect fixed in shared overlay history owner; nested Back, X/Back, rapid reopen, busy refusal, desktop Forward/Router/reload and unchanged rating dock verified. Existing frontend-sync PASS05:46:29Z; unit specs not rerun. Evidence GROUP-LIFECYCLE-001-block18-20260927.json. Normal phone logout, owned browser/tunnel cleanup complete; ENTRY untouched. User requested STOP before19. | 2026-09-27 resumed19: actual demo selector admission, denied/unsupported GPS, isolated Zoe missing/invalid Setup cancel/retry and first profile persistence/reload partially PASS. False Location required race fixed; real stale null poll retest retained accepted point over12.4s. frontend-sync PASS15:24:34Z. One ENTRY-BLOCK19 window, Zoe snapshot retained. Block19 IN PROGRESS; counts unchanged. Evidence GROUP-LIFECYCLE-001-block19-entry-20260927.json. | 2026-09-27 18:22:19.1 HTTP complete incl invitation claim/first target profile/reload/replay and GPS-denied relogin; exact scoped cleanup. Avatar wait/error boundary and Setup disabled action verified.19.2 active:53/53 seed points accepted; Firebase config404 blocks real sign-in; pending-coordinate controls/Local remain. No count change. | User scope change2026-09-27: Firebase and actual external-client/provider-configuration checks moved to DEPLOY-EXTERNAL-CONFIG-001, DEFERRED/NOT RUN. They no longer gate Group19; continue demo pending-coordinate controls. | Block19 HTTP CLOSED in user-approved demo scope:53/53 seed points; two-account real login/profile-ext unsupported pending samples rejected with original points retained and per-account acknowledgement. Earlier failure/retry/claim/cleanup evidence retained.16/48 and16/29 closed;20 active. | 2026-09-27 block20 HTTP PASS/CLOSED: stored point with denied GPS and same-session reload; tracking OFF/save/reopen/ON; &lt;5km zero writes, &gt;=5km POST200; unsupported Paris POST403 retains accepted profile/cache/baseline/session and no popup; later eligible movement POST200. Independent Mongo point47.6747/19.0354 verified, normal logout then exact original47.5147/19.0354 restore, location snapshot removed. Evidence: GROUP-LIFECYCLE-001-block20-tracking-20260927.json. HTTP17/48 (35.42%), Lifecycle17/29 closed (1–13,17–20);21 active. Local NOT RUN; older contact/badge snapshots retained.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2026-09-27 block21 HTTP partial: seven audited menu surfaces, profile multiselect, pricing scope and card menus exercised; HU320/EN360/desktop1100 representative checks. Notification launcher overlap and forced-sheet desktop X repaired and replayed through existing frontend-sync. Assignment basket restaged with own Group fixture and exactly restored, no assignment/share/checkout commit. Checkout optional-item menu remains NOT RUN because selected real event/date combinations returned no available slots; suitable own checkpoint required. Do not mark full21 closed. Evidence GROUP-LIFECYCLE-001-block21-menus-20260927.json. HTTP17/48 and Lifecycle17/29 unchanged. | 2026-09-27 block21 HTTP PASS/CLOSED: final checkout optional-card control used its own versioned Group slot fixture. Native pointer selected/reverted optional item; mobile X remained reachable and closed only the sheet with parent dialogs/scroll retained; desktop title/no mobile X PASS. No checkout writes; draft discarded. Exact restore-sharing completed and original contact/badge snapshots retained. Together with the recorded seven menu surfaces, profile/price controls and HU/EN smoke,21 is closed. Evidence GROUP-LIFECYCLE-001-block21-menus-20260927.json. HTTP18/48 (37.50%), Lifecycle18/29 (1–13,17–21);22 active. Local NOT RUN. | 2026-09-27 block22 HTTP PASS/CLOSED: Design Circle UI create/edit/delete persisted Base asset ownership; Main/Design Circle/Seattle Friends inventory and immediate asset counters match, event counters remain separate. Real response-stage delayed long-poll released after deletion did not resurrect count; no page reload. Own scoped fixture public Asset booked to an inaccessible Language Lab event remains in Explore (UI + three-profile authenticated reads); own/private/non-friend controls absent, foreign Event/private Asset details withheld with empty HTTP200. Event Explore UI changes with workspace. Existing Group chat preparation and tools fixtures exactly restored; no chat share submitted. Evidence GROUP-LIFECYCLE-001-block22-tools-20260927.json. HTTP19/48 (39.58%), Lifecycle19/29 (1–13,17–22);23 active. Local NOT RUN. | 2026-09-27 block23 HTTP PASS/CLOSED: independent Group Asset checkout captured HUF3200 on Design Circle payer; Maya Base reads the same stored payment as income, Base/other Group controls excluded. Real owner acceptance and payer refund request/recipient approval reversed HUF3200 on the same payer/recipient; one capture plus normal refund audit. Initial unknown provider-card fixture caused one failed attempt; repaired via snapshot-protected real provider card registration, not a manufactured payment. Card revoked and restore-sharing exactly verified. Base/Group Profile/Affiliate/API/history and bounded Feed/Impressions/Chats/Ticket scope smoke recorded; empty ticket views supported by account-scope/converter source review, no populated-ticket visual claim or exhaustive nested-screen sweep. Shared booking-row badge overlap fixed and watcher/mobile320/360/desktop1100 verified. Evidence GROUP-LIFECYCLE-001-block23-profile-payments-20260927.json. HTTP20/48 (41.67%), Lifecycle20/29 (1–13,17–23);24 next. Local NOT RUN. | 2026-09-27 block24 HTTP checklist scope PASS/CLOSED: own contact snapshot; Group Create contact candidate account resolution repaired, eight real candidates returned. Saved contact request/reject/re-request/approve passed; one Base-account conversation, same senders and read receipts under Main/Design Circle; delayed old-account HTTP response did not replace the new account contact list. Contact snapshot restored exactly. Independent free resource fixture: account-owned Asset assigned by the participating Design Circle profile; persisted request retained that participant profile. Base/Seattle Friends subjects without target Event membership returned403. Assets remain usable from any workspace; authority comes from target Event/group membership. Both Base- and Group-held tickets visible from all three workspaces; scanner rejected forged actor bodies from Base/Seattle and accepted authenticated Design Circle despite Base body, persisted correct usedByUserId and attendance. No saved contacts meant zero Event invite candidates despite prior-met profiles. Exact restore-sharing PASS. Shared empty-state spans full grid; user-requested entire contact headline row removed without replacement, watcher/UI verified. Extra forged resource-subject probe under optional-auth dev policy is separately recorded as unproven authenticated-policy boundary, not a security PASS. Evidence GROUP-LIFECYCLE-001-block24-account-contacts-20260927.json. HTTP21/48 (43.75%), Lifecycle21/29 (1–13,17–24);25 next. Local NOT RUN. | Correction:24 closure superseded by reopened forged-resource-actor repair; user requested Java verification without E2E. | 2026-09-27 block24 authorization correction and closure: user explicitly required direct forged-actor assignment rejection, then requested Java verification and excluded E2E. Reopened premature closure; removed optional-auth/demo bypass from resource-assignment submit/manage checks, using authenticated caller and existing policies. Added demo forged-subject/no-write, anonymous and valid-admin regressions; updated obsolete anonymous dev acceptance. Existing main watcher compile/restart PASS20:33:41 local. 19 focused JUnit authorization/resource-service tests PASS (zero skips/failures), reusing existing main outputs and cached test dependencies; no second main build/Gradle/server and no post-fix browser/E2E replay. Valid accepted member/admin and parent Event/generated-group assignment remain allowed; missing membership/forged actor rejected before writes.24 now closed on prior HTTP lifecycle plus this user-approved Java-only repair verification. HTTP21/48, Lifecycle21/29;25 next.24 fixtures and temporary25 notification snapshot were exactly restored. | 2026-09-27 block25 partial PASS: EN320/360/1100 and HU320 notification layout verified; remaining account notification/live-counter branch not yet executed. UI-issued Base and Photo Walks API keys used while Seattle Friends selected: Base asset and Photo Walks event created under their issuing profiles; Group JSON/multipart asset requests returned403 both from Seattle Friends and after Base selection, without created assets/external-ID mappings. Authentication filter rejects before image-controller ingestion; separate object-store inventory was not captured. Real UI Leave group caused Group key403; Base key Revoke caused401. Exact versioned restore-profile-api PASS, membership restored, generated resources/mappings/dependents and the newly created affiliate link removed; old keys retained. Shared menu checkmark moved before badges in all three list item variants; watcher PASS18:52:18.930Z and actual checked/unchecked rows share badge right edge336.125px at360px viewport. Evidence GROUP-LIFECYCLE-001-block25-notifications-api-20260927.json.25 remains IN PROGRESS for notification account scope/live counters and confirmation wording; HTTP21/48 and Lifecycle21/29 unchanged. | 2026-09-27 block25 HTTP PASS/CLOSED: notification layout and API-key scope evidence retained; versioned group notification inputs with actual read mutations verified All/Base/group filtering and account counter23→22→21 across Design/Seattle/Base. Original fixture counter drift recorded separately; aligned prerequisite before assertions, exactly restored afterward. Missing notification group label repaired in existing source subtitle. Real contact request/cancel/approve drove pending1→0 and account approval notification visible from Seattle; own snapshot restored. Independent two-group ticket inputs returned2 in Base/A/B; real Seattle Leave event canceled then confirmed, ticketD/member suppressed and both account ticket counters1, one Design ticket in all profiles. User-requested ticket group label added to existing metadata line; watcher/mobile PASS. Confirmation source audit99 objects/82 EN-HU keys plus bounded runtime/cancellation/320px HU check recorded separately; not every dialog executed, no extra unit runner. Exact temporary fixture/dependent cleanup PASS. Evidence block25-notifications-api-20260927.json and block25-confirmation-audit-20260927.json. HTTP22/48 (45.83%), Lifecycle22/29 (1–13,17–25);26 active. Local NOT RUN. | 2026-09-27 21:37: Block26.1–4 own HTTP execution: grants and revocations preserve provenance; Admin-first owner handover, ordinary-member fallback, sole-Admin step-down verified. Trash Restore returns former creator as Member; normal invitation return, last-member deletion and remaining notification/UI checks continue. Same-actor takeover retry200 is idempotent, competing403; pending fallback403/outsider404. See block26-admin-authority-20260927.json. Block26 remains IN PROGRESS.</t>
  </si>
  <si>
    <t>180/420</t>
  </si>
  <si>
    <t>GROUP-ISOLATION-001</t>
  </si>
  <si>
    <t>Workspace privacy and domain samples</t>
  </si>
  <si>
    <t>Compare Base, Group A and Group B using Asset and Event membership/chat samples plus home ratings/filters, Feed/Following, delayed responses, revoked access, scoped moderation settings/counts/previews/decisions, Group support privacy and intentionally aggregated notifications.; direct-chat consent Requests/Contacts buckets and live pending-only badge</t>
  </si>
  <si>
    <t>DELTA only the owning workspace; no cross-workspace private detail/write, relationship, card exclusion or counter leak. Group-admin moderation is scoped to its group.</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</si>
  <si>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</si>
  <si>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Prepare/verify versioned fixture baseline and managed launcher, then execute the stable checklist; record local/HTTP evidence separately. | NOT RUN additions beyond the new feature batch: re-test existing eventless App support and Group support chats, persisted participants/header member popup, two-way messages/unread/filter, cross-workspace access, old messages and late-response isolation. Compare new contact chats separately; preserve support authority. Contact-chat invite: only the inviting actor’s saved contacts, excluding existing members; empty stays empty. Reject non-contact / foreign-workspace / support-channel add-member commands. Verify own-store update and recipients’ contact chat unread/read counters.</t>
  </si>
  <si>
    <t>guides/qa/checklists/group/GROUP-ISOLATION-001.md; Added 2026-09-24. No campaign fixture or browser actions executed. Priority I/L/A/N/O=5/5/4/4/5; effort actions/extra actors/oracles/boundaries/restore/external=40/2/5/5/1/0.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2026-09-26 NOT RUN micros: separate direct-chat request/approve/reject; recipient-only notifications; approval saves public contact; write-side pending counter vs saved-contact count; search-row icon+label menu on mobile; SmartList live remove/insert; blurred confirmation; retry, stale version and workspace isolation. See existing GROUP-ISOLATION-001 checklist.</t>
  </si>
  <si>
    <t>165/395</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</si>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</sst>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40">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
      <patternFill patternType="solid">
        <fgColor rgb="FFEAF7BE"/>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xf numFmtId="164" fontId="0" fillId="39" borderId="0" xfId="0" applyFont="false" applyFill="true" applyBorder="false" applyAlignment="true" applyProtection="false">
      <alignment vertical="top" wrapText="1"/>
    </xf>
    <xf numFmtId="164" fontId="0" fillId="39" borderId="1" xfId="0" applyFont="false" applyFill="true" applyBorder="true" applyAlignment="true" applyProtection="false">
      <alignment vertical="top" wrapText="1"/>
    </xf>
    <xf numFmtId="164" fontId="0" fillId="39" borderId="2" xfId="0" applyFont="false" applyFill="true" applyBorder="true" applyAlignment="true" applyProtection="false">
      <alignment vertical="top" wrapText="1"/>
    </xf>
    <xf numFmtId="164" fontId="0" fillId="39" borderId="9" xfId="0" applyFont="false" applyFill="true" applyBorder="true" applyAlignment="true" applyProtection="false">
      <alignment vertical="top" wrapText="1"/>
    </xf>
    <xf numFmtId="164" fontId="0" fillId="39" borderId="4" xfId="0" applyFont="false" applyFill="true" applyBorder="true" applyAlignment="true" applyProtection="false">
      <alignment vertical="top" wrapText="1"/>
    </xf>
    <xf numFmtId="164" fontId="0" fillId="39" borderId="3" xfId="0" applyFont="false" applyFill="true" applyBorder="true" applyAlignment="true" applyProtection="false">
      <alignment vertical="top" wrapText="1"/>
    </xf>
    <xf numFmtId="164" fontId="0" fillId="39" borderId="7" xfId="0" applyFont="false" applyFill="true" applyBorder="true" applyAlignment="true" applyProtection="false">
      <alignment vertical="top" wrapText="1"/>
    </xf>
    <xf numFmtId="164" fontId="0" fillId="39" borderId="5" xfId="0" applyFont="false" applyFill="true" applyBorder="true" applyAlignment="true" applyProtection="false">
      <alignment vertical="top" wrapText="1"/>
    </xf>
    <xf numFmtId="164" fontId="0" fillId="39"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COUNTIF(U17:U135,"Done")&amp;" ("&amp;IF(COUNTA(A17:A135)=0,"0%",TEXT(COUNTIF(U17:U135,"Done")/COUNTA(A17:A135),"0%"))&amp;")"</f>
        <v>115 (97%)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COUNTIF(U17:U135,"Pending")</f>
        <v>0</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COUNTIF(U17:U135,"Not started")</f>
        <v>4</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COUNTIF(U17:U135,"Failed")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COUNTA(A17:A135)</f>
        <v>119</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450" t="str">
        <f>COUNTIFS($C$17:$C$135,A8,$U$17:$U$135,"Done")&amp;" passed / "&amp;COUNTIF($C$17:$C$135,A8)&amp;" total ("&amp;IF(COUNTIF($C$17:$C$135,A8)=0,"0%",TEXT(COUNTIFS($C$17:$C$135,A8,$U$17:$U$135,"Done")/COUNTIF($C$17:$C$135,A8),"0%"))&amp;") · "&amp;SUMIFS($V$17:$V$135,$C$17:$C$135,A8,$U$17:$U$135,"&lt;&gt;Done")&amp;"/"&amp;SUMIFS($W$17:$W$135,$C$17:$C$135,A8,$U$17:$U$135,"&lt;&gt;Done")</f>
        <v>4 passed / 5 total (80%) · 120/290</v>
      </c>
      <c r="E8" s="462" t="s">
        <v>1</v>
      </c>
      <c r="F8" s="333" t="s">
        <v>26</v>
      </c>
      <c r="G8" s="259" t="s">
        <v>1</v>
      </c>
      <c r="H8" s="259" t="s">
        <v>27</v>
      </c>
      <c r="I8" s="135" t="str">
        <f>COUNTIFS($C$17:$C$135,F8,$U$17:$U$135,"Done")&amp;" passed / "&amp;COUNTIF($C$17:$C$135,F8)&amp;" total ("&amp;IF(COUNTIF($C$17:$C$135,F8)=0,"0%",TEXT(COUNTIFS($C$17:$C$135,F8,$U$17:$U$135,"Done")/COUNTIF($C$17:$C$135,F8),"0%"))&amp;") · "&amp;SUMIFS($V$17:$V$135,$C$17:$C$135,F8,$U$17:$U$135,"&lt;&gt;Done")&amp;"/"&amp;SUMIFS($W$17:$W$135,$C$17:$C$135,F8,$U$17:$U$135,"&lt;&gt;Done")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COUNTIFS($C$17:$C$135,A9,$U$17:$U$135,"Done")&amp;" passed / "&amp;COUNTIF($C$17:$C$135,A9)&amp;" total ("&amp;IF(COUNTIF($C$17:$C$135,A9)=0,"0%",TEXT(COUNTIFS($C$17:$C$135,A9,$U$17:$U$135,"Done")/COUNTIF($C$17:$C$135,A9),"0%"))&amp;") · "&amp;SUMIFS($V$17:$V$135,$C$17:$C$135,A9,$U$17:$U$135,"&lt;&gt;Done")&amp;"/"&amp;SUMIFS($W$17:$W$135,$C$17:$C$135,A9,$U$17:$U$135,"&lt;&gt;Done")</f>
        <v>2 passed / 2 total (100%) · 0/0</v>
      </c>
      <c r="E9" s="151" t="s">
        <v>1</v>
      </c>
      <c r="F9" s="535" t="s">
        <v>32</v>
      </c>
      <c r="G9" s="531" t="s">
        <v>1</v>
      </c>
      <c r="H9" s="531" t="s">
        <v>33</v>
      </c>
      <c r="I9" s="138" t="str">
        <f>COUNTIFS($C$17:$C$135,F9,$U$17:$U$135,"Done")&amp;" passed / "&amp;COUNTIF($C$17:$C$135,F9)&amp;" total ("&amp;IF(COUNTIF($C$17:$C$135,F9)=0,"0%",TEXT(COUNTIFS($C$17:$C$135,F9,$U$17:$U$135,"Done")/COUNTIF($C$17:$C$135,F9),"0%"))&amp;") · "&amp;SUMIFS($V$17:$V$135,$C$17:$C$135,F9,$U$17:$U$135,"&lt;&gt;Done")&amp;"/"&amp;SUMIFS($W$17:$W$135,$C$17:$C$135,F9,$U$17:$U$135,"&lt;&gt;Done")</f>
        <v>0 passed / 2 total (0%) · 345/815</v>
      </c>
      <c r="J9" s="175"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35</v>
      </c>
      <c r="B10" s="253" t="s">
        <v>1</v>
      </c>
      <c r="C10" s="253" t="s">
        <v>36</v>
      </c>
      <c r="D10" s="450" t="str">
        <f>COUNTIFS($C$17:$C$135,A10,$U$17:$U$135,"Done")&amp;" passed / "&amp;COUNTIF($C$17:$C$135,A10)&amp;" total ("&amp;IF(COUNTIF($C$17:$C$135,A10)=0,"0%",TEXT(COUNTIFS($C$17:$C$135,A10,$U$17:$U$135,"Done")/COUNTIF($C$17:$C$135,A10),"0%"))&amp;") · "&amp;SUMIFS($V$17:$V$135,$C$17:$C$135,A10,$U$17:$U$135,"&lt;&gt;Done")&amp;"/"&amp;SUMIFS($W$17:$W$135,$C$17:$C$135,A10,$U$17:$U$135,"&lt;&gt;Done")</f>
        <v>8 passed / 9 total (89%) · 120/240</v>
      </c>
      <c r="E10" s="462" t="s">
        <v>1</v>
      </c>
      <c r="F10" s="349" t="s">
        <v>38</v>
      </c>
      <c r="G10" s="261" t="s">
        <v>1</v>
      </c>
      <c r="H10" s="261" t="s">
        <v>39</v>
      </c>
      <c r="I10" s="135" t="str">
        <f>COUNTIFS($C$17:$C$135,F10,$U$17:$U$135,"Done")&amp;" passed / "&amp;COUNTIF($C$17:$C$135,F10)&amp;" total ("&amp;IF(COUNTIF($C$17:$C$135,F10)=0,"0%",TEXT(COUNTIFS($C$17:$C$135,F10,$U$17:$U$135,"Done")/COUNTIF($C$17:$C$135,F10),"0%"))&amp;") · "&amp;SUMIFS($V$17:$V$135,$C$17:$C$135,F10,$U$17:$U$135,"&lt;&gt;Done")&amp;"/"&amp;SUMIFS($W$17:$W$135,$C$17:$C$135,F10,$U$17:$U$135,"&lt;&gt;Done")</f>
        <v>3 passed / 3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41</v>
      </c>
      <c r="B11" s="256" t="s">
        <v>1</v>
      </c>
      <c r="C11" s="256" t="s">
        <v>42</v>
      </c>
      <c r="D11" s="135" t="str">
        <f>COUNTIFS($C$17:$C$135,A11,$U$17:$U$135,"Done")&amp;" passed / "&amp;COUNTIF($C$17:$C$135,A11)&amp;" total ("&amp;IF(COUNTIF($C$17:$C$135,A11)=0,"0%",TEXT(COUNTIFS($C$17:$C$135,A11,$U$17:$U$135,"Done")/COUNTIF($C$17:$C$135,A11),"0%"))&amp;") · "&amp;SUMIFS($V$17:$V$135,$C$17:$C$135,A11,$U$17:$U$135,"&lt;&gt;Done")&amp;"/"&amp;SUMIFS($W$17:$W$135,$C$17:$C$135,A11,$U$17:$U$135,"&lt;&gt;Done")</f>
        <v>55 passed / 55 total (100%) · 0/0</v>
      </c>
      <c r="E11" s="151" t="s">
        <v>1</v>
      </c>
      <c r="F11" s="301" t="s">
        <v>44</v>
      </c>
      <c r="G11" s="255" t="s">
        <v>1</v>
      </c>
      <c r="H11" s="255" t="s">
        <v>45</v>
      </c>
      <c r="I11" s="135" t="str">
        <f>COUNTIFS($C$17:$C$135,F11,$U$17:$U$135,"Done")&amp;" passed / "&amp;COUNTIF($C$17:$C$135,F11)&amp;" total ("&amp;IF(COUNTIF($C$17:$C$135,F11)=0,"0%",TEXT(COUNTIFS($C$17:$C$135,F11,$U$17:$U$135,"Done")/COUNTIF($C$17:$C$135,F11),"0%"))&amp;") · "&amp;SUMIFS($V$17:$V$135,$C$17:$C$135,F11,$U$17:$U$135,"&lt;&gt;Done")&amp;"/"&amp;SUMIFS($W$17:$W$135,$C$17:$C$135,F11,$U$17:$U$135,"&lt;&gt;Done")</f>
        <v>6 passed / 6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47</v>
      </c>
      <c r="B12" s="257" t="s">
        <v>1</v>
      </c>
      <c r="C12" s="257" t="s">
        <v>48</v>
      </c>
      <c r="D12" s="135" t="str">
        <f>COUNTIFS($C$17:$C$135,A12,$U$17:$U$135,"Done")&amp;" passed / "&amp;COUNTIF($C$17:$C$135,A12)&amp;" total ("&amp;IF(COUNTIF($C$17:$C$135,A12)=0,"0%",TEXT(COUNTIFS($C$17:$C$135,A12,$U$17:$U$135,"Done")/COUNTIF($C$17:$C$135,A12),"0%"))&amp;") · "&amp;SUMIFS($V$17:$V$135,$C$17:$C$135,A12,$U$17:$U$135,"&lt;&gt;Done")&amp;"/"&amp;SUMIFS($W$17:$W$135,$C$17:$C$135,A12,$U$17:$U$135,"&lt;&gt;Done")</f>
        <v>15 passed / 15 total (100%) · 0/0</v>
      </c>
      <c r="E12" s="151" t="s">
        <v>1</v>
      </c>
      <c r="F12" s="365" t="s">
        <v>50</v>
      </c>
      <c r="G12" s="263" t="s">
        <v>1</v>
      </c>
      <c r="H12" s="263" t="s">
        <v>51</v>
      </c>
      <c r="I12" s="135" t="str">
        <f>COUNTIFS($C$17:$C$135,F12,$U$17:$U$135,"Done")&amp;" passed / "&amp;COUNTIF($C$17:$C$135,F12)&amp;" total ("&amp;IF(COUNTIF($C$17:$C$135,F12)=0,"0%",TEXT(COUNTIFS($C$17:$C$135,F12,$U$17:$U$135,"Done")/COUNTIF($C$17:$C$135,F12),"0%"))&amp;") · "&amp;SUMIFS($V$17:$V$135,$C$17:$C$135,F12,$U$17:$U$135,"&lt;&gt;Done")&amp;"/"&amp;SUMIFS($W$17:$W$135,$C$17:$C$135,F12,$U$17:$U$135,"&lt;&gt;Done")</f>
        <v>4 passed / 4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53</v>
      </c>
      <c r="B13" s="328" t="s">
        <v>1</v>
      </c>
      <c r="C13" s="328" t="s">
        <v>54</v>
      </c>
      <c r="D13" s="153" t="str">
        <f>COUNTIFS($C$17:$C$135,A13,$U$17:$U$135,"Done")&amp;" passed / "&amp;COUNTIF($C$17:$C$135,A13)&amp;" total ("&amp;IF(COUNTIF($C$17:$C$135,A13)=0,"0%",TEXT(COUNTIFS($C$17:$C$135,A13,$U$17:$U$135,"Done")/COUNTIF($C$17:$C$135,A13),"0%"))&amp;") · "&amp;SUMIFS($V$17:$V$135,$C$17:$C$135,A13,$U$17:$U$135,"&lt;&gt;Done")&amp;"/"&amp;SUMIFS($W$17:$W$135,$C$17:$C$135,A13,$U$17:$U$135,"&lt;&gt;Done")</f>
        <v>6 passed / 6 total (100%) · 0/0</v>
      </c>
      <c r="E13" s="154" t="s">
        <v>1</v>
      </c>
      <c r="F13" s="249" t="s">
        <v>55</v>
      </c>
      <c r="G13" s="250" t="s">
        <v>1</v>
      </c>
      <c r="H13" s="250" t="s">
        <v>56</v>
      </c>
      <c r="I13" s="153" t="str">
        <f>COUNTIFS($C$17:$C$135,F13,$U$17:$U$135,"Done")&amp;" passed / "&amp;COUNTIF($C$17:$C$135,F13)&amp;" total ("&amp;IF(COUNTIF($C$17:$C$135,F13)=0,"0%",TEXT(COUNTIFS($C$17:$C$135,F13,$U$17:$U$135,"Done")/COUNTIF($C$17:$C$135,F13),"0%"))&amp;") · "&amp;SUMIFS($V$17:$V$135,$C$17:$C$135,F13,$U$17:$U$135,"&lt;&gt;Done")&amp;"/"&amp;SUMIFS($W$17:$W$135,$C$17:$C$135,F13,$U$17:$U$135,"&lt;&gt;Done")</f>
        <v>5 passed / 5 total (100%) · 0/0</v>
      </c>
      <c r="J13" s="154"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58</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59</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60</v>
      </c>
      <c r="B16" s="143" t="s">
        <v>61</v>
      </c>
      <c r="C16" s="143" t="s">
        <v>20</v>
      </c>
      <c r="D16" s="143" t="s">
        <v>62</v>
      </c>
      <c r="E16" s="143" t="s">
        <v>63</v>
      </c>
      <c r="F16" s="143" t="s">
        <v>64</v>
      </c>
      <c r="G16" s="143" t="s">
        <v>65</v>
      </c>
      <c r="H16" s="143" t="s">
        <v>66</v>
      </c>
      <c r="I16" s="143" t="s">
        <v>67</v>
      </c>
      <c r="J16" s="143" t="s">
        <v>68</v>
      </c>
      <c r="K16" s="143" t="s">
        <v>69</v>
      </c>
      <c r="L16" s="143" t="s">
        <v>70</v>
      </c>
      <c r="M16" s="143" t="s">
        <v>71</v>
      </c>
      <c r="N16" s="143" t="s">
        <v>72</v>
      </c>
      <c r="O16" s="143" t="s">
        <v>73</v>
      </c>
      <c r="P16" s="143" t="s">
        <v>74</v>
      </c>
      <c r="Q16" s="143" t="s">
        <v>75</v>
      </c>
      <c r="R16" s="143" t="s">
        <v>76</v>
      </c>
      <c r="S16" s="143" t="s">
        <v>77</v>
      </c>
      <c r="T16" s="143" t="s">
        <v>78</v>
      </c>
    </row>
    <row r="17" customFormat="false" ht="15" hidden="false" customHeight="false" outlineLevel="0" collapsed="false">
      <c r="A17" s="135" t="s">
        <v>79</v>
      </c>
      <c r="B17" s="135" t="s">
        <v>80</v>
      </c>
      <c r="C17" s="254" t="s">
        <v>23</v>
      </c>
      <c r="D17" s="135" t="s">
        <v>81</v>
      </c>
      <c r="E17" s="135" t="s">
        <v>82</v>
      </c>
      <c r="F17" s="135" t="s">
        <v>4</v>
      </c>
      <c r="G17" s="135" t="s">
        <v>83</v>
      </c>
      <c r="H17" s="135" t="s">
        <v>4</v>
      </c>
      <c r="I17" s="135" t="s">
        <v>4</v>
      </c>
      <c r="J17" s="135" t="s">
        <v>84</v>
      </c>
      <c r="K17" s="135" t="s">
        <v>85</v>
      </c>
      <c r="L17" s="135" t="s">
        <v>86</v>
      </c>
      <c r="M17" s="135" t="s">
        <v>1</v>
      </c>
      <c r="N17" s="135" t="s">
        <v>87</v>
      </c>
      <c r="O17" s="135" t="s">
        <v>88</v>
      </c>
      <c r="P17" s="135" t="s">
        <v>89</v>
      </c>
      <c r="Q17" s="135" t="s">
        <v>86</v>
      </c>
      <c r="R17" s="135" t="s">
        <v>90</v>
      </c>
      <c r="S17" s="135" t="s">
        <v>91</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92</v>
      </c>
      <c r="B18" s="135" t="s">
        <v>80</v>
      </c>
      <c r="C18" s="254" t="s">
        <v>23</v>
      </c>
      <c r="D18" s="135" t="s">
        <v>93</v>
      </c>
      <c r="E18" s="135" t="s">
        <v>94</v>
      </c>
      <c r="F18" s="135" t="s">
        <v>4</v>
      </c>
      <c r="G18" s="135" t="s">
        <v>4</v>
      </c>
      <c r="H18" s="135" t="s">
        <v>4</v>
      </c>
      <c r="I18" s="135" t="s">
        <v>4</v>
      </c>
      <c r="J18" s="135" t="s">
        <v>95</v>
      </c>
      <c r="K18" s="135" t="s">
        <v>96</v>
      </c>
      <c r="L18" s="135" t="s">
        <v>86</v>
      </c>
      <c r="M18" s="135" t="s">
        <v>97</v>
      </c>
      <c r="N18" s="135" t="s">
        <v>87</v>
      </c>
      <c r="O18" s="135" t="s">
        <v>98</v>
      </c>
      <c r="P18" s="135" t="s">
        <v>99</v>
      </c>
      <c r="Q18" s="135" t="s">
        <v>86</v>
      </c>
      <c r="R18" s="135" t="s">
        <v>100</v>
      </c>
      <c r="S18" s="135" t="s">
        <v>91</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101</v>
      </c>
      <c r="B19" s="135" t="s">
        <v>102</v>
      </c>
      <c r="C19" s="254" t="s">
        <v>23</v>
      </c>
      <c r="D19" s="135" t="s">
        <v>103</v>
      </c>
      <c r="E19" s="135" t="s">
        <v>104</v>
      </c>
      <c r="F19" s="135" t="s">
        <v>4</v>
      </c>
      <c r="G19" s="135" t="s">
        <v>105</v>
      </c>
      <c r="H19" s="135" t="s">
        <v>4</v>
      </c>
      <c r="I19" s="135" t="s">
        <v>4</v>
      </c>
      <c r="J19" s="135" t="s">
        <v>106</v>
      </c>
      <c r="K19" s="135" t="s">
        <v>86</v>
      </c>
      <c r="L19" s="135" t="s">
        <v>86</v>
      </c>
      <c r="M19" s="135" t="s">
        <v>97</v>
      </c>
      <c r="N19" s="135" t="s">
        <v>107</v>
      </c>
      <c r="O19" s="135" t="s">
        <v>108</v>
      </c>
      <c r="P19" s="135" t="s">
        <v>109</v>
      </c>
      <c r="Q19" s="135" t="s">
        <v>86</v>
      </c>
      <c r="R19" s="135" t="s">
        <v>110</v>
      </c>
      <c r="S19" s="135" t="s">
        <v>111</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112</v>
      </c>
      <c r="B20" s="135" t="s">
        <v>102</v>
      </c>
      <c r="C20" s="254" t="s">
        <v>23</v>
      </c>
      <c r="D20" s="135" t="s">
        <v>113</v>
      </c>
      <c r="E20" s="135" t="s">
        <v>114</v>
      </c>
      <c r="F20" s="135" t="s">
        <v>4</v>
      </c>
      <c r="G20" s="135" t="s">
        <v>115</v>
      </c>
      <c r="H20" s="135" t="s">
        <v>4</v>
      </c>
      <c r="I20" s="135" t="s">
        <v>4</v>
      </c>
      <c r="J20" s="135" t="s">
        <v>116</v>
      </c>
      <c r="K20" s="135" t="s">
        <v>86</v>
      </c>
      <c r="L20" s="135" t="s">
        <v>86</v>
      </c>
      <c r="M20" s="135" t="s">
        <v>86</v>
      </c>
      <c r="N20" s="135" t="s">
        <v>117</v>
      </c>
      <c r="O20" s="135" t="s">
        <v>118</v>
      </c>
      <c r="P20" s="135" t="s">
        <v>119</v>
      </c>
      <c r="Q20" s="135" t="s">
        <v>86</v>
      </c>
      <c r="R20" s="135" t="s">
        <v>120</v>
      </c>
      <c r="S20" s="135" t="s">
        <v>121</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8" t="s">
        <v>122</v>
      </c>
      <c r="B21" s="138" t="s">
        <v>123</v>
      </c>
      <c r="C21" s="254" t="s">
        <v>23</v>
      </c>
      <c r="D21" s="138" t="s">
        <v>124</v>
      </c>
      <c r="E21" s="138" t="s">
        <v>125</v>
      </c>
      <c r="F21" s="138" t="s">
        <v>126</v>
      </c>
      <c r="G21" s="138" t="s">
        <v>127</v>
      </c>
      <c r="H21" s="138" t="s">
        <v>128</v>
      </c>
      <c r="I21" s="138" t="s">
        <v>129</v>
      </c>
      <c r="J21" s="138" t="s">
        <v>130</v>
      </c>
      <c r="K21" s="138" t="s">
        <v>131</v>
      </c>
      <c r="L21" s="138" t="s">
        <v>97</v>
      </c>
      <c r="M21" s="138" t="s">
        <v>132</v>
      </c>
      <c r="N21" s="138" t="s">
        <v>1</v>
      </c>
      <c r="O21" s="138" t="s">
        <v>133</v>
      </c>
      <c r="P21" s="138" t="s">
        <v>134</v>
      </c>
      <c r="Q21" s="138" t="s">
        <v>97</v>
      </c>
      <c r="R21" s="138" t="s">
        <v>135</v>
      </c>
      <c r="S21" s="138" t="s">
        <v>136</v>
      </c>
      <c r="T21" s="138" t="s">
        <v>137</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V21" s="146">
        <f>IF(T21="","",VALUE(LEFT(T21,SEARCH("/",T21)-1)))</f>
        <v>120</v>
      </c>
      <c r="W21" s="146">
        <f>IF(T21="","",VALUE(MID(T21,SEARCH("/",T21)+1,LEN(T21))))</f>
        <v>290</v>
      </c>
    </row>
    <row r="22" customFormat="false" ht="15" hidden="false" customHeight="false" outlineLevel="0" collapsed="false">
      <c r="A22" s="135" t="s">
        <v>138</v>
      </c>
      <c r="B22" s="135" t="s">
        <v>139</v>
      </c>
      <c r="C22" s="252" t="s">
        <v>29</v>
      </c>
      <c r="D22" s="135" t="s">
        <v>140</v>
      </c>
      <c r="E22" s="135" t="s">
        <v>141</v>
      </c>
      <c r="F22" s="135" t="s">
        <v>142</v>
      </c>
      <c r="G22" s="135" t="s">
        <v>143</v>
      </c>
      <c r="H22" s="135" t="s">
        <v>144</v>
      </c>
      <c r="I22" s="135" t="s">
        <v>145</v>
      </c>
      <c r="J22" s="135" t="s">
        <v>146</v>
      </c>
      <c r="K22" s="135" t="s">
        <v>147</v>
      </c>
      <c r="L22" s="135" t="s">
        <v>1</v>
      </c>
      <c r="M22" s="135" t="s">
        <v>1</v>
      </c>
      <c r="N22" s="135" t="s">
        <v>148</v>
      </c>
      <c r="O22" s="135" t="s">
        <v>149</v>
      </c>
      <c r="P22" s="135" t="s">
        <v>150</v>
      </c>
      <c r="Q22" s="135" t="s">
        <v>86</v>
      </c>
      <c r="R22" s="135" t="s">
        <v>151</v>
      </c>
      <c r="S22" s="135" t="s">
        <v>91</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15" hidden="false" customHeight="false" outlineLevel="0" collapsed="false">
      <c r="A23" s="135" t="s">
        <v>152</v>
      </c>
      <c r="B23" s="135" t="s">
        <v>153</v>
      </c>
      <c r="C23" s="252" t="s">
        <v>29</v>
      </c>
      <c r="D23" s="135" t="s">
        <v>154</v>
      </c>
      <c r="E23" s="135" t="s">
        <v>155</v>
      </c>
      <c r="F23" s="135" t="s">
        <v>4</v>
      </c>
      <c r="G23" s="135" t="s">
        <v>4</v>
      </c>
      <c r="H23" s="135" t="s">
        <v>4</v>
      </c>
      <c r="I23" s="135" t="s">
        <v>4</v>
      </c>
      <c r="J23" s="135" t="s">
        <v>156</v>
      </c>
      <c r="K23" s="135" t="s">
        <v>147</v>
      </c>
      <c r="L23" s="135" t="s">
        <v>1</v>
      </c>
      <c r="M23" s="135" t="s">
        <v>1</v>
      </c>
      <c r="N23" s="135" t="s">
        <v>148</v>
      </c>
      <c r="O23" s="135" t="s">
        <v>157</v>
      </c>
      <c r="P23" s="135" t="s">
        <v>158</v>
      </c>
      <c r="Q23" s="135" t="s">
        <v>86</v>
      </c>
      <c r="R23" s="135" t="s">
        <v>159</v>
      </c>
      <c r="S23" s="135" t="s">
        <v>160</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161</v>
      </c>
      <c r="B24" s="135" t="s">
        <v>162</v>
      </c>
      <c r="C24" s="253" t="s">
        <v>35</v>
      </c>
      <c r="D24" s="135" t="s">
        <v>163</v>
      </c>
      <c r="E24" s="135" t="s">
        <v>164</v>
      </c>
      <c r="F24" s="135" t="s">
        <v>165</v>
      </c>
      <c r="G24" s="135" t="s">
        <v>166</v>
      </c>
      <c r="H24" s="135" t="s">
        <v>167</v>
      </c>
      <c r="I24" s="135" t="s">
        <v>4</v>
      </c>
      <c r="J24" s="135" t="s">
        <v>168</v>
      </c>
      <c r="K24" s="135" t="s">
        <v>169</v>
      </c>
      <c r="L24" s="135" t="s">
        <v>1</v>
      </c>
      <c r="M24" s="135" t="s">
        <v>1</v>
      </c>
      <c r="N24" s="135" t="s">
        <v>170</v>
      </c>
      <c r="O24" s="135" t="s">
        <v>171</v>
      </c>
      <c r="P24" s="135" t="s">
        <v>172</v>
      </c>
      <c r="Q24" s="135" t="s">
        <v>86</v>
      </c>
      <c r="R24" s="135" t="s">
        <v>173</v>
      </c>
      <c r="S24" s="135" t="s">
        <v>174</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175</v>
      </c>
      <c r="B25" s="135" t="s">
        <v>162</v>
      </c>
      <c r="C25" s="253" t="s">
        <v>35</v>
      </c>
      <c r="D25" s="135" t="s">
        <v>176</v>
      </c>
      <c r="E25" s="135" t="s">
        <v>177</v>
      </c>
      <c r="F25" s="135" t="s">
        <v>4</v>
      </c>
      <c r="G25" s="135" t="s">
        <v>178</v>
      </c>
      <c r="H25" s="135" t="s">
        <v>4</v>
      </c>
      <c r="I25" s="135" t="s">
        <v>4</v>
      </c>
      <c r="J25" s="135" t="s">
        <v>179</v>
      </c>
      <c r="K25" s="135" t="s">
        <v>169</v>
      </c>
      <c r="L25" s="135" t="s">
        <v>1</v>
      </c>
      <c r="M25" s="135" t="s">
        <v>1</v>
      </c>
      <c r="N25" s="135" t="s">
        <v>170</v>
      </c>
      <c r="O25" s="135" t="s">
        <v>180</v>
      </c>
      <c r="P25" s="135" t="s">
        <v>181</v>
      </c>
      <c r="Q25" s="135" t="s">
        <v>86</v>
      </c>
      <c r="R25" s="135" t="s">
        <v>182</v>
      </c>
      <c r="S25" s="135" t="s">
        <v>91</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183</v>
      </c>
      <c r="B26" s="135" t="s">
        <v>162</v>
      </c>
      <c r="C26" s="253" t="s">
        <v>35</v>
      </c>
      <c r="D26" s="135" t="s">
        <v>176</v>
      </c>
      <c r="E26" s="135" t="s">
        <v>184</v>
      </c>
      <c r="F26" s="135" t="s">
        <v>4</v>
      </c>
      <c r="G26" s="135" t="s">
        <v>185</v>
      </c>
      <c r="H26" s="135" t="s">
        <v>4</v>
      </c>
      <c r="I26" s="135" t="s">
        <v>4</v>
      </c>
      <c r="J26" s="135" t="s">
        <v>186</v>
      </c>
      <c r="K26" s="135" t="s">
        <v>169</v>
      </c>
      <c r="L26" s="135" t="s">
        <v>1</v>
      </c>
      <c r="M26" s="135" t="s">
        <v>1</v>
      </c>
      <c r="N26" s="135" t="s">
        <v>170</v>
      </c>
      <c r="O26" s="135" t="s">
        <v>187</v>
      </c>
      <c r="P26" s="135" t="s">
        <v>188</v>
      </c>
      <c r="Q26" s="135" t="s">
        <v>86</v>
      </c>
      <c r="R26" s="135" t="s">
        <v>189</v>
      </c>
      <c r="S26" s="135" t="s">
        <v>91</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190</v>
      </c>
      <c r="B27" s="135" t="s">
        <v>162</v>
      </c>
      <c r="C27" s="253" t="s">
        <v>35</v>
      </c>
      <c r="D27" s="135" t="s">
        <v>176</v>
      </c>
      <c r="E27" s="135" t="s">
        <v>191</v>
      </c>
      <c r="F27" s="135" t="s">
        <v>4</v>
      </c>
      <c r="G27" s="135" t="s">
        <v>192</v>
      </c>
      <c r="H27" s="135" t="s">
        <v>4</v>
      </c>
      <c r="I27" s="135" t="s">
        <v>4</v>
      </c>
      <c r="J27" s="135" t="s">
        <v>193</v>
      </c>
      <c r="K27" s="135" t="s">
        <v>147</v>
      </c>
      <c r="L27" s="135" t="s">
        <v>1</v>
      </c>
      <c r="M27" s="135" t="s">
        <v>1</v>
      </c>
      <c r="N27" s="135" t="s">
        <v>170</v>
      </c>
      <c r="O27" s="135" t="s">
        <v>194</v>
      </c>
      <c r="P27" s="135" t="s">
        <v>195</v>
      </c>
      <c r="Q27" s="135" t="s">
        <v>86</v>
      </c>
      <c r="R27" s="135" t="s">
        <v>196</v>
      </c>
      <c r="S27" s="135" t="s">
        <v>91</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197</v>
      </c>
      <c r="B28" s="135" t="s">
        <v>198</v>
      </c>
      <c r="C28" s="253" t="s">
        <v>35</v>
      </c>
      <c r="D28" s="135" t="s">
        <v>199</v>
      </c>
      <c r="E28" s="135" t="s">
        <v>200</v>
      </c>
      <c r="F28" s="135" t="s">
        <v>201</v>
      </c>
      <c r="G28" s="135" t="s">
        <v>202</v>
      </c>
      <c r="H28" s="135" t="s">
        <v>4</v>
      </c>
      <c r="I28" s="135" t="s">
        <v>4</v>
      </c>
      <c r="J28" s="135" t="s">
        <v>203</v>
      </c>
      <c r="K28" s="135" t="s">
        <v>147</v>
      </c>
      <c r="L28" s="135" t="s">
        <v>1</v>
      </c>
      <c r="M28" s="135" t="s">
        <v>1</v>
      </c>
      <c r="N28" s="135" t="s">
        <v>204</v>
      </c>
      <c r="O28" s="135" t="s">
        <v>205</v>
      </c>
      <c r="P28" s="135" t="s">
        <v>206</v>
      </c>
      <c r="Q28" s="135" t="s">
        <v>86</v>
      </c>
      <c r="R28" s="135" t="s">
        <v>207</v>
      </c>
      <c r="S28" s="135" t="s">
        <v>91</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208</v>
      </c>
      <c r="B29" s="135" t="s">
        <v>198</v>
      </c>
      <c r="C29" s="253" t="s">
        <v>35</v>
      </c>
      <c r="D29" s="135" t="s">
        <v>209</v>
      </c>
      <c r="E29" s="135" t="s">
        <v>210</v>
      </c>
      <c r="F29" s="135" t="s">
        <v>4</v>
      </c>
      <c r="G29" s="135" t="s">
        <v>211</v>
      </c>
      <c r="H29" s="135" t="s">
        <v>4</v>
      </c>
      <c r="I29" s="135" t="s">
        <v>4</v>
      </c>
      <c r="J29" s="135" t="s">
        <v>212</v>
      </c>
      <c r="K29" s="135" t="s">
        <v>147</v>
      </c>
      <c r="L29" s="135" t="s">
        <v>1</v>
      </c>
      <c r="M29" s="135" t="s">
        <v>1</v>
      </c>
      <c r="N29" s="135" t="s">
        <v>213</v>
      </c>
      <c r="O29" s="135" t="s">
        <v>214</v>
      </c>
      <c r="P29" s="135" t="s">
        <v>215</v>
      </c>
      <c r="Q29" s="135" t="s">
        <v>86</v>
      </c>
      <c r="R29" s="135" t="s">
        <v>216</v>
      </c>
      <c r="S29" s="135" t="s">
        <v>91</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217</v>
      </c>
      <c r="B30" s="135" t="s">
        <v>218</v>
      </c>
      <c r="C30" s="253" t="s">
        <v>35</v>
      </c>
      <c r="D30" s="135" t="s">
        <v>219</v>
      </c>
      <c r="E30" s="135" t="s">
        <v>220</v>
      </c>
      <c r="F30" s="135" t="s">
        <v>221</v>
      </c>
      <c r="G30" s="135" t="s">
        <v>222</v>
      </c>
      <c r="H30" s="135" t="s">
        <v>4</v>
      </c>
      <c r="I30" s="135" t="s">
        <v>223</v>
      </c>
      <c r="J30" s="135" t="s">
        <v>224</v>
      </c>
      <c r="K30" s="135" t="s">
        <v>225</v>
      </c>
      <c r="L30" s="135" t="s">
        <v>1</v>
      </c>
      <c r="M30" s="135" t="s">
        <v>1</v>
      </c>
      <c r="N30" s="135" t="s">
        <v>226</v>
      </c>
      <c r="O30" s="135" t="s">
        <v>227</v>
      </c>
      <c r="P30" s="135" t="s">
        <v>228</v>
      </c>
      <c r="Q30" s="135" t="s">
        <v>86</v>
      </c>
      <c r="R30" s="135" t="s">
        <v>229</v>
      </c>
      <c r="S30" s="135" t="s">
        <v>230</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231</v>
      </c>
      <c r="B31" s="135" t="s">
        <v>232</v>
      </c>
      <c r="C31" s="253" t="s">
        <v>35</v>
      </c>
      <c r="D31" s="135" t="s">
        <v>233</v>
      </c>
      <c r="E31" s="135" t="s">
        <v>234</v>
      </c>
      <c r="F31" s="135" t="s">
        <v>235</v>
      </c>
      <c r="G31" s="135" t="s">
        <v>236</v>
      </c>
      <c r="H31" s="135" t="s">
        <v>237</v>
      </c>
      <c r="I31" s="135" t="s">
        <v>8</v>
      </c>
      <c r="J31" s="135" t="s">
        <v>238</v>
      </c>
      <c r="K31" s="135" t="s">
        <v>225</v>
      </c>
      <c r="L31" s="135" t="s">
        <v>1</v>
      </c>
      <c r="M31" s="135" t="s">
        <v>1</v>
      </c>
      <c r="N31" s="135" t="s">
        <v>226</v>
      </c>
      <c r="O31" s="135" t="s">
        <v>239</v>
      </c>
      <c r="P31" s="135" t="s">
        <v>240</v>
      </c>
      <c r="Q31" s="135" t="s">
        <v>86</v>
      </c>
      <c r="R31" s="135" t="s">
        <v>241</v>
      </c>
      <c r="S31" s="135" t="s">
        <v>174</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8" t="s">
        <v>242</v>
      </c>
      <c r="B32" s="138" t="s">
        <v>243</v>
      </c>
      <c r="C32" s="253" t="s">
        <v>35</v>
      </c>
      <c r="D32" s="138" t="s">
        <v>244</v>
      </c>
      <c r="E32" s="138" t="s">
        <v>245</v>
      </c>
      <c r="F32" s="138" t="s">
        <v>4</v>
      </c>
      <c r="G32" s="138" t="s">
        <v>246</v>
      </c>
      <c r="H32" s="138" t="s">
        <v>4</v>
      </c>
      <c r="I32" s="138" t="s">
        <v>4</v>
      </c>
      <c r="J32" s="138" t="s">
        <v>247</v>
      </c>
      <c r="K32" s="138" t="s">
        <v>248</v>
      </c>
      <c r="L32" s="138" t="s">
        <v>97</v>
      </c>
      <c r="M32" s="138" t="s">
        <v>249</v>
      </c>
      <c r="N32" s="138" t="s">
        <v>250</v>
      </c>
      <c r="O32" s="138" t="s">
        <v>251</v>
      </c>
      <c r="P32" s="138" t="s">
        <v>252</v>
      </c>
      <c r="Q32" s="138" t="s">
        <v>97</v>
      </c>
      <c r="R32" s="138" t="s">
        <v>253</v>
      </c>
      <c r="S32" s="138" t="s">
        <v>254</v>
      </c>
      <c r="T32" s="138" t="s">
        <v>255</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Not started</v>
      </c>
      <c r="V32" s="146">
        <f>IF(T32="","",VALUE(LEFT(T32,SEARCH("/",T32)-1)))</f>
        <v>120</v>
      </c>
      <c r="W32" s="146">
        <f>IF(T32="","",VALUE(MID(T32,SEARCH("/",T32)+1,LEN(T32))))</f>
        <v>240</v>
      </c>
    </row>
    <row r="33" customFormat="false" ht="15" hidden="false" customHeight="false" outlineLevel="0" collapsed="false">
      <c r="A33" s="135" t="s">
        <v>256</v>
      </c>
      <c r="B33" s="135" t="s">
        <v>80</v>
      </c>
      <c r="C33" s="256" t="s">
        <v>41</v>
      </c>
      <c r="D33" s="135" t="s">
        <v>257</v>
      </c>
      <c r="E33" s="135" t="s">
        <v>258</v>
      </c>
      <c r="F33" s="135" t="s">
        <v>4</v>
      </c>
      <c r="G33" s="135" t="s">
        <v>4</v>
      </c>
      <c r="H33" s="135" t="s">
        <v>4</v>
      </c>
      <c r="I33" s="135" t="s">
        <v>4</v>
      </c>
      <c r="J33" s="135" t="s">
        <v>259</v>
      </c>
      <c r="K33" s="135" t="s">
        <v>96</v>
      </c>
      <c r="L33" s="135" t="s">
        <v>86</v>
      </c>
      <c r="M33" s="135" t="s">
        <v>260</v>
      </c>
      <c r="N33" s="135" t="s">
        <v>87</v>
      </c>
      <c r="O33" s="135" t="s">
        <v>261</v>
      </c>
      <c r="P33" s="135" t="s">
        <v>262</v>
      </c>
      <c r="Q33" s="135" t="s">
        <v>86</v>
      </c>
      <c r="R33" s="135" t="s">
        <v>263</v>
      </c>
      <c r="S33" s="135" t="s">
        <v>91</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264</v>
      </c>
      <c r="B34" s="135" t="s">
        <v>80</v>
      </c>
      <c r="C34" s="256" t="s">
        <v>41</v>
      </c>
      <c r="D34" s="135" t="s">
        <v>265</v>
      </c>
      <c r="E34" s="135" t="s">
        <v>266</v>
      </c>
      <c r="F34" s="135" t="s">
        <v>4</v>
      </c>
      <c r="G34" s="135" t="s">
        <v>4</v>
      </c>
      <c r="H34" s="135" t="s">
        <v>4</v>
      </c>
      <c r="I34" s="135" t="s">
        <v>4</v>
      </c>
      <c r="J34" s="135" t="s">
        <v>259</v>
      </c>
      <c r="K34" s="135" t="s">
        <v>96</v>
      </c>
      <c r="L34" s="135" t="s">
        <v>86</v>
      </c>
      <c r="M34" s="135" t="s">
        <v>260</v>
      </c>
      <c r="N34" s="135" t="s">
        <v>87</v>
      </c>
      <c r="O34" s="135" t="s">
        <v>267</v>
      </c>
      <c r="P34" s="135" t="s">
        <v>268</v>
      </c>
      <c r="Q34" s="135" t="s">
        <v>86</v>
      </c>
      <c r="R34" s="135" t="s">
        <v>269</v>
      </c>
      <c r="S34" s="135" t="s">
        <v>91</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270</v>
      </c>
      <c r="B35" s="135" t="s">
        <v>271</v>
      </c>
      <c r="C35" s="256" t="s">
        <v>41</v>
      </c>
      <c r="D35" s="135" t="s">
        <v>272</v>
      </c>
      <c r="E35" s="135" t="s">
        <v>273</v>
      </c>
      <c r="F35" s="135" t="s">
        <v>4</v>
      </c>
      <c r="G35" s="135" t="s">
        <v>274</v>
      </c>
      <c r="H35" s="135" t="s">
        <v>275</v>
      </c>
      <c r="I35" s="135" t="s">
        <v>276</v>
      </c>
      <c r="J35" s="135" t="s">
        <v>277</v>
      </c>
      <c r="K35" s="135" t="s">
        <v>278</v>
      </c>
      <c r="L35" s="135" t="s">
        <v>86</v>
      </c>
      <c r="M35" s="135" t="s">
        <v>279</v>
      </c>
      <c r="N35" s="135" t="s">
        <v>87</v>
      </c>
      <c r="O35" s="135" t="s">
        <v>280</v>
      </c>
      <c r="P35" s="135" t="s">
        <v>281</v>
      </c>
      <c r="Q35" s="135" t="s">
        <v>86</v>
      </c>
      <c r="R35" s="135" t="s">
        <v>282</v>
      </c>
      <c r="S35" s="135" t="s">
        <v>174</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283</v>
      </c>
      <c r="B36" s="135" t="s">
        <v>284</v>
      </c>
      <c r="C36" s="256" t="s">
        <v>41</v>
      </c>
      <c r="D36" s="135" t="s">
        <v>285</v>
      </c>
      <c r="E36" s="135" t="s">
        <v>286</v>
      </c>
      <c r="F36" s="135" t="s">
        <v>287</v>
      </c>
      <c r="G36" s="135" t="s">
        <v>288</v>
      </c>
      <c r="H36" s="135" t="s">
        <v>289</v>
      </c>
      <c r="I36" s="135" t="s">
        <v>290</v>
      </c>
      <c r="J36" s="135" t="s">
        <v>291</v>
      </c>
      <c r="K36" s="135" t="s">
        <v>292</v>
      </c>
      <c r="L36" s="135" t="s">
        <v>293</v>
      </c>
      <c r="M36" s="135" t="s">
        <v>97</v>
      </c>
      <c r="N36" s="135" t="s">
        <v>87</v>
      </c>
      <c r="O36" s="135" t="s">
        <v>294</v>
      </c>
      <c r="P36" s="135" t="s">
        <v>295</v>
      </c>
      <c r="Q36" s="135" t="s">
        <v>86</v>
      </c>
      <c r="R36" s="135" t="s">
        <v>296</v>
      </c>
      <c r="S36" s="135" t="s">
        <v>297</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298</v>
      </c>
      <c r="B37" s="135" t="s">
        <v>299</v>
      </c>
      <c r="C37" s="256" t="s">
        <v>41</v>
      </c>
      <c r="D37" s="135" t="s">
        <v>300</v>
      </c>
      <c r="E37" s="135" t="s">
        <v>301</v>
      </c>
      <c r="F37" s="135" t="s">
        <v>302</v>
      </c>
      <c r="G37" s="135" t="s">
        <v>303</v>
      </c>
      <c r="H37" s="135" t="s">
        <v>304</v>
      </c>
      <c r="I37" s="135" t="s">
        <v>305</v>
      </c>
      <c r="J37" s="135" t="s">
        <v>306</v>
      </c>
      <c r="K37" s="135" t="s">
        <v>307</v>
      </c>
      <c r="L37" s="135" t="s">
        <v>1</v>
      </c>
      <c r="M37" s="135" t="s">
        <v>1</v>
      </c>
      <c r="N37" s="135" t="s">
        <v>308</v>
      </c>
      <c r="O37" s="135" t="s">
        <v>309</v>
      </c>
      <c r="P37" s="135" t="s">
        <v>310</v>
      </c>
      <c r="Q37" s="135" t="s">
        <v>86</v>
      </c>
      <c r="R37" s="135" t="s">
        <v>311</v>
      </c>
      <c r="S37" s="135" t="s">
        <v>160</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312</v>
      </c>
      <c r="B38" s="135" t="s">
        <v>313</v>
      </c>
      <c r="C38" s="256" t="s">
        <v>41</v>
      </c>
      <c r="D38" s="135" t="s">
        <v>314</v>
      </c>
      <c r="E38" s="135" t="s">
        <v>315</v>
      </c>
      <c r="F38" s="135" t="s">
        <v>316</v>
      </c>
      <c r="G38" s="135" t="s">
        <v>317</v>
      </c>
      <c r="H38" s="135" t="s">
        <v>318</v>
      </c>
      <c r="I38" s="135" t="s">
        <v>319</v>
      </c>
      <c r="J38" s="135" t="s">
        <v>320</v>
      </c>
      <c r="K38" s="135" t="s">
        <v>307</v>
      </c>
      <c r="L38" s="135" t="s">
        <v>1</v>
      </c>
      <c r="M38" s="135" t="s">
        <v>1</v>
      </c>
      <c r="N38" s="135" t="s">
        <v>308</v>
      </c>
      <c r="O38" s="135" t="s">
        <v>321</v>
      </c>
      <c r="P38" s="135" t="s">
        <v>322</v>
      </c>
      <c r="Q38" s="135" t="s">
        <v>86</v>
      </c>
      <c r="R38" s="135" t="s">
        <v>323</v>
      </c>
      <c r="S38" s="135" t="s">
        <v>174</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324</v>
      </c>
      <c r="B39" s="135" t="s">
        <v>299</v>
      </c>
      <c r="C39" s="256" t="s">
        <v>41</v>
      </c>
      <c r="D39" s="135" t="s">
        <v>300</v>
      </c>
      <c r="E39" s="135" t="s">
        <v>325</v>
      </c>
      <c r="F39" s="135" t="s">
        <v>326</v>
      </c>
      <c r="G39" s="135" t="s">
        <v>327</v>
      </c>
      <c r="H39" s="135" t="s">
        <v>304</v>
      </c>
      <c r="I39" s="135" t="s">
        <v>328</v>
      </c>
      <c r="J39" s="135" t="s">
        <v>329</v>
      </c>
      <c r="K39" s="135" t="s">
        <v>307</v>
      </c>
      <c r="L39" s="135" t="s">
        <v>1</v>
      </c>
      <c r="M39" s="135" t="s">
        <v>1</v>
      </c>
      <c r="N39" s="135" t="s">
        <v>308</v>
      </c>
      <c r="O39" s="135" t="s">
        <v>330</v>
      </c>
      <c r="P39" s="135" t="s">
        <v>331</v>
      </c>
      <c r="Q39" s="135" t="s">
        <v>86</v>
      </c>
      <c r="R39" s="135" t="s">
        <v>332</v>
      </c>
      <c r="S39" s="135" t="s">
        <v>333</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334</v>
      </c>
      <c r="B40" s="135" t="s">
        <v>335</v>
      </c>
      <c r="C40" s="256" t="s">
        <v>41</v>
      </c>
      <c r="D40" s="135" t="s">
        <v>336</v>
      </c>
      <c r="E40" s="135" t="s">
        <v>337</v>
      </c>
      <c r="F40" s="135" t="s">
        <v>4</v>
      </c>
      <c r="G40" s="135" t="s">
        <v>338</v>
      </c>
      <c r="H40" s="135" t="s">
        <v>4</v>
      </c>
      <c r="I40" s="135" t="s">
        <v>339</v>
      </c>
      <c r="J40" s="135" t="s">
        <v>340</v>
      </c>
      <c r="K40" s="135" t="s">
        <v>147</v>
      </c>
      <c r="L40" s="135" t="s">
        <v>1</v>
      </c>
      <c r="M40" s="135" t="s">
        <v>1</v>
      </c>
      <c r="N40" s="135" t="s">
        <v>170</v>
      </c>
      <c r="O40" s="135" t="s">
        <v>341</v>
      </c>
      <c r="P40" s="135" t="s">
        <v>342</v>
      </c>
      <c r="Q40" s="135" t="s">
        <v>86</v>
      </c>
      <c r="R40" s="135" t="s">
        <v>343</v>
      </c>
      <c r="S40" s="135" t="s">
        <v>344</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345</v>
      </c>
      <c r="B41" s="135" t="s">
        <v>346</v>
      </c>
      <c r="C41" s="256" t="s">
        <v>41</v>
      </c>
      <c r="D41" s="135" t="s">
        <v>347</v>
      </c>
      <c r="E41" s="135" t="s">
        <v>348</v>
      </c>
      <c r="F41" s="135" t="s">
        <v>326</v>
      </c>
      <c r="G41" s="135" t="s">
        <v>349</v>
      </c>
      <c r="H41" s="135" t="s">
        <v>4</v>
      </c>
      <c r="I41" s="135" t="s">
        <v>350</v>
      </c>
      <c r="J41" s="135" t="s">
        <v>351</v>
      </c>
      <c r="K41" s="135" t="s">
        <v>352</v>
      </c>
      <c r="L41" s="135" t="s">
        <v>1</v>
      </c>
      <c r="M41" s="135" t="s">
        <v>1</v>
      </c>
      <c r="N41" s="135" t="s">
        <v>170</v>
      </c>
      <c r="O41" s="135" t="s">
        <v>353</v>
      </c>
      <c r="P41" s="135" t="s">
        <v>354</v>
      </c>
      <c r="Q41" s="135" t="s">
        <v>86</v>
      </c>
      <c r="R41" s="135" t="s">
        <v>355</v>
      </c>
      <c r="S41" s="135" t="s">
        <v>91</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356</v>
      </c>
      <c r="B42" s="135" t="s">
        <v>299</v>
      </c>
      <c r="C42" s="256" t="s">
        <v>41</v>
      </c>
      <c r="D42" s="135" t="s">
        <v>357</v>
      </c>
      <c r="E42" s="135" t="s">
        <v>358</v>
      </c>
      <c r="F42" s="135" t="s">
        <v>359</v>
      </c>
      <c r="G42" s="135" t="s">
        <v>360</v>
      </c>
      <c r="H42" s="135" t="s">
        <v>361</v>
      </c>
      <c r="I42" s="135" t="s">
        <v>362</v>
      </c>
      <c r="J42" s="135" t="s">
        <v>363</v>
      </c>
      <c r="K42" s="135" t="s">
        <v>307</v>
      </c>
      <c r="L42" s="135" t="s">
        <v>1</v>
      </c>
      <c r="M42" s="135" t="s">
        <v>1</v>
      </c>
      <c r="N42" s="135" t="s">
        <v>308</v>
      </c>
      <c r="O42" s="135" t="s">
        <v>364</v>
      </c>
      <c r="P42" s="135" t="s">
        <v>365</v>
      </c>
      <c r="Q42" s="135" t="s">
        <v>86</v>
      </c>
      <c r="R42" s="135" t="s">
        <v>366</v>
      </c>
      <c r="S42" s="135" t="s">
        <v>367</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368</v>
      </c>
      <c r="B43" s="135" t="s">
        <v>369</v>
      </c>
      <c r="C43" s="256" t="s">
        <v>41</v>
      </c>
      <c r="D43" s="135" t="s">
        <v>370</v>
      </c>
      <c r="E43" s="135" t="s">
        <v>371</v>
      </c>
      <c r="F43" s="135" t="s">
        <v>4</v>
      </c>
      <c r="G43" s="135" t="s">
        <v>372</v>
      </c>
      <c r="H43" s="135" t="s">
        <v>4</v>
      </c>
      <c r="I43" s="135" t="s">
        <v>373</v>
      </c>
      <c r="J43" s="135" t="s">
        <v>374</v>
      </c>
      <c r="K43" s="135" t="s">
        <v>375</v>
      </c>
      <c r="L43" s="135" t="s">
        <v>1</v>
      </c>
      <c r="M43" s="135" t="s">
        <v>1</v>
      </c>
      <c r="N43" s="135" t="s">
        <v>308</v>
      </c>
      <c r="O43" s="135" t="s">
        <v>376</v>
      </c>
      <c r="P43" s="135" t="s">
        <v>377</v>
      </c>
      <c r="Q43" s="135" t="s">
        <v>86</v>
      </c>
      <c r="R43" s="135" t="s">
        <v>378</v>
      </c>
      <c r="S43" s="135" t="s">
        <v>379</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380</v>
      </c>
      <c r="B44" s="135" t="s">
        <v>381</v>
      </c>
      <c r="C44" s="256" t="s">
        <v>41</v>
      </c>
      <c r="D44" s="135" t="s">
        <v>382</v>
      </c>
      <c r="E44" s="135" t="s">
        <v>383</v>
      </c>
      <c r="F44" s="135" t="s">
        <v>384</v>
      </c>
      <c r="G44" s="135" t="s">
        <v>385</v>
      </c>
      <c r="H44" s="135" t="s">
        <v>386</v>
      </c>
      <c r="I44" s="135" t="s">
        <v>387</v>
      </c>
      <c r="J44" s="135" t="s">
        <v>388</v>
      </c>
      <c r="K44" s="135" t="s">
        <v>352</v>
      </c>
      <c r="L44" s="135" t="s">
        <v>1</v>
      </c>
      <c r="M44" s="135" t="s">
        <v>1</v>
      </c>
      <c r="N44" s="135" t="s">
        <v>308</v>
      </c>
      <c r="O44" s="135" t="s">
        <v>389</v>
      </c>
      <c r="P44" s="135" t="s">
        <v>390</v>
      </c>
      <c r="Q44" s="135" t="s">
        <v>86</v>
      </c>
      <c r="R44" s="135" t="s">
        <v>391</v>
      </c>
      <c r="S44" s="135" t="s">
        <v>297</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392</v>
      </c>
      <c r="B45" s="135" t="s">
        <v>313</v>
      </c>
      <c r="C45" s="256" t="s">
        <v>41</v>
      </c>
      <c r="D45" s="135" t="s">
        <v>393</v>
      </c>
      <c r="E45" s="135" t="s">
        <v>394</v>
      </c>
      <c r="F45" s="135" t="s">
        <v>4</v>
      </c>
      <c r="G45" s="135" t="s">
        <v>395</v>
      </c>
      <c r="H45" s="135" t="s">
        <v>4</v>
      </c>
      <c r="I45" s="135" t="s">
        <v>4</v>
      </c>
      <c r="J45" s="135" t="s">
        <v>396</v>
      </c>
      <c r="K45" s="135" t="s">
        <v>352</v>
      </c>
      <c r="L45" s="135" t="s">
        <v>1</v>
      </c>
      <c r="M45" s="135" t="s">
        <v>1</v>
      </c>
      <c r="N45" s="135" t="s">
        <v>308</v>
      </c>
      <c r="O45" s="135" t="s">
        <v>397</v>
      </c>
      <c r="P45" s="135" t="s">
        <v>398</v>
      </c>
      <c r="Q45" s="135" t="s">
        <v>86</v>
      </c>
      <c r="R45" s="135" t="s">
        <v>399</v>
      </c>
      <c r="S45" s="135" t="s">
        <v>400</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401</v>
      </c>
      <c r="B46" s="135" t="s">
        <v>218</v>
      </c>
      <c r="C46" s="256" t="s">
        <v>41</v>
      </c>
      <c r="D46" s="135" t="s">
        <v>402</v>
      </c>
      <c r="E46" s="135" t="s">
        <v>403</v>
      </c>
      <c r="F46" s="135" t="s">
        <v>404</v>
      </c>
      <c r="G46" s="135" t="s">
        <v>405</v>
      </c>
      <c r="H46" s="135" t="s">
        <v>406</v>
      </c>
      <c r="I46" s="135" t="s">
        <v>407</v>
      </c>
      <c r="J46" s="135" t="s">
        <v>408</v>
      </c>
      <c r="K46" s="135" t="s">
        <v>352</v>
      </c>
      <c r="L46" s="135" t="s">
        <v>1</v>
      </c>
      <c r="M46" s="135" t="s">
        <v>1</v>
      </c>
      <c r="N46" s="135" t="s">
        <v>409</v>
      </c>
      <c r="O46" s="135" t="s">
        <v>410</v>
      </c>
      <c r="P46" s="135" t="s">
        <v>411</v>
      </c>
      <c r="Q46" s="135" t="s">
        <v>86</v>
      </c>
      <c r="R46" s="135" t="s">
        <v>412</v>
      </c>
      <c r="S46" s="135" t="s">
        <v>174</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413</v>
      </c>
      <c r="B47" s="135" t="s">
        <v>218</v>
      </c>
      <c r="C47" s="256" t="s">
        <v>41</v>
      </c>
      <c r="D47" s="135" t="s">
        <v>414</v>
      </c>
      <c r="E47" s="135" t="s">
        <v>415</v>
      </c>
      <c r="F47" s="135" t="s">
        <v>416</v>
      </c>
      <c r="G47" s="135" t="s">
        <v>417</v>
      </c>
      <c r="H47" s="135" t="s">
        <v>418</v>
      </c>
      <c r="I47" s="135" t="s">
        <v>419</v>
      </c>
      <c r="J47" s="135" t="s">
        <v>420</v>
      </c>
      <c r="K47" s="135" t="s">
        <v>421</v>
      </c>
      <c r="L47" s="135" t="s">
        <v>1</v>
      </c>
      <c r="M47" s="135" t="s">
        <v>1</v>
      </c>
      <c r="N47" s="135" t="s">
        <v>422</v>
      </c>
      <c r="O47" s="135" t="s">
        <v>423</v>
      </c>
      <c r="P47" s="135" t="s">
        <v>424</v>
      </c>
      <c r="Q47" s="135" t="s">
        <v>86</v>
      </c>
      <c r="R47" s="135" t="s">
        <v>425</v>
      </c>
      <c r="S47" s="135" t="s">
        <v>91</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426</v>
      </c>
      <c r="B48" s="135" t="s">
        <v>299</v>
      </c>
      <c r="C48" s="256" t="s">
        <v>41</v>
      </c>
      <c r="D48" s="135" t="s">
        <v>427</v>
      </c>
      <c r="E48" s="135" t="s">
        <v>428</v>
      </c>
      <c r="F48" s="135" t="s">
        <v>429</v>
      </c>
      <c r="G48" s="135" t="s">
        <v>327</v>
      </c>
      <c r="H48" s="135" t="s">
        <v>304</v>
      </c>
      <c r="I48" s="135" t="s">
        <v>430</v>
      </c>
      <c r="J48" s="135" t="s">
        <v>431</v>
      </c>
      <c r="K48" s="135" t="s">
        <v>307</v>
      </c>
      <c r="L48" s="135" t="s">
        <v>1</v>
      </c>
      <c r="M48" s="135" t="s">
        <v>1</v>
      </c>
      <c r="N48" s="135" t="s">
        <v>308</v>
      </c>
      <c r="O48" s="135" t="s">
        <v>432</v>
      </c>
      <c r="P48" s="135" t="s">
        <v>433</v>
      </c>
      <c r="Q48" s="135" t="s">
        <v>86</v>
      </c>
      <c r="R48" s="135" t="s">
        <v>434</v>
      </c>
      <c r="S48" s="135" t="s">
        <v>435</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436</v>
      </c>
      <c r="B49" s="135" t="s">
        <v>299</v>
      </c>
      <c r="C49" s="256" t="s">
        <v>41</v>
      </c>
      <c r="D49" s="135" t="s">
        <v>427</v>
      </c>
      <c r="E49" s="135" t="s">
        <v>437</v>
      </c>
      <c r="F49" s="135" t="s">
        <v>438</v>
      </c>
      <c r="G49" s="135" t="s">
        <v>439</v>
      </c>
      <c r="H49" s="135" t="s">
        <v>304</v>
      </c>
      <c r="I49" s="135" t="s">
        <v>440</v>
      </c>
      <c r="J49" s="135" t="s">
        <v>441</v>
      </c>
      <c r="K49" s="135" t="s">
        <v>442</v>
      </c>
      <c r="L49" s="135" t="s">
        <v>1</v>
      </c>
      <c r="M49" s="135" t="s">
        <v>1</v>
      </c>
      <c r="N49" s="135" t="s">
        <v>170</v>
      </c>
      <c r="O49" s="135" t="s">
        <v>443</v>
      </c>
      <c r="P49" s="135" t="s">
        <v>444</v>
      </c>
      <c r="Q49" s="135" t="s">
        <v>86</v>
      </c>
      <c r="R49" s="135" t="s">
        <v>445</v>
      </c>
      <c r="S49" s="135" t="s">
        <v>446</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447</v>
      </c>
      <c r="B50" s="135" t="s">
        <v>299</v>
      </c>
      <c r="C50" s="256" t="s">
        <v>41</v>
      </c>
      <c r="D50" s="135" t="s">
        <v>427</v>
      </c>
      <c r="E50" s="135" t="s">
        <v>448</v>
      </c>
      <c r="F50" s="135" t="s">
        <v>449</v>
      </c>
      <c r="G50" s="135" t="s">
        <v>450</v>
      </c>
      <c r="H50" s="135" t="s">
        <v>304</v>
      </c>
      <c r="I50" s="135" t="s">
        <v>451</v>
      </c>
      <c r="J50" s="135" t="s">
        <v>452</v>
      </c>
      <c r="K50" s="135" t="s">
        <v>307</v>
      </c>
      <c r="L50" s="135" t="s">
        <v>1</v>
      </c>
      <c r="M50" s="135" t="s">
        <v>1</v>
      </c>
      <c r="N50" s="135" t="s">
        <v>204</v>
      </c>
      <c r="O50" s="135" t="s">
        <v>453</v>
      </c>
      <c r="P50" s="135" t="s">
        <v>454</v>
      </c>
      <c r="Q50" s="135" t="s">
        <v>86</v>
      </c>
      <c r="R50" s="135" t="s">
        <v>455</v>
      </c>
      <c r="S50" s="135" t="s">
        <v>367</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456</v>
      </c>
      <c r="B51" s="135" t="s">
        <v>299</v>
      </c>
      <c r="C51" s="256" t="s">
        <v>41</v>
      </c>
      <c r="D51" s="135" t="s">
        <v>457</v>
      </c>
      <c r="E51" s="135" t="s">
        <v>458</v>
      </c>
      <c r="F51" s="135" t="s">
        <v>459</v>
      </c>
      <c r="G51" s="135" t="s">
        <v>460</v>
      </c>
      <c r="H51" s="135" t="s">
        <v>461</v>
      </c>
      <c r="I51" s="135" t="s">
        <v>462</v>
      </c>
      <c r="J51" s="135" t="s">
        <v>463</v>
      </c>
      <c r="K51" s="135" t="s">
        <v>307</v>
      </c>
      <c r="L51" s="135" t="s">
        <v>1</v>
      </c>
      <c r="M51" s="135" t="s">
        <v>1</v>
      </c>
      <c r="N51" s="135" t="s">
        <v>204</v>
      </c>
      <c r="O51" s="135" t="s">
        <v>464</v>
      </c>
      <c r="P51" s="135" t="s">
        <v>465</v>
      </c>
      <c r="Q51" s="135" t="s">
        <v>86</v>
      </c>
      <c r="R51" s="135" t="s">
        <v>466</v>
      </c>
      <c r="S51" s="135" t="s">
        <v>446</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467</v>
      </c>
      <c r="B52" s="135" t="s">
        <v>299</v>
      </c>
      <c r="C52" s="256" t="s">
        <v>41</v>
      </c>
      <c r="D52" s="135" t="s">
        <v>468</v>
      </c>
      <c r="E52" s="135" t="s">
        <v>469</v>
      </c>
      <c r="F52" s="135" t="s">
        <v>4</v>
      </c>
      <c r="G52" s="135" t="s">
        <v>4</v>
      </c>
      <c r="H52" s="135" t="s">
        <v>4</v>
      </c>
      <c r="I52" s="135" t="s">
        <v>4</v>
      </c>
      <c r="J52" s="135" t="s">
        <v>470</v>
      </c>
      <c r="K52" s="135" t="s">
        <v>307</v>
      </c>
      <c r="L52" s="135" t="s">
        <v>1</v>
      </c>
      <c r="M52" s="135" t="s">
        <v>1</v>
      </c>
      <c r="N52" s="135" t="s">
        <v>204</v>
      </c>
      <c r="O52" s="135" t="s">
        <v>471</v>
      </c>
      <c r="P52" s="135" t="s">
        <v>472</v>
      </c>
      <c r="Q52" s="135" t="s">
        <v>86</v>
      </c>
      <c r="R52" s="135" t="s">
        <v>473</v>
      </c>
      <c r="S52" s="135" t="s">
        <v>474</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475</v>
      </c>
      <c r="B53" s="135" t="s">
        <v>299</v>
      </c>
      <c r="C53" s="256" t="s">
        <v>41</v>
      </c>
      <c r="D53" s="135" t="s">
        <v>476</v>
      </c>
      <c r="E53" s="135" t="s">
        <v>477</v>
      </c>
      <c r="F53" s="135" t="s">
        <v>478</v>
      </c>
      <c r="G53" s="135" t="s">
        <v>479</v>
      </c>
      <c r="H53" s="135" t="s">
        <v>480</v>
      </c>
      <c r="I53" s="135" t="s">
        <v>481</v>
      </c>
      <c r="J53" s="135" t="s">
        <v>482</v>
      </c>
      <c r="K53" s="135" t="s">
        <v>307</v>
      </c>
      <c r="L53" s="135" t="s">
        <v>1</v>
      </c>
      <c r="M53" s="135" t="s">
        <v>1</v>
      </c>
      <c r="N53" s="135" t="s">
        <v>204</v>
      </c>
      <c r="O53" s="135" t="s">
        <v>483</v>
      </c>
      <c r="P53" s="135" t="s">
        <v>484</v>
      </c>
      <c r="Q53" s="135" t="s">
        <v>86</v>
      </c>
      <c r="R53" s="135" t="s">
        <v>485</v>
      </c>
      <c r="S53" s="135" t="s">
        <v>367</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486</v>
      </c>
      <c r="B54" s="135" t="s">
        <v>299</v>
      </c>
      <c r="C54" s="256" t="s">
        <v>41</v>
      </c>
      <c r="D54" s="135" t="s">
        <v>487</v>
      </c>
      <c r="E54" s="135" t="s">
        <v>488</v>
      </c>
      <c r="F54" s="135" t="s">
        <v>4</v>
      </c>
      <c r="G54" s="135" t="s">
        <v>4</v>
      </c>
      <c r="H54" s="135" t="s">
        <v>4</v>
      </c>
      <c r="I54" s="135" t="s">
        <v>4</v>
      </c>
      <c r="J54" s="135" t="s">
        <v>489</v>
      </c>
      <c r="K54" s="135" t="s">
        <v>490</v>
      </c>
      <c r="L54" s="135" t="s">
        <v>1</v>
      </c>
      <c r="M54" s="135" t="s">
        <v>1</v>
      </c>
      <c r="N54" s="135" t="s">
        <v>308</v>
      </c>
      <c r="O54" s="135" t="s">
        <v>491</v>
      </c>
      <c r="P54" s="135" t="s">
        <v>492</v>
      </c>
      <c r="Q54" s="135" t="s">
        <v>86</v>
      </c>
      <c r="R54" s="135" t="s">
        <v>493</v>
      </c>
      <c r="S54" s="135" t="s">
        <v>91</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494</v>
      </c>
      <c r="B55" s="135" t="s">
        <v>299</v>
      </c>
      <c r="C55" s="256" t="s">
        <v>41</v>
      </c>
      <c r="D55" s="135" t="s">
        <v>476</v>
      </c>
      <c r="E55" s="135" t="s">
        <v>495</v>
      </c>
      <c r="F55" s="135" t="s">
        <v>496</v>
      </c>
      <c r="G55" s="135" t="s">
        <v>497</v>
      </c>
      <c r="H55" s="135" t="s">
        <v>498</v>
      </c>
      <c r="I55" s="135" t="s">
        <v>499</v>
      </c>
      <c r="J55" s="135" t="s">
        <v>500</v>
      </c>
      <c r="K55" s="135" t="s">
        <v>147</v>
      </c>
      <c r="L55" s="135" t="s">
        <v>1</v>
      </c>
      <c r="M55" s="135" t="s">
        <v>1</v>
      </c>
      <c r="N55" s="135" t="s">
        <v>308</v>
      </c>
      <c r="O55" s="135" t="s">
        <v>501</v>
      </c>
      <c r="P55" s="135" t="s">
        <v>502</v>
      </c>
      <c r="Q55" s="135" t="s">
        <v>86</v>
      </c>
      <c r="R55" s="135" t="s">
        <v>503</v>
      </c>
      <c r="S55" s="135" t="s">
        <v>91</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504</v>
      </c>
      <c r="B56" s="135" t="s">
        <v>299</v>
      </c>
      <c r="C56" s="256" t="s">
        <v>41</v>
      </c>
      <c r="D56" s="135" t="s">
        <v>505</v>
      </c>
      <c r="E56" s="135" t="s">
        <v>506</v>
      </c>
      <c r="F56" s="135" t="s">
        <v>507</v>
      </c>
      <c r="G56" s="135" t="s">
        <v>508</v>
      </c>
      <c r="H56" s="135" t="s">
        <v>509</v>
      </c>
      <c r="I56" s="135" t="s">
        <v>510</v>
      </c>
      <c r="J56" s="135" t="s">
        <v>511</v>
      </c>
      <c r="K56" s="135" t="s">
        <v>352</v>
      </c>
      <c r="L56" s="135" t="s">
        <v>1</v>
      </c>
      <c r="M56" s="135" t="s">
        <v>1</v>
      </c>
      <c r="N56" s="135" t="s">
        <v>204</v>
      </c>
      <c r="O56" s="135" t="s">
        <v>512</v>
      </c>
      <c r="P56" s="135" t="s">
        <v>513</v>
      </c>
      <c r="Q56" s="135" t="s">
        <v>86</v>
      </c>
      <c r="R56" s="135" t="s">
        <v>514</v>
      </c>
      <c r="S56" s="135" t="s">
        <v>91</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515</v>
      </c>
      <c r="B57" s="135" t="s">
        <v>299</v>
      </c>
      <c r="C57" s="256" t="s">
        <v>41</v>
      </c>
      <c r="D57" s="135" t="s">
        <v>516</v>
      </c>
      <c r="E57" s="135" t="s">
        <v>517</v>
      </c>
      <c r="F57" s="135" t="s">
        <v>518</v>
      </c>
      <c r="G57" s="135" t="s">
        <v>519</v>
      </c>
      <c r="H57" s="135" t="s">
        <v>518</v>
      </c>
      <c r="I57" s="135" t="s">
        <v>520</v>
      </c>
      <c r="J57" s="135" t="s">
        <v>521</v>
      </c>
      <c r="K57" s="135" t="s">
        <v>421</v>
      </c>
      <c r="L57" s="135" t="s">
        <v>1</v>
      </c>
      <c r="M57" s="135" t="s">
        <v>1</v>
      </c>
      <c r="N57" s="135" t="s">
        <v>204</v>
      </c>
      <c r="O57" s="135" t="s">
        <v>522</v>
      </c>
      <c r="P57" s="135" t="s">
        <v>523</v>
      </c>
      <c r="Q57" s="135" t="s">
        <v>86</v>
      </c>
      <c r="R57" s="135" t="s">
        <v>524</v>
      </c>
      <c r="S57" s="135" t="s">
        <v>174</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525</v>
      </c>
      <c r="B58" s="135" t="s">
        <v>299</v>
      </c>
      <c r="C58" s="256" t="s">
        <v>41</v>
      </c>
      <c r="D58" s="135" t="s">
        <v>526</v>
      </c>
      <c r="E58" s="135" t="s">
        <v>527</v>
      </c>
      <c r="F58" s="135" t="s">
        <v>528</v>
      </c>
      <c r="G58" s="135" t="s">
        <v>529</v>
      </c>
      <c r="H58" s="135" t="s">
        <v>480</v>
      </c>
      <c r="I58" s="135" t="s">
        <v>499</v>
      </c>
      <c r="J58" s="135" t="s">
        <v>530</v>
      </c>
      <c r="K58" s="135" t="s">
        <v>147</v>
      </c>
      <c r="L58" s="135" t="s">
        <v>1</v>
      </c>
      <c r="M58" s="135" t="s">
        <v>1</v>
      </c>
      <c r="N58" s="135" t="s">
        <v>204</v>
      </c>
      <c r="O58" s="135" t="s">
        <v>531</v>
      </c>
      <c r="P58" s="135" t="s">
        <v>532</v>
      </c>
      <c r="Q58" s="135" t="s">
        <v>86</v>
      </c>
      <c r="R58" s="135" t="s">
        <v>533</v>
      </c>
      <c r="S58" s="135" t="s">
        <v>91</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534</v>
      </c>
      <c r="B59" s="135" t="s">
        <v>299</v>
      </c>
      <c r="C59" s="256" t="s">
        <v>41</v>
      </c>
      <c r="D59" s="135" t="s">
        <v>535</v>
      </c>
      <c r="E59" s="135" t="s">
        <v>536</v>
      </c>
      <c r="F59" s="135" t="s">
        <v>4</v>
      </c>
      <c r="G59" s="135" t="s">
        <v>537</v>
      </c>
      <c r="H59" s="135" t="s">
        <v>4</v>
      </c>
      <c r="I59" s="135" t="s">
        <v>538</v>
      </c>
      <c r="J59" s="135" t="s">
        <v>539</v>
      </c>
      <c r="K59" s="135" t="s">
        <v>540</v>
      </c>
      <c r="L59" s="135" t="s">
        <v>1</v>
      </c>
      <c r="M59" s="135" t="s">
        <v>1</v>
      </c>
      <c r="N59" s="135" t="s">
        <v>541</v>
      </c>
      <c r="O59" s="135" t="s">
        <v>542</v>
      </c>
      <c r="P59" s="135" t="s">
        <v>543</v>
      </c>
      <c r="Q59" s="135" t="s">
        <v>86</v>
      </c>
      <c r="R59" s="135" t="s">
        <v>544</v>
      </c>
      <c r="S59" s="135" t="s">
        <v>333</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545</v>
      </c>
      <c r="B60" s="135" t="s">
        <v>299</v>
      </c>
      <c r="C60" s="256" t="s">
        <v>41</v>
      </c>
      <c r="D60" s="135" t="s">
        <v>535</v>
      </c>
      <c r="E60" s="135" t="s">
        <v>546</v>
      </c>
      <c r="F60" s="135" t="s">
        <v>547</v>
      </c>
      <c r="G60" s="135" t="s">
        <v>548</v>
      </c>
      <c r="H60" s="135" t="s">
        <v>549</v>
      </c>
      <c r="I60" s="135" t="s">
        <v>550</v>
      </c>
      <c r="J60" s="135" t="s">
        <v>551</v>
      </c>
      <c r="K60" s="135" t="s">
        <v>147</v>
      </c>
      <c r="L60" s="135" t="s">
        <v>1</v>
      </c>
      <c r="M60" s="135" t="s">
        <v>1</v>
      </c>
      <c r="N60" s="135" t="s">
        <v>541</v>
      </c>
      <c r="O60" s="135" t="s">
        <v>552</v>
      </c>
      <c r="P60" s="135" t="s">
        <v>553</v>
      </c>
      <c r="Q60" s="135" t="s">
        <v>86</v>
      </c>
      <c r="R60" s="135" t="s">
        <v>554</v>
      </c>
      <c r="S60" s="135" t="s">
        <v>446</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555</v>
      </c>
      <c r="B61" s="135" t="s">
        <v>299</v>
      </c>
      <c r="C61" s="256" t="s">
        <v>41</v>
      </c>
      <c r="D61" s="135" t="s">
        <v>556</v>
      </c>
      <c r="E61" s="135" t="s">
        <v>557</v>
      </c>
      <c r="F61" s="135" t="s">
        <v>4</v>
      </c>
      <c r="G61" s="135" t="s">
        <v>558</v>
      </c>
      <c r="H61" s="135" t="s">
        <v>4</v>
      </c>
      <c r="I61" s="135" t="s">
        <v>4</v>
      </c>
      <c r="J61" s="135" t="s">
        <v>559</v>
      </c>
      <c r="K61" s="135" t="s">
        <v>147</v>
      </c>
      <c r="L61" s="135" t="s">
        <v>1</v>
      </c>
      <c r="M61" s="135" t="s">
        <v>1</v>
      </c>
      <c r="N61" s="135" t="s">
        <v>541</v>
      </c>
      <c r="O61" s="135" t="s">
        <v>560</v>
      </c>
      <c r="P61" s="135" t="s">
        <v>561</v>
      </c>
      <c r="Q61" s="135" t="s">
        <v>86</v>
      </c>
      <c r="R61" s="135" t="s">
        <v>562</v>
      </c>
      <c r="S61" s="135" t="s">
        <v>400</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563</v>
      </c>
      <c r="B62" s="135" t="s">
        <v>299</v>
      </c>
      <c r="C62" s="256" t="s">
        <v>41</v>
      </c>
      <c r="D62" s="135" t="s">
        <v>564</v>
      </c>
      <c r="E62" s="135" t="s">
        <v>565</v>
      </c>
      <c r="F62" s="135" t="s">
        <v>4</v>
      </c>
      <c r="G62" s="135" t="s">
        <v>566</v>
      </c>
      <c r="H62" s="135" t="s">
        <v>4</v>
      </c>
      <c r="I62" s="135" t="s">
        <v>4</v>
      </c>
      <c r="J62" s="135" t="s">
        <v>567</v>
      </c>
      <c r="K62" s="135" t="s">
        <v>307</v>
      </c>
      <c r="L62" s="135" t="s">
        <v>1</v>
      </c>
      <c r="M62" s="135" t="s">
        <v>1</v>
      </c>
      <c r="N62" s="135" t="s">
        <v>541</v>
      </c>
      <c r="O62" s="135" t="s">
        <v>568</v>
      </c>
      <c r="P62" s="135" t="s">
        <v>569</v>
      </c>
      <c r="Q62" s="135" t="s">
        <v>86</v>
      </c>
      <c r="R62" s="135" t="s">
        <v>570</v>
      </c>
      <c r="S62" s="135" t="s">
        <v>367</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571</v>
      </c>
      <c r="B63" s="135" t="s">
        <v>299</v>
      </c>
      <c r="C63" s="256" t="s">
        <v>41</v>
      </c>
      <c r="D63" s="135" t="s">
        <v>572</v>
      </c>
      <c r="E63" s="135" t="s">
        <v>573</v>
      </c>
      <c r="F63" s="135" t="s">
        <v>4</v>
      </c>
      <c r="G63" s="135" t="s">
        <v>574</v>
      </c>
      <c r="H63" s="135" t="s">
        <v>575</v>
      </c>
      <c r="I63" s="135" t="s">
        <v>4</v>
      </c>
      <c r="J63" s="135" t="s">
        <v>576</v>
      </c>
      <c r="K63" s="135" t="s">
        <v>86</v>
      </c>
      <c r="L63" s="135" t="s">
        <v>1</v>
      </c>
      <c r="M63" s="135" t="s">
        <v>1</v>
      </c>
      <c r="N63" s="135" t="s">
        <v>541</v>
      </c>
      <c r="O63" s="135" t="s">
        <v>577</v>
      </c>
      <c r="P63" s="135" t="s">
        <v>578</v>
      </c>
      <c r="Q63" s="135" t="s">
        <v>86</v>
      </c>
      <c r="R63" s="135" t="s">
        <v>579</v>
      </c>
      <c r="S63" s="135" t="s">
        <v>367</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580</v>
      </c>
      <c r="B64" s="135" t="s">
        <v>299</v>
      </c>
      <c r="C64" s="256" t="s">
        <v>41</v>
      </c>
      <c r="D64" s="135" t="s">
        <v>572</v>
      </c>
      <c r="E64" s="135" t="s">
        <v>581</v>
      </c>
      <c r="F64" s="135" t="s">
        <v>4</v>
      </c>
      <c r="G64" s="135" t="s">
        <v>574</v>
      </c>
      <c r="H64" s="135" t="s">
        <v>4</v>
      </c>
      <c r="I64" s="135" t="s">
        <v>4</v>
      </c>
      <c r="J64" s="135" t="s">
        <v>582</v>
      </c>
      <c r="K64" s="135" t="s">
        <v>147</v>
      </c>
      <c r="L64" s="135" t="s">
        <v>1</v>
      </c>
      <c r="M64" s="135" t="s">
        <v>1</v>
      </c>
      <c r="N64" s="135" t="s">
        <v>541</v>
      </c>
      <c r="O64" s="135" t="s">
        <v>583</v>
      </c>
      <c r="P64" s="135" t="s">
        <v>584</v>
      </c>
      <c r="Q64" s="135" t="s">
        <v>86</v>
      </c>
      <c r="R64" s="135" t="s">
        <v>585</v>
      </c>
      <c r="S64" s="135" t="s">
        <v>586</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587</v>
      </c>
      <c r="B65" s="135" t="s">
        <v>299</v>
      </c>
      <c r="C65" s="256" t="s">
        <v>41</v>
      </c>
      <c r="D65" s="135" t="s">
        <v>588</v>
      </c>
      <c r="E65" s="135" t="s">
        <v>589</v>
      </c>
      <c r="F65" s="135" t="s">
        <v>590</v>
      </c>
      <c r="G65" s="135" t="s">
        <v>591</v>
      </c>
      <c r="H65" s="135" t="s">
        <v>592</v>
      </c>
      <c r="I65" s="135" t="s">
        <v>593</v>
      </c>
      <c r="J65" s="135" t="s">
        <v>594</v>
      </c>
      <c r="K65" s="135" t="s">
        <v>147</v>
      </c>
      <c r="L65" s="135" t="s">
        <v>1</v>
      </c>
      <c r="M65" s="135" t="s">
        <v>1</v>
      </c>
      <c r="N65" s="135" t="s">
        <v>595</v>
      </c>
      <c r="O65" s="135" t="s">
        <v>596</v>
      </c>
      <c r="P65" s="135" t="s">
        <v>597</v>
      </c>
      <c r="Q65" s="135" t="s">
        <v>86</v>
      </c>
      <c r="R65" s="135" t="s">
        <v>598</v>
      </c>
      <c r="S65" s="135" t="s">
        <v>91</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599</v>
      </c>
      <c r="B66" s="135" t="s">
        <v>299</v>
      </c>
      <c r="C66" s="256" t="s">
        <v>41</v>
      </c>
      <c r="D66" s="135" t="s">
        <v>600</v>
      </c>
      <c r="E66" s="135" t="s">
        <v>601</v>
      </c>
      <c r="F66" s="135" t="s">
        <v>602</v>
      </c>
      <c r="G66" s="135" t="s">
        <v>603</v>
      </c>
      <c r="H66" s="135" t="s">
        <v>304</v>
      </c>
      <c r="I66" s="135" t="s">
        <v>604</v>
      </c>
      <c r="J66" s="135" t="s">
        <v>605</v>
      </c>
      <c r="K66" s="135" t="s">
        <v>147</v>
      </c>
      <c r="L66" s="135" t="s">
        <v>1</v>
      </c>
      <c r="M66" s="135" t="s">
        <v>1</v>
      </c>
      <c r="N66" s="135" t="s">
        <v>606</v>
      </c>
      <c r="O66" s="135" t="s">
        <v>607</v>
      </c>
      <c r="P66" s="135" t="s">
        <v>608</v>
      </c>
      <c r="Q66" s="135" t="s">
        <v>86</v>
      </c>
      <c r="R66" s="135" t="s">
        <v>609</v>
      </c>
      <c r="S66" s="135" t="s">
        <v>435</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610</v>
      </c>
      <c r="B67" s="135" t="s">
        <v>299</v>
      </c>
      <c r="C67" s="256" t="s">
        <v>41</v>
      </c>
      <c r="D67" s="135" t="s">
        <v>600</v>
      </c>
      <c r="E67" s="135" t="s">
        <v>611</v>
      </c>
      <c r="F67" s="135" t="s">
        <v>4</v>
      </c>
      <c r="G67" s="135" t="s">
        <v>612</v>
      </c>
      <c r="H67" s="135" t="s">
        <v>613</v>
      </c>
      <c r="I67" s="135" t="s">
        <v>614</v>
      </c>
      <c r="J67" s="135" t="s">
        <v>615</v>
      </c>
      <c r="K67" s="135" t="s">
        <v>147</v>
      </c>
      <c r="L67" s="135" t="s">
        <v>1</v>
      </c>
      <c r="M67" s="135" t="s">
        <v>1</v>
      </c>
      <c r="N67" s="135" t="s">
        <v>606</v>
      </c>
      <c r="O67" s="135" t="s">
        <v>616</v>
      </c>
      <c r="P67" s="135" t="s">
        <v>617</v>
      </c>
      <c r="Q67" s="135" t="s">
        <v>86</v>
      </c>
      <c r="R67" s="135" t="s">
        <v>618</v>
      </c>
      <c r="S67" s="135" t="s">
        <v>91</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619</v>
      </c>
      <c r="B68" s="135" t="s">
        <v>299</v>
      </c>
      <c r="C68" s="256" t="s">
        <v>41</v>
      </c>
      <c r="D68" s="135" t="s">
        <v>620</v>
      </c>
      <c r="E68" s="135" t="s">
        <v>621</v>
      </c>
      <c r="F68" s="135" t="s">
        <v>4</v>
      </c>
      <c r="G68" s="135" t="s">
        <v>622</v>
      </c>
      <c r="H68" s="135" t="s">
        <v>4</v>
      </c>
      <c r="I68" s="135" t="s">
        <v>623</v>
      </c>
      <c r="J68" s="135" t="s">
        <v>624</v>
      </c>
      <c r="K68" s="135" t="s">
        <v>147</v>
      </c>
      <c r="L68" s="135" t="s">
        <v>1</v>
      </c>
      <c r="M68" s="135" t="s">
        <v>1</v>
      </c>
      <c r="N68" s="135" t="s">
        <v>606</v>
      </c>
      <c r="O68" s="135" t="s">
        <v>625</v>
      </c>
      <c r="P68" s="135" t="s">
        <v>626</v>
      </c>
      <c r="Q68" s="135" t="s">
        <v>86</v>
      </c>
      <c r="R68" s="135" t="s">
        <v>627</v>
      </c>
      <c r="S68" s="135" t="s">
        <v>91</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628</v>
      </c>
      <c r="B69" s="135" t="s">
        <v>299</v>
      </c>
      <c r="C69" s="256" t="s">
        <v>41</v>
      </c>
      <c r="D69" s="135" t="s">
        <v>600</v>
      </c>
      <c r="E69" s="135" t="s">
        <v>629</v>
      </c>
      <c r="F69" s="135" t="s">
        <v>630</v>
      </c>
      <c r="G69" s="135" t="s">
        <v>4</v>
      </c>
      <c r="H69" s="135" t="s">
        <v>4</v>
      </c>
      <c r="I69" s="135" t="s">
        <v>4</v>
      </c>
      <c r="J69" s="135" t="s">
        <v>631</v>
      </c>
      <c r="K69" s="135" t="s">
        <v>147</v>
      </c>
      <c r="L69" s="135" t="s">
        <v>1</v>
      </c>
      <c r="M69" s="135" t="s">
        <v>1</v>
      </c>
      <c r="N69" s="135" t="s">
        <v>606</v>
      </c>
      <c r="O69" s="135" t="s">
        <v>632</v>
      </c>
      <c r="P69" s="135" t="s">
        <v>633</v>
      </c>
      <c r="Q69" s="135" t="s">
        <v>86</v>
      </c>
      <c r="R69" s="135" t="s">
        <v>634</v>
      </c>
      <c r="S69" s="135" t="s">
        <v>174</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635</v>
      </c>
      <c r="B70" s="135" t="s">
        <v>299</v>
      </c>
      <c r="C70" s="256" t="s">
        <v>41</v>
      </c>
      <c r="D70" s="135" t="s">
        <v>636</v>
      </c>
      <c r="E70" s="135" t="s">
        <v>637</v>
      </c>
      <c r="F70" s="135" t="s">
        <v>638</v>
      </c>
      <c r="G70" s="135" t="s">
        <v>639</v>
      </c>
      <c r="H70" s="135" t="s">
        <v>640</v>
      </c>
      <c r="I70" s="135" t="s">
        <v>641</v>
      </c>
      <c r="J70" s="135" t="s">
        <v>642</v>
      </c>
      <c r="K70" s="135" t="s">
        <v>147</v>
      </c>
      <c r="L70" s="135" t="s">
        <v>1</v>
      </c>
      <c r="M70" s="135" t="s">
        <v>1</v>
      </c>
      <c r="N70" s="135" t="s">
        <v>606</v>
      </c>
      <c r="O70" s="135" t="s">
        <v>643</v>
      </c>
      <c r="P70" s="135" t="s">
        <v>644</v>
      </c>
      <c r="Q70" s="135" t="s">
        <v>86</v>
      </c>
      <c r="R70" s="135" t="s">
        <v>645</v>
      </c>
      <c r="S70" s="135" t="s">
        <v>91</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646</v>
      </c>
      <c r="B71" s="135" t="s">
        <v>299</v>
      </c>
      <c r="C71" s="256" t="s">
        <v>41</v>
      </c>
      <c r="D71" s="135" t="s">
        <v>647</v>
      </c>
      <c r="E71" s="135" t="s">
        <v>648</v>
      </c>
      <c r="F71" s="135" t="s">
        <v>649</v>
      </c>
      <c r="G71" s="135" t="s">
        <v>650</v>
      </c>
      <c r="H71" s="135" t="s">
        <v>651</v>
      </c>
      <c r="I71" s="135" t="s">
        <v>652</v>
      </c>
      <c r="J71" s="135" t="s">
        <v>653</v>
      </c>
      <c r="K71" s="135" t="s">
        <v>654</v>
      </c>
      <c r="L71" s="135" t="s">
        <v>1</v>
      </c>
      <c r="M71" s="135" t="s">
        <v>1</v>
      </c>
      <c r="N71" s="135" t="s">
        <v>655</v>
      </c>
      <c r="O71" s="135" t="s">
        <v>656</v>
      </c>
      <c r="P71" s="135" t="s">
        <v>657</v>
      </c>
      <c r="Q71" s="135" t="s">
        <v>86</v>
      </c>
      <c r="R71" s="135" t="s">
        <v>658</v>
      </c>
      <c r="S71" s="135" t="s">
        <v>91</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659</v>
      </c>
      <c r="B72" s="135" t="s">
        <v>299</v>
      </c>
      <c r="C72" s="256" t="s">
        <v>41</v>
      </c>
      <c r="D72" s="135" t="s">
        <v>660</v>
      </c>
      <c r="E72" s="135" t="s">
        <v>661</v>
      </c>
      <c r="F72" s="135" t="s">
        <v>4</v>
      </c>
      <c r="G72" s="135" t="s">
        <v>4</v>
      </c>
      <c r="H72" s="135" t="s">
        <v>662</v>
      </c>
      <c r="I72" s="135" t="s">
        <v>663</v>
      </c>
      <c r="J72" s="135" t="s">
        <v>664</v>
      </c>
      <c r="K72" s="135" t="s">
        <v>147</v>
      </c>
      <c r="L72" s="135" t="s">
        <v>1</v>
      </c>
      <c r="M72" s="135" t="s">
        <v>1</v>
      </c>
      <c r="N72" s="135" t="s">
        <v>655</v>
      </c>
      <c r="O72" s="135" t="s">
        <v>665</v>
      </c>
      <c r="P72" s="135" t="s">
        <v>666</v>
      </c>
      <c r="Q72" s="135" t="s">
        <v>86</v>
      </c>
      <c r="R72" s="135" t="s">
        <v>667</v>
      </c>
      <c r="S72" s="135" t="s">
        <v>91</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668</v>
      </c>
      <c r="B73" s="135" t="s">
        <v>299</v>
      </c>
      <c r="C73" s="256" t="s">
        <v>41</v>
      </c>
      <c r="D73" s="135" t="s">
        <v>669</v>
      </c>
      <c r="E73" s="135" t="s">
        <v>670</v>
      </c>
      <c r="F73" s="135" t="s">
        <v>671</v>
      </c>
      <c r="G73" s="135" t="s">
        <v>672</v>
      </c>
      <c r="H73" s="135" t="s">
        <v>673</v>
      </c>
      <c r="I73" s="135" t="s">
        <v>674</v>
      </c>
      <c r="J73" s="135" t="s">
        <v>675</v>
      </c>
      <c r="K73" s="135" t="s">
        <v>147</v>
      </c>
      <c r="L73" s="135" t="s">
        <v>1</v>
      </c>
      <c r="M73" s="135" t="s">
        <v>1</v>
      </c>
      <c r="N73" s="135" t="s">
        <v>655</v>
      </c>
      <c r="O73" s="135" t="s">
        <v>676</v>
      </c>
      <c r="P73" s="135" t="s">
        <v>677</v>
      </c>
      <c r="Q73" s="135" t="s">
        <v>86</v>
      </c>
      <c r="R73" s="135" t="s">
        <v>678</v>
      </c>
      <c r="S73" s="135" t="s">
        <v>91</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679</v>
      </c>
      <c r="B74" s="135" t="s">
        <v>299</v>
      </c>
      <c r="C74" s="256" t="s">
        <v>41</v>
      </c>
      <c r="D74" s="135" t="s">
        <v>680</v>
      </c>
      <c r="E74" s="135" t="s">
        <v>681</v>
      </c>
      <c r="F74" s="135" t="s">
        <v>682</v>
      </c>
      <c r="G74" s="135" t="s">
        <v>683</v>
      </c>
      <c r="H74" s="135" t="s">
        <v>684</v>
      </c>
      <c r="I74" s="135" t="s">
        <v>685</v>
      </c>
      <c r="J74" s="135" t="s">
        <v>686</v>
      </c>
      <c r="K74" s="135" t="s">
        <v>147</v>
      </c>
      <c r="L74" s="135" t="s">
        <v>1</v>
      </c>
      <c r="M74" s="135" t="s">
        <v>1</v>
      </c>
      <c r="N74" s="135" t="s">
        <v>170</v>
      </c>
      <c r="O74" s="135" t="s">
        <v>687</v>
      </c>
      <c r="P74" s="135" t="s">
        <v>688</v>
      </c>
      <c r="Q74" s="135" t="s">
        <v>86</v>
      </c>
      <c r="R74" s="135" t="s">
        <v>689</v>
      </c>
      <c r="S74" s="135" t="s">
        <v>91</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690</v>
      </c>
      <c r="B75" s="135" t="s">
        <v>299</v>
      </c>
      <c r="C75" s="256" t="s">
        <v>41</v>
      </c>
      <c r="D75" s="135" t="s">
        <v>691</v>
      </c>
      <c r="E75" s="135" t="s">
        <v>692</v>
      </c>
      <c r="F75" s="135" t="s">
        <v>4</v>
      </c>
      <c r="G75" s="135" t="s">
        <v>693</v>
      </c>
      <c r="H75" s="135" t="s">
        <v>4</v>
      </c>
      <c r="I75" s="135" t="s">
        <v>694</v>
      </c>
      <c r="J75" s="135" t="s">
        <v>695</v>
      </c>
      <c r="K75" s="135" t="s">
        <v>147</v>
      </c>
      <c r="L75" s="135" t="s">
        <v>1</v>
      </c>
      <c r="M75" s="135" t="s">
        <v>1</v>
      </c>
      <c r="N75" s="135" t="s">
        <v>170</v>
      </c>
      <c r="O75" s="135" t="s">
        <v>696</v>
      </c>
      <c r="P75" s="135" t="s">
        <v>697</v>
      </c>
      <c r="Q75" s="135" t="s">
        <v>86</v>
      </c>
      <c r="R75" s="135" t="s">
        <v>698</v>
      </c>
      <c r="S75" s="135" t="s">
        <v>91</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699</v>
      </c>
      <c r="B76" s="135" t="s">
        <v>299</v>
      </c>
      <c r="C76" s="256" t="s">
        <v>41</v>
      </c>
      <c r="D76" s="135" t="s">
        <v>700</v>
      </c>
      <c r="E76" s="135" t="s">
        <v>701</v>
      </c>
      <c r="F76" s="135" t="s">
        <v>4</v>
      </c>
      <c r="G76" s="135" t="s">
        <v>702</v>
      </c>
      <c r="H76" s="135" t="s">
        <v>4</v>
      </c>
      <c r="I76" s="135" t="s">
        <v>703</v>
      </c>
      <c r="J76" s="135" t="s">
        <v>704</v>
      </c>
      <c r="K76" s="135" t="s">
        <v>147</v>
      </c>
      <c r="L76" s="135" t="s">
        <v>1</v>
      </c>
      <c r="M76" s="135" t="s">
        <v>1</v>
      </c>
      <c r="N76" s="135" t="s">
        <v>606</v>
      </c>
      <c r="O76" s="135" t="s">
        <v>705</v>
      </c>
      <c r="P76" s="135" t="s">
        <v>706</v>
      </c>
      <c r="Q76" s="135" t="s">
        <v>86</v>
      </c>
      <c r="R76" s="135" t="s">
        <v>707</v>
      </c>
      <c r="S76" s="135" t="s">
        <v>91</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708</v>
      </c>
      <c r="B77" s="135" t="s">
        <v>709</v>
      </c>
      <c r="C77" s="256" t="s">
        <v>41</v>
      </c>
      <c r="D77" s="135" t="s">
        <v>710</v>
      </c>
      <c r="E77" s="135" t="s">
        <v>711</v>
      </c>
      <c r="F77" s="135" t="s">
        <v>712</v>
      </c>
      <c r="G77" s="135" t="s">
        <v>713</v>
      </c>
      <c r="H77" s="135" t="s">
        <v>714</v>
      </c>
      <c r="I77" s="135" t="s">
        <v>715</v>
      </c>
      <c r="J77" s="135" t="s">
        <v>716</v>
      </c>
      <c r="K77" s="135" t="s">
        <v>147</v>
      </c>
      <c r="L77" s="135" t="s">
        <v>1</v>
      </c>
      <c r="M77" s="135" t="s">
        <v>1</v>
      </c>
      <c r="N77" s="135" t="s">
        <v>170</v>
      </c>
      <c r="O77" s="135" t="s">
        <v>717</v>
      </c>
      <c r="P77" s="135" t="s">
        <v>718</v>
      </c>
      <c r="Q77" s="135" t="s">
        <v>86</v>
      </c>
      <c r="R77" s="135" t="s">
        <v>719</v>
      </c>
      <c r="S77" s="135" t="s">
        <v>91</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720</v>
      </c>
      <c r="B78" s="135" t="s">
        <v>299</v>
      </c>
      <c r="C78" s="256" t="s">
        <v>41</v>
      </c>
      <c r="D78" s="135" t="s">
        <v>721</v>
      </c>
      <c r="E78" s="135" t="s">
        <v>722</v>
      </c>
      <c r="F78" s="135" t="s">
        <v>4</v>
      </c>
      <c r="G78" s="135" t="s">
        <v>723</v>
      </c>
      <c r="H78" s="135" t="s">
        <v>4</v>
      </c>
      <c r="I78" s="135" t="s">
        <v>724</v>
      </c>
      <c r="J78" s="135" t="s">
        <v>725</v>
      </c>
      <c r="K78" s="135" t="s">
        <v>147</v>
      </c>
      <c r="L78" s="135" t="s">
        <v>1</v>
      </c>
      <c r="M78" s="135" t="s">
        <v>1</v>
      </c>
      <c r="N78" s="135" t="s">
        <v>606</v>
      </c>
      <c r="O78" s="135" t="s">
        <v>726</v>
      </c>
      <c r="P78" s="135" t="s">
        <v>727</v>
      </c>
      <c r="Q78" s="135" t="s">
        <v>86</v>
      </c>
      <c r="R78" s="135" t="s">
        <v>728</v>
      </c>
      <c r="S78" s="135" t="s">
        <v>91</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729</v>
      </c>
      <c r="B79" s="135" t="s">
        <v>709</v>
      </c>
      <c r="C79" s="256" t="s">
        <v>41</v>
      </c>
      <c r="D79" s="135" t="s">
        <v>730</v>
      </c>
      <c r="E79" s="135" t="s">
        <v>731</v>
      </c>
      <c r="F79" s="135" t="s">
        <v>4</v>
      </c>
      <c r="G79" s="135" t="s">
        <v>732</v>
      </c>
      <c r="H79" s="135" t="s">
        <v>4</v>
      </c>
      <c r="I79" s="135" t="s">
        <v>733</v>
      </c>
      <c r="J79" s="135" t="s">
        <v>734</v>
      </c>
      <c r="K79" s="135" t="s">
        <v>147</v>
      </c>
      <c r="L79" s="135" t="s">
        <v>1</v>
      </c>
      <c r="M79" s="135" t="s">
        <v>1</v>
      </c>
      <c r="N79" s="135" t="s">
        <v>606</v>
      </c>
      <c r="O79" s="135" t="s">
        <v>735</v>
      </c>
      <c r="P79" s="135" t="s">
        <v>736</v>
      </c>
      <c r="Q79" s="135" t="s">
        <v>86</v>
      </c>
      <c r="R79" s="135" t="s">
        <v>737</v>
      </c>
      <c r="S79" s="135" t="s">
        <v>91</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738</v>
      </c>
      <c r="B80" s="135" t="s">
        <v>709</v>
      </c>
      <c r="C80" s="256" t="s">
        <v>41</v>
      </c>
      <c r="D80" s="135" t="s">
        <v>739</v>
      </c>
      <c r="E80" s="135" t="s">
        <v>740</v>
      </c>
      <c r="F80" s="135" t="s">
        <v>4</v>
      </c>
      <c r="G80" s="135" t="s">
        <v>741</v>
      </c>
      <c r="H80" s="135" t="s">
        <v>4</v>
      </c>
      <c r="I80" s="135" t="s">
        <v>742</v>
      </c>
      <c r="J80" s="135" t="s">
        <v>743</v>
      </c>
      <c r="K80" s="135" t="s">
        <v>86</v>
      </c>
      <c r="L80" s="135" t="s">
        <v>1</v>
      </c>
      <c r="M80" s="135" t="s">
        <v>1</v>
      </c>
      <c r="N80" s="135" t="s">
        <v>606</v>
      </c>
      <c r="O80" s="135" t="s">
        <v>744</v>
      </c>
      <c r="P80" s="135" t="s">
        <v>745</v>
      </c>
      <c r="Q80" s="135" t="s">
        <v>147</v>
      </c>
      <c r="R80" s="135" t="s">
        <v>746</v>
      </c>
      <c r="S80" s="135" t="s">
        <v>91</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747</v>
      </c>
      <c r="B81" s="135" t="s">
        <v>748</v>
      </c>
      <c r="C81" s="256" t="s">
        <v>41</v>
      </c>
      <c r="D81" s="135" t="s">
        <v>300</v>
      </c>
      <c r="E81" s="135" t="s">
        <v>749</v>
      </c>
      <c r="F81" s="135" t="s">
        <v>4</v>
      </c>
      <c r="G81" s="135" t="s">
        <v>4</v>
      </c>
      <c r="H81" s="135" t="s">
        <v>4</v>
      </c>
      <c r="I81" s="135" t="s">
        <v>4</v>
      </c>
      <c r="J81" s="135" t="s">
        <v>750</v>
      </c>
      <c r="K81" s="135" t="s">
        <v>751</v>
      </c>
      <c r="L81" s="135" t="s">
        <v>1</v>
      </c>
      <c r="M81" s="135" t="s">
        <v>1</v>
      </c>
      <c r="N81" s="135" t="s">
        <v>541</v>
      </c>
      <c r="O81" s="135" t="s">
        <v>752</v>
      </c>
      <c r="P81" s="135" t="s">
        <v>753</v>
      </c>
      <c r="Q81" s="135" t="s">
        <v>86</v>
      </c>
      <c r="R81" s="135" t="s">
        <v>754</v>
      </c>
      <c r="S81" s="135" t="s">
        <v>446</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755</v>
      </c>
      <c r="B82" s="135" t="s">
        <v>218</v>
      </c>
      <c r="C82" s="256" t="s">
        <v>41</v>
      </c>
      <c r="D82" s="135" t="s">
        <v>756</v>
      </c>
      <c r="E82" s="135" t="s">
        <v>757</v>
      </c>
      <c r="F82" s="135" t="s">
        <v>4</v>
      </c>
      <c r="G82" s="135" t="s">
        <v>758</v>
      </c>
      <c r="H82" s="135" t="s">
        <v>4</v>
      </c>
      <c r="I82" s="135" t="s">
        <v>759</v>
      </c>
      <c r="J82" s="135" t="s">
        <v>760</v>
      </c>
      <c r="K82" s="135" t="s">
        <v>225</v>
      </c>
      <c r="L82" s="135" t="s">
        <v>1</v>
      </c>
      <c r="M82" s="135" t="s">
        <v>1</v>
      </c>
      <c r="N82" s="135" t="s">
        <v>422</v>
      </c>
      <c r="O82" s="135" t="s">
        <v>761</v>
      </c>
      <c r="P82" s="135" t="s">
        <v>762</v>
      </c>
      <c r="Q82" s="135" t="s">
        <v>86</v>
      </c>
      <c r="R82" s="135" t="s">
        <v>763</v>
      </c>
      <c r="S82" s="135" t="s">
        <v>764</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765</v>
      </c>
      <c r="B83" s="135" t="s">
        <v>232</v>
      </c>
      <c r="C83" s="256" t="s">
        <v>41</v>
      </c>
      <c r="D83" s="135" t="s">
        <v>766</v>
      </c>
      <c r="E83" s="135" t="s">
        <v>767</v>
      </c>
      <c r="F83" s="135" t="s">
        <v>768</v>
      </c>
      <c r="G83" s="135" t="s">
        <v>769</v>
      </c>
      <c r="H83" s="135" t="s">
        <v>770</v>
      </c>
      <c r="I83" s="135" t="s">
        <v>8</v>
      </c>
      <c r="J83" s="135" t="s">
        <v>771</v>
      </c>
      <c r="K83" s="135" t="s">
        <v>307</v>
      </c>
      <c r="L83" s="135" t="s">
        <v>1</v>
      </c>
      <c r="M83" s="135" t="s">
        <v>1</v>
      </c>
      <c r="N83" s="135" t="s">
        <v>308</v>
      </c>
      <c r="O83" s="135" t="s">
        <v>772</v>
      </c>
      <c r="P83" s="135" t="s">
        <v>773</v>
      </c>
      <c r="Q83" s="135" t="s">
        <v>86</v>
      </c>
      <c r="R83" s="135" t="s">
        <v>774</v>
      </c>
      <c r="S83" s="135" t="s">
        <v>775</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776</v>
      </c>
      <c r="B84" s="135" t="s">
        <v>777</v>
      </c>
      <c r="C84" s="256" t="s">
        <v>41</v>
      </c>
      <c r="D84" s="135" t="s">
        <v>64</v>
      </c>
      <c r="E84" s="135" t="s">
        <v>778</v>
      </c>
      <c r="F84" s="135" t="s">
        <v>779</v>
      </c>
      <c r="G84" s="135" t="s">
        <v>780</v>
      </c>
      <c r="H84" s="135" t="s">
        <v>770</v>
      </c>
      <c r="I84" s="135" t="s">
        <v>781</v>
      </c>
      <c r="J84" s="135" t="s">
        <v>782</v>
      </c>
      <c r="K84" s="135" t="s">
        <v>307</v>
      </c>
      <c r="L84" s="135" t="s">
        <v>1</v>
      </c>
      <c r="M84" s="135" t="s">
        <v>1</v>
      </c>
      <c r="N84" s="135" t="s">
        <v>308</v>
      </c>
      <c r="O84" s="135" t="s">
        <v>783</v>
      </c>
      <c r="P84" s="135" t="s">
        <v>784</v>
      </c>
      <c r="Q84" s="135" t="s">
        <v>86</v>
      </c>
      <c r="R84" s="135" t="s">
        <v>785</v>
      </c>
      <c r="S84" s="135" t="s">
        <v>474</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786</v>
      </c>
      <c r="B85" s="135" t="s">
        <v>299</v>
      </c>
      <c r="C85" s="256" t="s">
        <v>41</v>
      </c>
      <c r="D85" s="135" t="s">
        <v>787</v>
      </c>
      <c r="E85" s="135" t="s">
        <v>788</v>
      </c>
      <c r="F85" s="135" t="s">
        <v>789</v>
      </c>
      <c r="G85" s="135" t="s">
        <v>790</v>
      </c>
      <c r="H85" s="135" t="s">
        <v>4</v>
      </c>
      <c r="I85" s="135" t="s">
        <v>791</v>
      </c>
      <c r="J85" s="135" t="s">
        <v>792</v>
      </c>
      <c r="K85" s="135" t="s">
        <v>147</v>
      </c>
      <c r="L85" s="135" t="s">
        <v>86</v>
      </c>
      <c r="M85" s="135" t="s">
        <v>793</v>
      </c>
      <c r="N85" s="135" t="s">
        <v>595</v>
      </c>
      <c r="O85" s="135" t="s">
        <v>794</v>
      </c>
      <c r="P85" s="135" t="s">
        <v>795</v>
      </c>
      <c r="Q85" s="135" t="s">
        <v>86</v>
      </c>
      <c r="R85" s="135" t="s">
        <v>796</v>
      </c>
      <c r="S85" s="135" t="s">
        <v>91</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797</v>
      </c>
      <c r="B86" s="135" t="s">
        <v>102</v>
      </c>
      <c r="C86" s="256" t="s">
        <v>41</v>
      </c>
      <c r="D86" s="135" t="s">
        <v>798</v>
      </c>
      <c r="E86" s="135" t="s">
        <v>799</v>
      </c>
      <c r="F86" s="135" t="s">
        <v>4</v>
      </c>
      <c r="G86" s="135" t="s">
        <v>800</v>
      </c>
      <c r="H86" s="135" t="s">
        <v>4</v>
      </c>
      <c r="I86" s="135" t="s">
        <v>801</v>
      </c>
      <c r="J86" s="135" t="s">
        <v>802</v>
      </c>
      <c r="K86" s="135" t="s">
        <v>86</v>
      </c>
      <c r="L86" s="135" t="s">
        <v>86</v>
      </c>
      <c r="M86" s="135" t="s">
        <v>97</v>
      </c>
      <c r="N86" s="135" t="s">
        <v>107</v>
      </c>
      <c r="O86" s="135" t="s">
        <v>803</v>
      </c>
      <c r="P86" s="135" t="s">
        <v>804</v>
      </c>
      <c r="Q86" s="135" t="s">
        <v>86</v>
      </c>
      <c r="R86" s="135" t="s">
        <v>805</v>
      </c>
      <c r="S86" s="135" t="s">
        <v>806</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807</v>
      </c>
      <c r="B87" s="135" t="s">
        <v>102</v>
      </c>
      <c r="C87" s="256" t="s">
        <v>41</v>
      </c>
      <c r="D87" s="135" t="s">
        <v>808</v>
      </c>
      <c r="E87" s="135" t="s">
        <v>809</v>
      </c>
      <c r="F87" s="135" t="s">
        <v>4</v>
      </c>
      <c r="G87" s="135" t="s">
        <v>4</v>
      </c>
      <c r="H87" s="135" t="s">
        <v>4</v>
      </c>
      <c r="I87" s="135" t="s">
        <v>4</v>
      </c>
      <c r="J87" s="135" t="s">
        <v>810</v>
      </c>
      <c r="K87" s="135" t="s">
        <v>86</v>
      </c>
      <c r="L87" s="135" t="s">
        <v>86</v>
      </c>
      <c r="M87" s="135" t="s">
        <v>86</v>
      </c>
      <c r="N87" s="135" t="s">
        <v>117</v>
      </c>
      <c r="O87" s="135" t="s">
        <v>811</v>
      </c>
      <c r="P87" s="135" t="s">
        <v>812</v>
      </c>
      <c r="Q87" s="135" t="s">
        <v>86</v>
      </c>
      <c r="R87" s="135" t="s">
        <v>813</v>
      </c>
      <c r="S87" s="135" t="s">
        <v>814</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815</v>
      </c>
      <c r="B88" s="135" t="s">
        <v>299</v>
      </c>
      <c r="C88" s="257" t="s">
        <v>47</v>
      </c>
      <c r="D88" s="135" t="s">
        <v>47</v>
      </c>
      <c r="E88" s="135" t="s">
        <v>816</v>
      </c>
      <c r="F88" s="135" t="s">
        <v>817</v>
      </c>
      <c r="G88" s="135" t="s">
        <v>818</v>
      </c>
      <c r="H88" s="135" t="s">
        <v>640</v>
      </c>
      <c r="I88" s="135" t="s">
        <v>819</v>
      </c>
      <c r="J88" s="135" t="s">
        <v>820</v>
      </c>
      <c r="K88" s="135" t="s">
        <v>821</v>
      </c>
      <c r="L88" s="135" t="s">
        <v>1</v>
      </c>
      <c r="M88" s="135" t="s">
        <v>1</v>
      </c>
      <c r="N88" s="135" t="s">
        <v>213</v>
      </c>
      <c r="O88" s="135" t="s">
        <v>822</v>
      </c>
      <c r="P88" s="135" t="s">
        <v>823</v>
      </c>
      <c r="Q88" s="135" t="s">
        <v>86</v>
      </c>
      <c r="R88" s="135" t="s">
        <v>824</v>
      </c>
      <c r="S88" s="135" t="s">
        <v>333</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825</v>
      </c>
      <c r="B89" s="135" t="s">
        <v>299</v>
      </c>
      <c r="C89" s="257" t="s">
        <v>47</v>
      </c>
      <c r="D89" s="135" t="s">
        <v>47</v>
      </c>
      <c r="E89" s="135" t="s">
        <v>826</v>
      </c>
      <c r="F89" s="135" t="s">
        <v>359</v>
      </c>
      <c r="G89" s="135" t="s">
        <v>827</v>
      </c>
      <c r="H89" s="135" t="s">
        <v>828</v>
      </c>
      <c r="I89" s="135" t="s">
        <v>829</v>
      </c>
      <c r="J89" s="135" t="s">
        <v>830</v>
      </c>
      <c r="K89" s="135" t="s">
        <v>147</v>
      </c>
      <c r="L89" s="135" t="s">
        <v>1</v>
      </c>
      <c r="M89" s="135" t="s">
        <v>1</v>
      </c>
      <c r="N89" s="135" t="s">
        <v>213</v>
      </c>
      <c r="O89" s="135" t="s">
        <v>831</v>
      </c>
      <c r="P89" s="135" t="s">
        <v>832</v>
      </c>
      <c r="Q89" s="135" t="s">
        <v>86</v>
      </c>
      <c r="R89" s="135" t="s">
        <v>833</v>
      </c>
      <c r="S89" s="135" t="s">
        <v>446</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834</v>
      </c>
      <c r="B90" s="135" t="s">
        <v>299</v>
      </c>
      <c r="C90" s="257" t="s">
        <v>47</v>
      </c>
      <c r="D90" s="135" t="s">
        <v>47</v>
      </c>
      <c r="E90" s="135" t="s">
        <v>835</v>
      </c>
      <c r="F90" s="135" t="s">
        <v>836</v>
      </c>
      <c r="G90" s="135" t="s">
        <v>837</v>
      </c>
      <c r="H90" s="135" t="s">
        <v>838</v>
      </c>
      <c r="I90" s="135" t="s">
        <v>839</v>
      </c>
      <c r="J90" s="135" t="s">
        <v>840</v>
      </c>
      <c r="K90" s="135" t="s">
        <v>147</v>
      </c>
      <c r="L90" s="135" t="s">
        <v>1</v>
      </c>
      <c r="M90" s="135" t="s">
        <v>1</v>
      </c>
      <c r="N90" s="135" t="s">
        <v>213</v>
      </c>
      <c r="O90" s="135" t="s">
        <v>841</v>
      </c>
      <c r="P90" s="135" t="s">
        <v>842</v>
      </c>
      <c r="Q90" s="135" t="s">
        <v>86</v>
      </c>
      <c r="R90" s="135" t="s">
        <v>843</v>
      </c>
      <c r="S90" s="135" t="s">
        <v>174</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844</v>
      </c>
      <c r="B91" s="135" t="s">
        <v>845</v>
      </c>
      <c r="C91" s="257" t="s">
        <v>47</v>
      </c>
      <c r="D91" s="135" t="s">
        <v>846</v>
      </c>
      <c r="E91" s="135" t="s">
        <v>847</v>
      </c>
      <c r="F91" s="135" t="s">
        <v>848</v>
      </c>
      <c r="G91" s="135" t="s">
        <v>849</v>
      </c>
      <c r="H91" s="135" t="s">
        <v>4</v>
      </c>
      <c r="I91" s="135" t="s">
        <v>850</v>
      </c>
      <c r="J91" s="135" t="s">
        <v>851</v>
      </c>
      <c r="K91" s="135" t="s">
        <v>147</v>
      </c>
      <c r="L91" s="135" t="s">
        <v>1</v>
      </c>
      <c r="M91" s="135" t="s">
        <v>1</v>
      </c>
      <c r="N91" s="135" t="s">
        <v>852</v>
      </c>
      <c r="O91" s="135" t="s">
        <v>853</v>
      </c>
      <c r="P91" s="135" t="s">
        <v>854</v>
      </c>
      <c r="Q91" s="135" t="s">
        <v>86</v>
      </c>
      <c r="R91" s="135" t="s">
        <v>855</v>
      </c>
      <c r="S91" s="135" t="s">
        <v>297</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856</v>
      </c>
      <c r="B92" s="135" t="s">
        <v>845</v>
      </c>
      <c r="C92" s="257" t="s">
        <v>47</v>
      </c>
      <c r="D92" s="135" t="s">
        <v>857</v>
      </c>
      <c r="E92" s="135" t="s">
        <v>858</v>
      </c>
      <c r="F92" s="135" t="s">
        <v>859</v>
      </c>
      <c r="G92" s="135" t="s">
        <v>860</v>
      </c>
      <c r="H92" s="135" t="s">
        <v>4</v>
      </c>
      <c r="I92" s="135" t="s">
        <v>4</v>
      </c>
      <c r="J92" s="135" t="s">
        <v>861</v>
      </c>
      <c r="K92" s="135" t="s">
        <v>147</v>
      </c>
      <c r="L92" s="135" t="s">
        <v>1</v>
      </c>
      <c r="M92" s="135" t="s">
        <v>1</v>
      </c>
      <c r="N92" s="135" t="s">
        <v>852</v>
      </c>
      <c r="O92" s="135" t="s">
        <v>862</v>
      </c>
      <c r="P92" s="135" t="s">
        <v>863</v>
      </c>
      <c r="Q92" s="135" t="s">
        <v>86</v>
      </c>
      <c r="R92" s="135" t="s">
        <v>864</v>
      </c>
      <c r="S92" s="135" t="s">
        <v>174</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865</v>
      </c>
      <c r="B93" s="135" t="s">
        <v>845</v>
      </c>
      <c r="C93" s="257" t="s">
        <v>47</v>
      </c>
      <c r="D93" s="135" t="s">
        <v>866</v>
      </c>
      <c r="E93" s="135" t="s">
        <v>867</v>
      </c>
      <c r="F93" s="135" t="s">
        <v>868</v>
      </c>
      <c r="G93" s="135" t="s">
        <v>869</v>
      </c>
      <c r="H93" s="135" t="s">
        <v>4</v>
      </c>
      <c r="I93" s="135" t="s">
        <v>4</v>
      </c>
      <c r="J93" s="135" t="s">
        <v>870</v>
      </c>
      <c r="K93" s="135" t="s">
        <v>147</v>
      </c>
      <c r="L93" s="135" t="s">
        <v>1</v>
      </c>
      <c r="M93" s="135" t="s">
        <v>1</v>
      </c>
      <c r="N93" s="135" t="s">
        <v>852</v>
      </c>
      <c r="O93" s="135" t="s">
        <v>871</v>
      </c>
      <c r="P93" s="135" t="s">
        <v>872</v>
      </c>
      <c r="Q93" s="135" t="s">
        <v>86</v>
      </c>
      <c r="R93" s="135" t="s">
        <v>873</v>
      </c>
      <c r="S93" s="135" t="s">
        <v>874</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875</v>
      </c>
      <c r="B94" s="135" t="s">
        <v>845</v>
      </c>
      <c r="C94" s="257" t="s">
        <v>47</v>
      </c>
      <c r="D94" s="135" t="s">
        <v>876</v>
      </c>
      <c r="E94" s="135" t="s">
        <v>877</v>
      </c>
      <c r="F94" s="135" t="s">
        <v>878</v>
      </c>
      <c r="G94" s="135" t="s">
        <v>879</v>
      </c>
      <c r="H94" s="135" t="s">
        <v>4</v>
      </c>
      <c r="I94" s="135" t="s">
        <v>4</v>
      </c>
      <c r="J94" s="135" t="s">
        <v>880</v>
      </c>
      <c r="K94" s="135" t="s">
        <v>147</v>
      </c>
      <c r="L94" s="135" t="s">
        <v>4</v>
      </c>
      <c r="M94" s="135" t="s">
        <v>793</v>
      </c>
      <c r="N94" s="135" t="s">
        <v>881</v>
      </c>
      <c r="O94" s="135" t="s">
        <v>882</v>
      </c>
      <c r="P94" s="135" t="s">
        <v>883</v>
      </c>
      <c r="Q94" s="135" t="s">
        <v>86</v>
      </c>
      <c r="R94" s="135" t="s">
        <v>884</v>
      </c>
      <c r="S94" s="135" t="s">
        <v>91</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885</v>
      </c>
      <c r="B95" s="135" t="s">
        <v>845</v>
      </c>
      <c r="C95" s="257" t="s">
        <v>47</v>
      </c>
      <c r="D95" s="135" t="s">
        <v>886</v>
      </c>
      <c r="E95" s="135" t="s">
        <v>887</v>
      </c>
      <c r="F95" s="135" t="s">
        <v>888</v>
      </c>
      <c r="G95" s="135" t="s">
        <v>889</v>
      </c>
      <c r="H95" s="135" t="s">
        <v>4</v>
      </c>
      <c r="I95" s="135" t="s">
        <v>890</v>
      </c>
      <c r="J95" s="135" t="s">
        <v>891</v>
      </c>
      <c r="K95" s="135" t="s">
        <v>147</v>
      </c>
      <c r="L95" s="135" t="s">
        <v>4</v>
      </c>
      <c r="M95" s="135" t="s">
        <v>793</v>
      </c>
      <c r="N95" s="135" t="s">
        <v>881</v>
      </c>
      <c r="O95" s="135" t="s">
        <v>892</v>
      </c>
      <c r="P95" s="135" t="s">
        <v>893</v>
      </c>
      <c r="Q95" s="135" t="s">
        <v>86</v>
      </c>
      <c r="R95" s="135" t="s">
        <v>894</v>
      </c>
      <c r="S95" s="135" t="s">
        <v>91</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895</v>
      </c>
      <c r="B96" s="135" t="s">
        <v>845</v>
      </c>
      <c r="C96" s="257" t="s">
        <v>47</v>
      </c>
      <c r="D96" s="135" t="s">
        <v>896</v>
      </c>
      <c r="E96" s="135" t="s">
        <v>897</v>
      </c>
      <c r="F96" s="135" t="s">
        <v>4</v>
      </c>
      <c r="G96" s="135" t="s">
        <v>898</v>
      </c>
      <c r="H96" s="135" t="s">
        <v>4</v>
      </c>
      <c r="I96" s="135" t="s">
        <v>4</v>
      </c>
      <c r="J96" s="135" t="s">
        <v>899</v>
      </c>
      <c r="K96" s="135" t="s">
        <v>147</v>
      </c>
      <c r="L96" s="135" t="s">
        <v>4</v>
      </c>
      <c r="M96" s="135" t="s">
        <v>793</v>
      </c>
      <c r="N96" s="135" t="s">
        <v>881</v>
      </c>
      <c r="O96" s="135" t="s">
        <v>900</v>
      </c>
      <c r="P96" s="135" t="s">
        <v>901</v>
      </c>
      <c r="Q96" s="135" t="s">
        <v>86</v>
      </c>
      <c r="R96" s="135" t="s">
        <v>902</v>
      </c>
      <c r="S96" s="135" t="s">
        <v>91</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903</v>
      </c>
      <c r="B97" s="135" t="s">
        <v>904</v>
      </c>
      <c r="C97" s="257" t="s">
        <v>47</v>
      </c>
      <c r="D97" s="135" t="s">
        <v>905</v>
      </c>
      <c r="E97" s="135" t="s">
        <v>906</v>
      </c>
      <c r="F97" s="135" t="s">
        <v>907</v>
      </c>
      <c r="G97" s="135" t="s">
        <v>908</v>
      </c>
      <c r="H97" s="135" t="s">
        <v>909</v>
      </c>
      <c r="I97" s="135" t="s">
        <v>910</v>
      </c>
      <c r="J97" s="135" t="s">
        <v>911</v>
      </c>
      <c r="K97" s="135" t="s">
        <v>912</v>
      </c>
      <c r="L97" s="135" t="s">
        <v>1</v>
      </c>
      <c r="M97" s="135" t="s">
        <v>1</v>
      </c>
      <c r="N97" s="135" t="s">
        <v>913</v>
      </c>
      <c r="O97" s="135" t="s">
        <v>914</v>
      </c>
      <c r="P97" s="135" t="s">
        <v>915</v>
      </c>
      <c r="Q97" s="135" t="s">
        <v>86</v>
      </c>
      <c r="R97" s="135" t="s">
        <v>916</v>
      </c>
      <c r="S97" s="135" t="s">
        <v>91</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917</v>
      </c>
      <c r="B98" s="135" t="s">
        <v>904</v>
      </c>
      <c r="C98" s="257" t="s">
        <v>47</v>
      </c>
      <c r="D98" s="135" t="s">
        <v>918</v>
      </c>
      <c r="E98" s="135" t="s">
        <v>919</v>
      </c>
      <c r="F98" s="135" t="s">
        <v>920</v>
      </c>
      <c r="G98" s="135" t="s">
        <v>921</v>
      </c>
      <c r="H98" s="135" t="s">
        <v>4</v>
      </c>
      <c r="I98" s="135" t="s">
        <v>4</v>
      </c>
      <c r="J98" s="135" t="s">
        <v>922</v>
      </c>
      <c r="K98" s="135" t="s">
        <v>147</v>
      </c>
      <c r="L98" s="135" t="s">
        <v>86</v>
      </c>
      <c r="M98" s="135" t="s">
        <v>923</v>
      </c>
      <c r="N98" s="135" t="s">
        <v>148</v>
      </c>
      <c r="O98" s="135" t="s">
        <v>924</v>
      </c>
      <c r="P98" s="135" t="s">
        <v>925</v>
      </c>
      <c r="Q98" s="135" t="s">
        <v>86</v>
      </c>
      <c r="R98" s="135" t="s">
        <v>926</v>
      </c>
      <c r="S98" s="135" t="s">
        <v>91</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927</v>
      </c>
      <c r="B99" s="135" t="s">
        <v>904</v>
      </c>
      <c r="C99" s="257" t="s">
        <v>47</v>
      </c>
      <c r="D99" s="135" t="s">
        <v>928</v>
      </c>
      <c r="E99" s="135" t="s">
        <v>929</v>
      </c>
      <c r="F99" s="135" t="s">
        <v>920</v>
      </c>
      <c r="G99" s="135" t="s">
        <v>930</v>
      </c>
      <c r="H99" s="135" t="s">
        <v>4</v>
      </c>
      <c r="I99" s="135" t="s">
        <v>4</v>
      </c>
      <c r="J99" s="135" t="s">
        <v>931</v>
      </c>
      <c r="K99" s="135" t="s">
        <v>147</v>
      </c>
      <c r="L99" s="135" t="s">
        <v>86</v>
      </c>
      <c r="M99" s="135" t="s">
        <v>923</v>
      </c>
      <c r="N99" s="135" t="s">
        <v>148</v>
      </c>
      <c r="O99" s="135" t="s">
        <v>932</v>
      </c>
      <c r="P99" s="135" t="s">
        <v>933</v>
      </c>
      <c r="Q99" s="135" t="s">
        <v>86</v>
      </c>
      <c r="R99" s="135" t="s">
        <v>934</v>
      </c>
      <c r="S99" s="135" t="s">
        <v>91</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935</v>
      </c>
      <c r="B100" s="135" t="s">
        <v>904</v>
      </c>
      <c r="C100" s="257" t="s">
        <v>47</v>
      </c>
      <c r="D100" s="135" t="s">
        <v>936</v>
      </c>
      <c r="E100" s="135" t="s">
        <v>937</v>
      </c>
      <c r="F100" s="135" t="s">
        <v>938</v>
      </c>
      <c r="G100" s="135" t="s">
        <v>939</v>
      </c>
      <c r="H100" s="135" t="s">
        <v>4</v>
      </c>
      <c r="I100" s="135" t="s">
        <v>940</v>
      </c>
      <c r="J100" s="135" t="s">
        <v>941</v>
      </c>
      <c r="K100" s="135" t="s">
        <v>147</v>
      </c>
      <c r="L100" s="135" t="s">
        <v>1</v>
      </c>
      <c r="M100" s="135" t="s">
        <v>1</v>
      </c>
      <c r="N100" s="135" t="s">
        <v>148</v>
      </c>
      <c r="O100" s="135" t="s">
        <v>942</v>
      </c>
      <c r="P100" s="135" t="s">
        <v>943</v>
      </c>
      <c r="Q100" s="135" t="s">
        <v>86</v>
      </c>
      <c r="R100" s="135" t="s">
        <v>944</v>
      </c>
      <c r="S100" s="135" t="s">
        <v>91</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945</v>
      </c>
      <c r="B101" s="135" t="s">
        <v>904</v>
      </c>
      <c r="C101" s="257" t="s">
        <v>47</v>
      </c>
      <c r="D101" s="135" t="s">
        <v>946</v>
      </c>
      <c r="E101" s="135" t="s">
        <v>947</v>
      </c>
      <c r="F101" s="135" t="s">
        <v>948</v>
      </c>
      <c r="G101" s="135" t="s">
        <v>949</v>
      </c>
      <c r="H101" s="135" t="s">
        <v>4</v>
      </c>
      <c r="I101" s="135" t="s">
        <v>950</v>
      </c>
      <c r="J101" s="135" t="s">
        <v>951</v>
      </c>
      <c r="K101" s="135" t="s">
        <v>147</v>
      </c>
      <c r="L101" s="135" t="s">
        <v>86</v>
      </c>
      <c r="M101" s="135" t="s">
        <v>923</v>
      </c>
      <c r="N101" s="135" t="s">
        <v>148</v>
      </c>
      <c r="O101" s="135" t="s">
        <v>952</v>
      </c>
      <c r="P101" s="135" t="s">
        <v>953</v>
      </c>
      <c r="Q101" s="135" t="s">
        <v>86</v>
      </c>
      <c r="R101" s="135" t="s">
        <v>954</v>
      </c>
      <c r="S101" s="135" t="s">
        <v>174</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955</v>
      </c>
      <c r="B102" s="135" t="s">
        <v>232</v>
      </c>
      <c r="C102" s="257" t="s">
        <v>47</v>
      </c>
      <c r="D102" s="135" t="s">
        <v>956</v>
      </c>
      <c r="E102" s="135" t="s">
        <v>957</v>
      </c>
      <c r="F102" s="135" t="s">
        <v>4</v>
      </c>
      <c r="G102" s="135" t="s">
        <v>958</v>
      </c>
      <c r="H102" s="135" t="s">
        <v>4</v>
      </c>
      <c r="I102" s="135" t="s">
        <v>8</v>
      </c>
      <c r="J102" s="135" t="s">
        <v>959</v>
      </c>
      <c r="K102" s="135" t="s">
        <v>147</v>
      </c>
      <c r="L102" s="135" t="s">
        <v>86</v>
      </c>
      <c r="M102" s="135" t="s">
        <v>923</v>
      </c>
      <c r="N102" s="135" t="s">
        <v>148</v>
      </c>
      <c r="O102" s="135" t="s">
        <v>960</v>
      </c>
      <c r="P102" s="135" t="s">
        <v>961</v>
      </c>
      <c r="Q102" s="135" t="s">
        <v>86</v>
      </c>
      <c r="R102" s="135" t="s">
        <v>962</v>
      </c>
      <c r="S102" s="135" t="s">
        <v>121</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963</v>
      </c>
      <c r="B103" s="135" t="s">
        <v>299</v>
      </c>
      <c r="C103" s="258" t="s">
        <v>53</v>
      </c>
      <c r="D103" s="135" t="s">
        <v>964</v>
      </c>
      <c r="E103" s="135" t="s">
        <v>965</v>
      </c>
      <c r="F103" s="135" t="s">
        <v>966</v>
      </c>
      <c r="G103" s="135" t="s">
        <v>967</v>
      </c>
      <c r="H103" s="135" t="s">
        <v>4</v>
      </c>
      <c r="I103" s="135" t="s">
        <v>968</v>
      </c>
      <c r="J103" s="135" t="s">
        <v>969</v>
      </c>
      <c r="K103" s="135" t="s">
        <v>970</v>
      </c>
      <c r="L103" s="135" t="s">
        <v>1</v>
      </c>
      <c r="M103" s="135" t="s">
        <v>1</v>
      </c>
      <c r="N103" s="135" t="s">
        <v>541</v>
      </c>
      <c r="O103" s="135" t="s">
        <v>971</v>
      </c>
      <c r="P103" s="135" t="s">
        <v>972</v>
      </c>
      <c r="Q103" s="135" t="s">
        <v>86</v>
      </c>
      <c r="R103" s="135" t="s">
        <v>973</v>
      </c>
      <c r="S103" s="135" t="s">
        <v>91</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974</v>
      </c>
      <c r="B104" s="135" t="s">
        <v>975</v>
      </c>
      <c r="C104" s="258" t="s">
        <v>53</v>
      </c>
      <c r="D104" s="135" t="s">
        <v>976</v>
      </c>
      <c r="E104" s="135" t="s">
        <v>977</v>
      </c>
      <c r="F104" s="135" t="s">
        <v>978</v>
      </c>
      <c r="G104" s="135" t="s">
        <v>979</v>
      </c>
      <c r="H104" s="135" t="s">
        <v>4</v>
      </c>
      <c r="I104" s="135" t="s">
        <v>980</v>
      </c>
      <c r="J104" s="135" t="s">
        <v>981</v>
      </c>
      <c r="K104" s="135" t="s">
        <v>147</v>
      </c>
      <c r="L104" s="135" t="s">
        <v>86</v>
      </c>
      <c r="M104" s="135" t="s">
        <v>923</v>
      </c>
      <c r="N104" s="135" t="s">
        <v>148</v>
      </c>
      <c r="O104" s="135" t="s">
        <v>982</v>
      </c>
      <c r="P104" s="135" t="s">
        <v>983</v>
      </c>
      <c r="Q104" s="135" t="s">
        <v>86</v>
      </c>
      <c r="R104" s="135" t="s">
        <v>984</v>
      </c>
      <c r="S104" s="135" t="s">
        <v>91</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985</v>
      </c>
      <c r="B105" s="135" t="s">
        <v>975</v>
      </c>
      <c r="C105" s="258" t="s">
        <v>53</v>
      </c>
      <c r="D105" s="135" t="s">
        <v>986</v>
      </c>
      <c r="E105" s="135" t="s">
        <v>987</v>
      </c>
      <c r="F105" s="135" t="s">
        <v>988</v>
      </c>
      <c r="G105" s="135" t="s">
        <v>989</v>
      </c>
      <c r="H105" s="135" t="s">
        <v>4</v>
      </c>
      <c r="I105" s="135" t="s">
        <v>4</v>
      </c>
      <c r="J105" s="135" t="s">
        <v>990</v>
      </c>
      <c r="K105" s="135" t="s">
        <v>147</v>
      </c>
      <c r="L105" s="135" t="s">
        <v>86</v>
      </c>
      <c r="M105" s="135" t="s">
        <v>923</v>
      </c>
      <c r="N105" s="135" t="s">
        <v>148</v>
      </c>
      <c r="O105" s="135" t="s">
        <v>991</v>
      </c>
      <c r="P105" s="135" t="s">
        <v>992</v>
      </c>
      <c r="Q105" s="135" t="s">
        <v>86</v>
      </c>
      <c r="R105" s="135" t="s">
        <v>993</v>
      </c>
      <c r="S105" s="135" t="s">
        <v>174</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994</v>
      </c>
      <c r="B106" s="135" t="s">
        <v>975</v>
      </c>
      <c r="C106" s="258" t="s">
        <v>53</v>
      </c>
      <c r="D106" s="135" t="s">
        <v>995</v>
      </c>
      <c r="E106" s="135" t="s">
        <v>996</v>
      </c>
      <c r="F106" s="135" t="s">
        <v>997</v>
      </c>
      <c r="G106" s="135" t="s">
        <v>998</v>
      </c>
      <c r="H106" s="135" t="s">
        <v>4</v>
      </c>
      <c r="I106" s="135" t="s">
        <v>4</v>
      </c>
      <c r="J106" s="135" t="s">
        <v>999</v>
      </c>
      <c r="K106" s="135" t="s">
        <v>147</v>
      </c>
      <c r="L106" s="135" t="s">
        <v>86</v>
      </c>
      <c r="M106" s="135" t="s">
        <v>923</v>
      </c>
      <c r="N106" s="135" t="s">
        <v>148</v>
      </c>
      <c r="O106" s="135" t="s">
        <v>1000</v>
      </c>
      <c r="P106" s="135" t="s">
        <v>1001</v>
      </c>
      <c r="Q106" s="135" t="s">
        <v>86</v>
      </c>
      <c r="R106" s="135" t="s">
        <v>1002</v>
      </c>
      <c r="S106" s="135" t="s">
        <v>446</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1003</v>
      </c>
      <c r="B107" s="135" t="s">
        <v>975</v>
      </c>
      <c r="C107" s="258" t="s">
        <v>53</v>
      </c>
      <c r="D107" s="135" t="s">
        <v>1004</v>
      </c>
      <c r="E107" s="135" t="s">
        <v>1005</v>
      </c>
      <c r="F107" s="135" t="s">
        <v>1006</v>
      </c>
      <c r="G107" s="135" t="s">
        <v>1007</v>
      </c>
      <c r="H107" s="135" t="s">
        <v>4</v>
      </c>
      <c r="I107" s="135" t="s">
        <v>4</v>
      </c>
      <c r="J107" s="135" t="s">
        <v>1008</v>
      </c>
      <c r="K107" s="135" t="s">
        <v>147</v>
      </c>
      <c r="L107" s="135" t="s">
        <v>86</v>
      </c>
      <c r="M107" s="135" t="s">
        <v>923</v>
      </c>
      <c r="N107" s="135" t="s">
        <v>148</v>
      </c>
      <c r="O107" s="135" t="s">
        <v>1009</v>
      </c>
      <c r="P107" s="135" t="s">
        <v>1010</v>
      </c>
      <c r="Q107" s="135" t="s">
        <v>86</v>
      </c>
      <c r="R107" s="135" t="s">
        <v>1011</v>
      </c>
      <c r="S107" s="135" t="s">
        <v>446</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1012</v>
      </c>
      <c r="B108" s="135" t="s">
        <v>777</v>
      </c>
      <c r="C108" s="258" t="s">
        <v>53</v>
      </c>
      <c r="D108" s="135" t="s">
        <v>64</v>
      </c>
      <c r="E108" s="135" t="s">
        <v>1013</v>
      </c>
      <c r="F108" s="135" t="s">
        <v>1014</v>
      </c>
      <c r="G108" s="135" t="s">
        <v>1015</v>
      </c>
      <c r="H108" s="135" t="s">
        <v>4</v>
      </c>
      <c r="I108" s="135" t="s">
        <v>1016</v>
      </c>
      <c r="J108" s="135" t="s">
        <v>1017</v>
      </c>
      <c r="K108" s="135" t="s">
        <v>307</v>
      </c>
      <c r="L108" s="135" t="s">
        <v>1</v>
      </c>
      <c r="M108" s="135" t="s">
        <v>1</v>
      </c>
      <c r="N108" s="135" t="s">
        <v>541</v>
      </c>
      <c r="O108" s="135" t="s">
        <v>1018</v>
      </c>
      <c r="P108" s="135" t="s">
        <v>1019</v>
      </c>
      <c r="Q108" s="135" t="s">
        <v>86</v>
      </c>
      <c r="R108" s="135" t="s">
        <v>1020</v>
      </c>
      <c r="S108" s="135" t="s">
        <v>1021</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1022</v>
      </c>
      <c r="B109" s="135" t="s">
        <v>904</v>
      </c>
      <c r="C109" s="259" t="s">
        <v>26</v>
      </c>
      <c r="D109" s="135" t="s">
        <v>1023</v>
      </c>
      <c r="E109" s="135" t="s">
        <v>1024</v>
      </c>
      <c r="F109" s="135" t="s">
        <v>1025</v>
      </c>
      <c r="G109" s="135" t="s">
        <v>1026</v>
      </c>
      <c r="H109" s="135" t="s">
        <v>4</v>
      </c>
      <c r="I109" s="135" t="s">
        <v>4</v>
      </c>
      <c r="J109" s="135" t="s">
        <v>1027</v>
      </c>
      <c r="K109" s="135" t="s">
        <v>147</v>
      </c>
      <c r="L109" s="135" t="s">
        <v>86</v>
      </c>
      <c r="M109" s="135" t="s">
        <v>1028</v>
      </c>
      <c r="N109" s="135" t="s">
        <v>1029</v>
      </c>
      <c r="O109" s="135" t="s">
        <v>1030</v>
      </c>
      <c r="P109" s="135" t="s">
        <v>1031</v>
      </c>
      <c r="Q109" s="135" t="s">
        <v>86</v>
      </c>
      <c r="R109" s="135" t="s">
        <v>1032</v>
      </c>
      <c r="S109" s="135" t="s">
        <v>174</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1033</v>
      </c>
      <c r="B110" s="135" t="s">
        <v>904</v>
      </c>
      <c r="C110" s="259" t="s">
        <v>26</v>
      </c>
      <c r="D110" s="135" t="s">
        <v>1034</v>
      </c>
      <c r="E110" s="135" t="s">
        <v>1035</v>
      </c>
      <c r="F110" s="135" t="s">
        <v>1036</v>
      </c>
      <c r="G110" s="135" t="s">
        <v>1037</v>
      </c>
      <c r="H110" s="135" t="s">
        <v>1038</v>
      </c>
      <c r="I110" s="135" t="s">
        <v>1039</v>
      </c>
      <c r="J110" s="135" t="s">
        <v>1040</v>
      </c>
      <c r="K110" s="135" t="s">
        <v>147</v>
      </c>
      <c r="L110" s="135" t="s">
        <v>86</v>
      </c>
      <c r="M110" s="135" t="s">
        <v>1028</v>
      </c>
      <c r="N110" s="135" t="s">
        <v>1029</v>
      </c>
      <c r="O110" s="135" t="s">
        <v>1041</v>
      </c>
      <c r="P110" s="135" t="s">
        <v>1042</v>
      </c>
      <c r="Q110" s="135" t="s">
        <v>86</v>
      </c>
      <c r="R110" s="135" t="s">
        <v>1043</v>
      </c>
      <c r="S110" s="135" t="s">
        <v>446</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1044</v>
      </c>
      <c r="B111" s="135" t="s">
        <v>218</v>
      </c>
      <c r="C111" s="259" t="s">
        <v>26</v>
      </c>
      <c r="D111" s="135" t="s">
        <v>1045</v>
      </c>
      <c r="E111" s="135" t="s">
        <v>1046</v>
      </c>
      <c r="F111" s="135" t="s">
        <v>1047</v>
      </c>
      <c r="G111" s="135" t="s">
        <v>1048</v>
      </c>
      <c r="H111" s="135" t="s">
        <v>4</v>
      </c>
      <c r="I111" s="135" t="s">
        <v>1049</v>
      </c>
      <c r="J111" s="135" t="s">
        <v>1050</v>
      </c>
      <c r="K111" s="135" t="s">
        <v>147</v>
      </c>
      <c r="L111" s="135" t="s">
        <v>86</v>
      </c>
      <c r="M111" s="135" t="s">
        <v>1028</v>
      </c>
      <c r="N111" s="135" t="s">
        <v>1029</v>
      </c>
      <c r="O111" s="135" t="s">
        <v>1051</v>
      </c>
      <c r="P111" s="135" t="s">
        <v>1052</v>
      </c>
      <c r="Q111" s="135" t="s">
        <v>86</v>
      </c>
      <c r="R111" s="135" t="s">
        <v>1053</v>
      </c>
      <c r="S111" s="135" t="s">
        <v>367</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1054</v>
      </c>
      <c r="B112" s="135" t="s">
        <v>218</v>
      </c>
      <c r="C112" s="259" t="s">
        <v>26</v>
      </c>
      <c r="D112" s="135" t="s">
        <v>1055</v>
      </c>
      <c r="E112" s="135" t="s">
        <v>1056</v>
      </c>
      <c r="F112" s="135" t="s">
        <v>1057</v>
      </c>
      <c r="G112" s="135" t="s">
        <v>1058</v>
      </c>
      <c r="H112" s="135" t="s">
        <v>4</v>
      </c>
      <c r="I112" s="135" t="s">
        <v>1059</v>
      </c>
      <c r="J112" s="135" t="s">
        <v>1060</v>
      </c>
      <c r="K112" s="135" t="s">
        <v>147</v>
      </c>
      <c r="L112" s="135" t="s">
        <v>1</v>
      </c>
      <c r="M112" s="135" t="s">
        <v>1</v>
      </c>
      <c r="N112" s="135" t="s">
        <v>1061</v>
      </c>
      <c r="O112" s="135" t="s">
        <v>1062</v>
      </c>
      <c r="P112" s="135" t="s">
        <v>1063</v>
      </c>
      <c r="Q112" s="135" t="s">
        <v>86</v>
      </c>
      <c r="R112" s="135" t="s">
        <v>1064</v>
      </c>
      <c r="S112" s="135" t="s">
        <v>1065</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1066</v>
      </c>
      <c r="B113" s="135" t="s">
        <v>299</v>
      </c>
      <c r="C113" s="259" t="s">
        <v>26</v>
      </c>
      <c r="D113" s="135" t="s">
        <v>1067</v>
      </c>
      <c r="E113" s="135" t="s">
        <v>1068</v>
      </c>
      <c r="F113" s="135" t="s">
        <v>1069</v>
      </c>
      <c r="G113" s="135" t="s">
        <v>1070</v>
      </c>
      <c r="H113" s="135" t="s">
        <v>1071</v>
      </c>
      <c r="I113" s="135" t="s">
        <v>1072</v>
      </c>
      <c r="J113" s="135" t="s">
        <v>1073</v>
      </c>
      <c r="K113" s="135" t="s">
        <v>147</v>
      </c>
      <c r="L113" s="135" t="s">
        <v>1</v>
      </c>
      <c r="M113" s="135" t="s">
        <v>1</v>
      </c>
      <c r="N113" s="135" t="s">
        <v>1074</v>
      </c>
      <c r="O113" s="135" t="s">
        <v>1075</v>
      </c>
      <c r="P113" s="135" t="s">
        <v>1076</v>
      </c>
      <c r="Q113" s="135" t="s">
        <v>86</v>
      </c>
      <c r="R113" s="135" t="s">
        <v>1077</v>
      </c>
      <c r="S113" s="135" t="s">
        <v>91</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1078</v>
      </c>
      <c r="B114" s="135" t="s">
        <v>1079</v>
      </c>
      <c r="C114" s="259" t="s">
        <v>26</v>
      </c>
      <c r="D114" s="135" t="s">
        <v>1080</v>
      </c>
      <c r="E114" s="135" t="s">
        <v>1081</v>
      </c>
      <c r="F114" s="135" t="s">
        <v>1082</v>
      </c>
      <c r="G114" s="135" t="s">
        <v>1083</v>
      </c>
      <c r="H114" s="135" t="s">
        <v>4</v>
      </c>
      <c r="I114" s="135" t="s">
        <v>1084</v>
      </c>
      <c r="J114" s="135" t="s">
        <v>1085</v>
      </c>
      <c r="K114" s="135" t="s">
        <v>147</v>
      </c>
      <c r="L114" s="135" t="s">
        <v>1</v>
      </c>
      <c r="M114" s="135" t="s">
        <v>1</v>
      </c>
      <c r="N114" s="135" t="s">
        <v>1061</v>
      </c>
      <c r="O114" s="135" t="s">
        <v>1086</v>
      </c>
      <c r="P114" s="135" t="s">
        <v>1087</v>
      </c>
      <c r="Q114" s="135" t="s">
        <v>86</v>
      </c>
      <c r="R114" s="135" t="s">
        <v>1088</v>
      </c>
      <c r="S114" s="135" t="s">
        <v>174</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1089</v>
      </c>
      <c r="B115" s="135" t="s">
        <v>218</v>
      </c>
      <c r="C115" s="259" t="s">
        <v>26</v>
      </c>
      <c r="D115" s="135" t="s">
        <v>1090</v>
      </c>
      <c r="E115" s="135" t="s">
        <v>1091</v>
      </c>
      <c r="F115" s="135" t="s">
        <v>1092</v>
      </c>
      <c r="G115" s="135" t="s">
        <v>1093</v>
      </c>
      <c r="H115" s="135" t="s">
        <v>4</v>
      </c>
      <c r="I115" s="135" t="s">
        <v>1094</v>
      </c>
      <c r="J115" s="135" t="s">
        <v>1095</v>
      </c>
      <c r="K115" s="135" t="s">
        <v>147</v>
      </c>
      <c r="L115" s="135" t="s">
        <v>86</v>
      </c>
      <c r="M115" s="135" t="s">
        <v>86</v>
      </c>
      <c r="N115" s="135" t="s">
        <v>1096</v>
      </c>
      <c r="O115" s="135" t="s">
        <v>1097</v>
      </c>
      <c r="P115" s="135" t="s">
        <v>1098</v>
      </c>
      <c r="Q115" s="135" t="s">
        <v>86</v>
      </c>
      <c r="R115" s="135" t="s">
        <v>1099</v>
      </c>
      <c r="S115" s="135" t="s">
        <v>367</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8" t="s">
        <v>1100</v>
      </c>
      <c r="B116" s="138" t="s">
        <v>123</v>
      </c>
      <c r="C116" s="531" t="s">
        <v>32</v>
      </c>
      <c r="D116" s="138" t="s">
        <v>1101</v>
      </c>
      <c r="E116" s="138" t="s">
        <v>1102</v>
      </c>
      <c r="F116" s="138" t="s">
        <v>126</v>
      </c>
      <c r="G116" s="138" t="s">
        <v>127</v>
      </c>
      <c r="H116" s="138" t="s">
        <v>128</v>
      </c>
      <c r="I116" s="138" t="s">
        <v>129</v>
      </c>
      <c r="J116" s="138" t="s">
        <v>1103</v>
      </c>
      <c r="K116" s="138" t="s">
        <v>1104</v>
      </c>
      <c r="L116" s="138" t="s">
        <v>1105</v>
      </c>
      <c r="M116" s="138" t="s">
        <v>97</v>
      </c>
      <c r="N116" s="138" t="s">
        <v>250</v>
      </c>
      <c r="O116" s="138" t="s">
        <v>1106</v>
      </c>
      <c r="P116" s="138" t="s">
        <v>1107</v>
      </c>
      <c r="Q116" s="138" t="s">
        <v>97</v>
      </c>
      <c r="R116" s="138" t="s">
        <v>1108</v>
      </c>
      <c r="S116" s="138" t="s">
        <v>474</v>
      </c>
      <c r="T116" s="138" t="s">
        <v>1109</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f>IF(T116="","",VALUE(LEFT(T116,SEARCH("/",T116)-1)))</f>
        <v>180</v>
      </c>
      <c r="W116" s="146">
        <f>IF(T116="","",VALUE(MID(T116,SEARCH("/",T116)+1,LEN(T116))))</f>
        <v>420</v>
      </c>
    </row>
    <row r="117" customFormat="false" ht="15" hidden="false" customHeight="false" outlineLevel="0" collapsed="false">
      <c r="A117" s="138" t="s">
        <v>1110</v>
      </c>
      <c r="B117" s="138" t="s">
        <v>123</v>
      </c>
      <c r="C117" s="531" t="s">
        <v>32</v>
      </c>
      <c r="D117" s="138" t="s">
        <v>1111</v>
      </c>
      <c r="E117" s="138" t="s">
        <v>1112</v>
      </c>
      <c r="F117" s="138" t="s">
        <v>126</v>
      </c>
      <c r="G117" s="138" t="s">
        <v>127</v>
      </c>
      <c r="H117" s="138" t="s">
        <v>128</v>
      </c>
      <c r="I117" s="138" t="s">
        <v>129</v>
      </c>
      <c r="J117" s="138" t="s">
        <v>1113</v>
      </c>
      <c r="K117" s="138" t="s">
        <v>131</v>
      </c>
      <c r="L117" s="138" t="s">
        <v>97</v>
      </c>
      <c r="M117" s="138" t="s">
        <v>97</v>
      </c>
      <c r="N117" s="138" t="s">
        <v>1</v>
      </c>
      <c r="O117" s="138" t="s">
        <v>1114</v>
      </c>
      <c r="P117" s="138" t="s">
        <v>1115</v>
      </c>
      <c r="Q117" s="138" t="s">
        <v>97</v>
      </c>
      <c r="R117" s="138" t="s">
        <v>1116</v>
      </c>
      <c r="S117" s="138" t="s">
        <v>435</v>
      </c>
      <c r="T117" s="138" t="s">
        <v>1117</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f>IF(T117="","",VALUE(LEFT(T117,SEARCH("/",T117)-1)))</f>
        <v>165</v>
      </c>
      <c r="W117" s="146">
        <f>IF(T117="","",VALUE(MID(T117,SEARCH("/",T117)+1,LEN(T117))))</f>
        <v>395</v>
      </c>
    </row>
    <row r="118" customFormat="false" ht="15" hidden="false" customHeight="false" outlineLevel="0" collapsed="false">
      <c r="A118" s="135" t="s">
        <v>1118</v>
      </c>
      <c r="B118" s="135" t="s">
        <v>299</v>
      </c>
      <c r="C118" s="261" t="s">
        <v>38</v>
      </c>
      <c r="D118" s="135" t="s">
        <v>1119</v>
      </c>
      <c r="E118" s="135" t="s">
        <v>1120</v>
      </c>
      <c r="F118" s="135" t="s">
        <v>4</v>
      </c>
      <c r="G118" s="135" t="s">
        <v>4</v>
      </c>
      <c r="H118" s="135" t="s">
        <v>4</v>
      </c>
      <c r="I118" s="135" t="s">
        <v>4</v>
      </c>
      <c r="J118" s="135" t="s">
        <v>1121</v>
      </c>
      <c r="K118" s="135" t="s">
        <v>821</v>
      </c>
      <c r="L118" s="135" t="s">
        <v>1</v>
      </c>
      <c r="M118" s="135" t="s">
        <v>1</v>
      </c>
      <c r="N118" s="135" t="s">
        <v>541</v>
      </c>
      <c r="O118" s="135" t="s">
        <v>1122</v>
      </c>
      <c r="P118" s="135" t="s">
        <v>1123</v>
      </c>
      <c r="Q118" s="135" t="s">
        <v>86</v>
      </c>
      <c r="R118" s="135" t="s">
        <v>1124</v>
      </c>
      <c r="S118" s="135" t="s">
        <v>367</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1125</v>
      </c>
      <c r="B119" s="135" t="s">
        <v>299</v>
      </c>
      <c r="C119" s="261" t="s">
        <v>38</v>
      </c>
      <c r="D119" s="135" t="s">
        <v>1126</v>
      </c>
      <c r="E119" s="135" t="s">
        <v>1127</v>
      </c>
      <c r="F119" s="135" t="s">
        <v>4</v>
      </c>
      <c r="G119" s="135" t="s">
        <v>4</v>
      </c>
      <c r="H119" s="135" t="s">
        <v>4</v>
      </c>
      <c r="I119" s="135" t="s">
        <v>4</v>
      </c>
      <c r="J119" s="135" t="s">
        <v>1128</v>
      </c>
      <c r="K119" s="135" t="s">
        <v>821</v>
      </c>
      <c r="L119" s="135" t="s">
        <v>1</v>
      </c>
      <c r="M119" s="135" t="s">
        <v>1</v>
      </c>
      <c r="N119" s="135" t="s">
        <v>541</v>
      </c>
      <c r="O119" s="135" t="s">
        <v>1129</v>
      </c>
      <c r="P119" s="135" t="s">
        <v>1130</v>
      </c>
      <c r="Q119" s="135" t="s">
        <v>86</v>
      </c>
      <c r="R119" s="135" t="s">
        <v>1131</v>
      </c>
      <c r="S119" s="135" t="s">
        <v>435</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1132</v>
      </c>
      <c r="B120" s="135" t="s">
        <v>218</v>
      </c>
      <c r="C120" s="261" t="s">
        <v>38</v>
      </c>
      <c r="D120" s="135" t="s">
        <v>1133</v>
      </c>
      <c r="E120" s="135" t="s">
        <v>1134</v>
      </c>
      <c r="F120" s="135" t="s">
        <v>1135</v>
      </c>
      <c r="G120" s="135" t="s">
        <v>1136</v>
      </c>
      <c r="H120" s="135" t="s">
        <v>4</v>
      </c>
      <c r="I120" s="135" t="s">
        <v>4</v>
      </c>
      <c r="J120" s="135" t="s">
        <v>1137</v>
      </c>
      <c r="K120" s="135" t="s">
        <v>147</v>
      </c>
      <c r="L120" s="135" t="s">
        <v>86</v>
      </c>
      <c r="M120" s="135" t="s">
        <v>86</v>
      </c>
      <c r="N120" s="135" t="s">
        <v>1096</v>
      </c>
      <c r="O120" s="135" t="s">
        <v>1138</v>
      </c>
      <c r="P120" s="135" t="s">
        <v>1139</v>
      </c>
      <c r="Q120" s="135" t="s">
        <v>86</v>
      </c>
      <c r="R120" s="135" t="s">
        <v>1140</v>
      </c>
      <c r="S120" s="135" t="s">
        <v>1141</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1142</v>
      </c>
      <c r="B121" s="135" t="s">
        <v>218</v>
      </c>
      <c r="C121" s="255" t="s">
        <v>44</v>
      </c>
      <c r="D121" s="135" t="s">
        <v>1143</v>
      </c>
      <c r="E121" s="135" t="s">
        <v>1144</v>
      </c>
      <c r="F121" s="135" t="s">
        <v>1145</v>
      </c>
      <c r="G121" s="135" t="s">
        <v>1146</v>
      </c>
      <c r="H121" s="135" t="s">
        <v>4</v>
      </c>
      <c r="I121" s="135" t="s">
        <v>1147</v>
      </c>
      <c r="J121" s="135" t="s">
        <v>1148</v>
      </c>
      <c r="K121" s="135" t="s">
        <v>1149</v>
      </c>
      <c r="L121" s="135" t="s">
        <v>1</v>
      </c>
      <c r="M121" s="135" t="s">
        <v>1</v>
      </c>
      <c r="N121" s="135" t="s">
        <v>1150</v>
      </c>
      <c r="O121" s="135" t="s">
        <v>1151</v>
      </c>
      <c r="P121" s="135" t="s">
        <v>1152</v>
      </c>
      <c r="Q121" s="135" t="s">
        <v>86</v>
      </c>
      <c r="R121" s="135" t="s">
        <v>1153</v>
      </c>
      <c r="S121" s="135" t="s">
        <v>174</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1154</v>
      </c>
      <c r="B122" s="135" t="s">
        <v>218</v>
      </c>
      <c r="C122" s="255" t="s">
        <v>44</v>
      </c>
      <c r="D122" s="135" t="s">
        <v>1155</v>
      </c>
      <c r="E122" s="135" t="s">
        <v>1156</v>
      </c>
      <c r="F122" s="135" t="s">
        <v>1157</v>
      </c>
      <c r="G122" s="135" t="s">
        <v>1158</v>
      </c>
      <c r="H122" s="135" t="s">
        <v>1159</v>
      </c>
      <c r="I122" s="135" t="s">
        <v>1160</v>
      </c>
      <c r="J122" s="135" t="s">
        <v>1161</v>
      </c>
      <c r="K122" s="135" t="s">
        <v>86</v>
      </c>
      <c r="L122" s="135" t="s">
        <v>1</v>
      </c>
      <c r="M122" s="135" t="s">
        <v>1</v>
      </c>
      <c r="N122" s="135" t="s">
        <v>1150</v>
      </c>
      <c r="O122" s="135" t="s">
        <v>1162</v>
      </c>
      <c r="P122" s="135" t="s">
        <v>1163</v>
      </c>
      <c r="Q122" s="135" t="s">
        <v>86</v>
      </c>
      <c r="R122" s="135" t="s">
        <v>1164</v>
      </c>
      <c r="S122" s="135" t="s">
        <v>379</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1165</v>
      </c>
      <c r="B123" s="135" t="s">
        <v>232</v>
      </c>
      <c r="C123" s="255" t="s">
        <v>44</v>
      </c>
      <c r="D123" s="135" t="s">
        <v>1166</v>
      </c>
      <c r="E123" s="135" t="s">
        <v>1167</v>
      </c>
      <c r="F123" s="135" t="s">
        <v>4</v>
      </c>
      <c r="G123" s="135" t="s">
        <v>1168</v>
      </c>
      <c r="H123" s="135" t="s">
        <v>4</v>
      </c>
      <c r="I123" s="135" t="s">
        <v>8</v>
      </c>
      <c r="J123" s="135" t="s">
        <v>1169</v>
      </c>
      <c r="K123" s="135" t="s">
        <v>86</v>
      </c>
      <c r="L123" s="135" t="s">
        <v>1</v>
      </c>
      <c r="M123" s="135" t="s">
        <v>1</v>
      </c>
      <c r="N123" s="135" t="s">
        <v>1150</v>
      </c>
      <c r="O123" s="135" t="s">
        <v>1170</v>
      </c>
      <c r="P123" s="135" t="s">
        <v>1171</v>
      </c>
      <c r="Q123" s="135" t="s">
        <v>86</v>
      </c>
      <c r="R123" s="135" t="s">
        <v>1172</v>
      </c>
      <c r="S123" s="135" t="s">
        <v>121</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1173</v>
      </c>
      <c r="B124" s="135" t="s">
        <v>218</v>
      </c>
      <c r="C124" s="255" t="s">
        <v>44</v>
      </c>
      <c r="D124" s="135" t="s">
        <v>1174</v>
      </c>
      <c r="E124" s="135" t="s">
        <v>1175</v>
      </c>
      <c r="F124" s="135" t="s">
        <v>1176</v>
      </c>
      <c r="G124" s="135" t="s">
        <v>1177</v>
      </c>
      <c r="H124" s="135" t="s">
        <v>4</v>
      </c>
      <c r="I124" s="135" t="s">
        <v>1178</v>
      </c>
      <c r="J124" s="135" t="s">
        <v>1179</v>
      </c>
      <c r="K124" s="135" t="s">
        <v>86</v>
      </c>
      <c r="L124" s="135" t="s">
        <v>1</v>
      </c>
      <c r="M124" s="135" t="s">
        <v>1</v>
      </c>
      <c r="N124" s="135" t="s">
        <v>1150</v>
      </c>
      <c r="O124" s="135" t="s">
        <v>1180</v>
      </c>
      <c r="P124" s="135" t="s">
        <v>1181</v>
      </c>
      <c r="Q124" s="135" t="s">
        <v>86</v>
      </c>
      <c r="R124" s="135" t="s">
        <v>1182</v>
      </c>
      <c r="S124" s="135" t="s">
        <v>446</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1183</v>
      </c>
      <c r="B125" s="135" t="s">
        <v>218</v>
      </c>
      <c r="C125" s="255" t="s">
        <v>44</v>
      </c>
      <c r="D125" s="135" t="s">
        <v>1184</v>
      </c>
      <c r="E125" s="135" t="s">
        <v>1185</v>
      </c>
      <c r="F125" s="135" t="s">
        <v>1186</v>
      </c>
      <c r="G125" s="135" t="s">
        <v>1187</v>
      </c>
      <c r="H125" s="135" t="s">
        <v>4</v>
      </c>
      <c r="I125" s="135" t="s">
        <v>1188</v>
      </c>
      <c r="J125" s="135" t="s">
        <v>1189</v>
      </c>
      <c r="K125" s="135" t="s">
        <v>1190</v>
      </c>
      <c r="L125" s="135" t="s">
        <v>1</v>
      </c>
      <c r="M125" s="135" t="s">
        <v>1</v>
      </c>
      <c r="N125" s="135" t="s">
        <v>1150</v>
      </c>
      <c r="O125" s="135" t="s">
        <v>1191</v>
      </c>
      <c r="P125" s="135" t="s">
        <v>1192</v>
      </c>
      <c r="Q125" s="135" t="s">
        <v>86</v>
      </c>
      <c r="R125" s="135" t="s">
        <v>1193</v>
      </c>
      <c r="S125" s="135" t="s">
        <v>91</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1194</v>
      </c>
      <c r="B126" s="135" t="s">
        <v>1195</v>
      </c>
      <c r="C126" s="255" t="s">
        <v>44</v>
      </c>
      <c r="D126" s="135" t="s">
        <v>1196</v>
      </c>
      <c r="E126" s="135" t="s">
        <v>1197</v>
      </c>
      <c r="F126" s="135" t="s">
        <v>4</v>
      </c>
      <c r="G126" s="135" t="s">
        <v>4</v>
      </c>
      <c r="H126" s="135" t="s">
        <v>4</v>
      </c>
      <c r="I126" s="135" t="s">
        <v>1198</v>
      </c>
      <c r="J126" s="135" t="s">
        <v>1199</v>
      </c>
      <c r="K126" s="135" t="s">
        <v>1200</v>
      </c>
      <c r="L126" s="135" t="s">
        <v>1</v>
      </c>
      <c r="M126" s="135" t="s">
        <v>1</v>
      </c>
      <c r="N126" s="135" t="s">
        <v>1201</v>
      </c>
      <c r="O126" s="135" t="s">
        <v>1202</v>
      </c>
      <c r="P126" s="135" t="s">
        <v>1203</v>
      </c>
      <c r="Q126" s="135" t="s">
        <v>86</v>
      </c>
      <c r="R126" s="135" t="s">
        <v>1204</v>
      </c>
      <c r="S126" s="135" t="s">
        <v>1205</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1206</v>
      </c>
      <c r="B127" s="135" t="s">
        <v>1207</v>
      </c>
      <c r="C127" s="263" t="s">
        <v>50</v>
      </c>
      <c r="D127" s="135" t="s">
        <v>64</v>
      </c>
      <c r="E127" s="135" t="s">
        <v>1208</v>
      </c>
      <c r="F127" s="135" t="s">
        <v>1209</v>
      </c>
      <c r="G127" s="135" t="s">
        <v>4</v>
      </c>
      <c r="H127" s="135" t="s">
        <v>4</v>
      </c>
      <c r="I127" s="135" t="s">
        <v>4</v>
      </c>
      <c r="J127" s="135" t="s">
        <v>4</v>
      </c>
      <c r="K127" s="135" t="s">
        <v>821</v>
      </c>
      <c r="L127" s="135" t="s">
        <v>1</v>
      </c>
      <c r="M127" s="135" t="s">
        <v>1</v>
      </c>
      <c r="N127" s="135" t="s">
        <v>308</v>
      </c>
      <c r="O127" s="135" t="s">
        <v>1210</v>
      </c>
      <c r="P127" s="135" t="s">
        <v>1211</v>
      </c>
      <c r="Q127" s="135" t="s">
        <v>86</v>
      </c>
      <c r="R127" s="135" t="s">
        <v>1212</v>
      </c>
      <c r="S127" s="135" t="s">
        <v>1213</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1214</v>
      </c>
      <c r="B128" s="135" t="s">
        <v>218</v>
      </c>
      <c r="C128" s="263" t="s">
        <v>50</v>
      </c>
      <c r="D128" s="135" t="s">
        <v>1215</v>
      </c>
      <c r="E128" s="135" t="s">
        <v>1216</v>
      </c>
      <c r="F128" s="135" t="s">
        <v>1217</v>
      </c>
      <c r="G128" s="135" t="s">
        <v>1218</v>
      </c>
      <c r="H128" s="135" t="s">
        <v>1219</v>
      </c>
      <c r="I128" s="135" t="s">
        <v>1220</v>
      </c>
      <c r="J128" s="135" t="s">
        <v>1221</v>
      </c>
      <c r="K128" s="135" t="s">
        <v>147</v>
      </c>
      <c r="L128" s="135" t="s">
        <v>1</v>
      </c>
      <c r="M128" s="135" t="s">
        <v>1</v>
      </c>
      <c r="N128" s="135" t="s">
        <v>1222</v>
      </c>
      <c r="O128" s="135" t="s">
        <v>1223</v>
      </c>
      <c r="P128" s="135" t="s">
        <v>1224</v>
      </c>
      <c r="Q128" s="135" t="s">
        <v>86</v>
      </c>
      <c r="R128" s="135" t="s">
        <v>1225</v>
      </c>
      <c r="S128" s="135" t="s">
        <v>367</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1226</v>
      </c>
      <c r="B129" s="135" t="s">
        <v>218</v>
      </c>
      <c r="C129" s="263" t="s">
        <v>50</v>
      </c>
      <c r="D129" s="135" t="s">
        <v>1227</v>
      </c>
      <c r="E129" s="135" t="s">
        <v>1228</v>
      </c>
      <c r="F129" s="135" t="s">
        <v>1229</v>
      </c>
      <c r="G129" s="135" t="s">
        <v>1230</v>
      </c>
      <c r="H129" s="135" t="s">
        <v>1231</v>
      </c>
      <c r="I129" s="135" t="s">
        <v>1232</v>
      </c>
      <c r="J129" s="135" t="s">
        <v>1233</v>
      </c>
      <c r="K129" s="135" t="s">
        <v>147</v>
      </c>
      <c r="L129" s="135" t="s">
        <v>1</v>
      </c>
      <c r="M129" s="135" t="s">
        <v>1</v>
      </c>
      <c r="N129" s="135" t="s">
        <v>1222</v>
      </c>
      <c r="O129" s="135" t="s">
        <v>1234</v>
      </c>
      <c r="P129" s="135" t="s">
        <v>1235</v>
      </c>
      <c r="Q129" s="135" t="s">
        <v>86</v>
      </c>
      <c r="R129" s="135" t="s">
        <v>1236</v>
      </c>
      <c r="S129" s="135" t="s">
        <v>1237</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1238</v>
      </c>
      <c r="B130" s="135" t="s">
        <v>218</v>
      </c>
      <c r="C130" s="263" t="s">
        <v>50</v>
      </c>
      <c r="D130" s="135" t="s">
        <v>1239</v>
      </c>
      <c r="E130" s="135" t="s">
        <v>1240</v>
      </c>
      <c r="F130" s="135" t="s">
        <v>1241</v>
      </c>
      <c r="G130" s="135" t="s">
        <v>1242</v>
      </c>
      <c r="H130" s="135" t="s">
        <v>1243</v>
      </c>
      <c r="I130" s="135" t="s">
        <v>1244</v>
      </c>
      <c r="J130" s="135" t="s">
        <v>1245</v>
      </c>
      <c r="K130" s="135" t="s">
        <v>86</v>
      </c>
      <c r="L130" s="135" t="s">
        <v>1</v>
      </c>
      <c r="M130" s="135" t="s">
        <v>1</v>
      </c>
      <c r="N130" s="135" t="s">
        <v>1222</v>
      </c>
      <c r="O130" s="135" t="s">
        <v>1246</v>
      </c>
      <c r="P130" s="135" t="s">
        <v>1247</v>
      </c>
      <c r="Q130" s="135" t="s">
        <v>86</v>
      </c>
      <c r="R130" s="135" t="s">
        <v>1248</v>
      </c>
      <c r="S130" s="135" t="s">
        <v>1249</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1250</v>
      </c>
      <c r="B131" s="135" t="s">
        <v>218</v>
      </c>
      <c r="C131" s="243" t="s">
        <v>55</v>
      </c>
      <c r="D131" s="135" t="s">
        <v>1251</v>
      </c>
      <c r="E131" s="135" t="s">
        <v>1252</v>
      </c>
      <c r="F131" s="135" t="s">
        <v>4</v>
      </c>
      <c r="G131" s="135" t="s">
        <v>1253</v>
      </c>
      <c r="H131" s="135" t="s">
        <v>4</v>
      </c>
      <c r="I131" s="135" t="s">
        <v>1254</v>
      </c>
      <c r="J131" s="135" t="s">
        <v>1255</v>
      </c>
      <c r="K131" s="135" t="s">
        <v>147</v>
      </c>
      <c r="L131" s="135" t="s">
        <v>1</v>
      </c>
      <c r="M131" s="135" t="s">
        <v>1</v>
      </c>
      <c r="N131" s="135" t="s">
        <v>1222</v>
      </c>
      <c r="O131" s="135" t="s">
        <v>1256</v>
      </c>
      <c r="P131" s="135" t="s">
        <v>1257</v>
      </c>
      <c r="Q131" s="135" t="s">
        <v>86</v>
      </c>
      <c r="R131" s="135" t="s">
        <v>1258</v>
      </c>
      <c r="S131" s="135" t="s">
        <v>91</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row r="132" customFormat="false" ht="15" hidden="false" customHeight="false" outlineLevel="0" collapsed="false">
      <c r="A132" s="135" t="s">
        <v>1259</v>
      </c>
      <c r="B132" s="135" t="s">
        <v>218</v>
      </c>
      <c r="C132" s="243" t="s">
        <v>55</v>
      </c>
      <c r="D132" s="135" t="s">
        <v>1260</v>
      </c>
      <c r="E132" s="135" t="s">
        <v>1261</v>
      </c>
      <c r="F132" s="135" t="s">
        <v>1262</v>
      </c>
      <c r="G132" s="135" t="s">
        <v>1263</v>
      </c>
      <c r="H132" s="135" t="s">
        <v>1264</v>
      </c>
      <c r="I132" s="135" t="s">
        <v>1265</v>
      </c>
      <c r="J132" s="135" t="s">
        <v>1266</v>
      </c>
      <c r="K132" s="135" t="s">
        <v>86</v>
      </c>
      <c r="L132" s="135" t="s">
        <v>86</v>
      </c>
      <c r="M132" s="135" t="s">
        <v>1</v>
      </c>
      <c r="N132" s="135" t="s">
        <v>1222</v>
      </c>
      <c r="O132" s="135" t="s">
        <v>1267</v>
      </c>
      <c r="P132" s="135" t="s">
        <v>1268</v>
      </c>
      <c r="Q132" s="135" t="s">
        <v>86</v>
      </c>
      <c r="R132" s="135" t="s">
        <v>1269</v>
      </c>
      <c r="S132" s="135" t="s">
        <v>91</v>
      </c>
      <c r="T132" s="135" t="s">
        <v>1</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Done</v>
      </c>
      <c r="V132" s="146">
        <f>IF(T132="","",VALUE(LEFT(T132,SEARCH("/",T132)-1)))</f>
        <v/>
      </c>
      <c r="W132" s="146">
        <f>IF(T132="","",VALUE(MID(T132,SEARCH("/",T132)+1,LEN(T132))))</f>
        <v/>
      </c>
    </row>
    <row r="133" customFormat="false" ht="15" hidden="false" customHeight="false" outlineLevel="0" collapsed="false">
      <c r="A133" s="135" t="s">
        <v>1270</v>
      </c>
      <c r="B133" s="135" t="s">
        <v>218</v>
      </c>
      <c r="C133" s="243" t="s">
        <v>55</v>
      </c>
      <c r="D133" s="135" t="s">
        <v>1271</v>
      </c>
      <c r="E133" s="135" t="s">
        <v>1272</v>
      </c>
      <c r="F133" s="135" t="s">
        <v>4</v>
      </c>
      <c r="G133" s="135" t="s">
        <v>1273</v>
      </c>
      <c r="H133" s="135" t="s">
        <v>4</v>
      </c>
      <c r="I133" s="135" t="s">
        <v>1274</v>
      </c>
      <c r="J133" s="135" t="s">
        <v>1275</v>
      </c>
      <c r="K133" s="135" t="s">
        <v>147</v>
      </c>
      <c r="L133" s="135" t="s">
        <v>1</v>
      </c>
      <c r="M133" s="135" t="s">
        <v>1</v>
      </c>
      <c r="N133" s="135" t="s">
        <v>1222</v>
      </c>
      <c r="O133" s="135" t="s">
        <v>1276</v>
      </c>
      <c r="P133" s="135" t="s">
        <v>1277</v>
      </c>
      <c r="Q133" s="135" t="s">
        <v>86</v>
      </c>
      <c r="R133" s="135" t="s">
        <v>1278</v>
      </c>
      <c r="S133" s="135" t="s">
        <v>174</v>
      </c>
      <c r="T133" s="135" t="s">
        <v>1</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Done</v>
      </c>
      <c r="V133" s="146">
        <f>IF(T133="","",VALUE(LEFT(T133,SEARCH("/",T133)-1)))</f>
        <v/>
      </c>
      <c r="W133" s="146">
        <f>IF(T133="","",VALUE(MID(T133,SEARCH("/",T133)+1,LEN(T133))))</f>
        <v/>
      </c>
    </row>
    <row r="134" customFormat="false" ht="15" hidden="false" customHeight="false" outlineLevel="0" collapsed="false">
      <c r="A134" s="135" t="s">
        <v>1279</v>
      </c>
      <c r="B134" s="135" t="s">
        <v>218</v>
      </c>
      <c r="C134" s="243" t="s">
        <v>55</v>
      </c>
      <c r="D134" s="135" t="s">
        <v>1280</v>
      </c>
      <c r="E134" s="135" t="s">
        <v>1281</v>
      </c>
      <c r="F134" s="135" t="s">
        <v>1282</v>
      </c>
      <c r="G134" s="135" t="s">
        <v>1283</v>
      </c>
      <c r="H134" s="135" t="s">
        <v>4</v>
      </c>
      <c r="I134" s="135" t="s">
        <v>1284</v>
      </c>
      <c r="J134" s="135" t="s">
        <v>1285</v>
      </c>
      <c r="K134" s="135" t="s">
        <v>86</v>
      </c>
      <c r="L134" s="135" t="s">
        <v>86</v>
      </c>
      <c r="M134" s="135" t="s">
        <v>1</v>
      </c>
      <c r="N134" s="135" t="s">
        <v>1222</v>
      </c>
      <c r="O134" s="135" t="s">
        <v>1286</v>
      </c>
      <c r="P134" s="135" t="s">
        <v>1287</v>
      </c>
      <c r="Q134" s="135" t="s">
        <v>86</v>
      </c>
      <c r="R134" s="135" t="s">
        <v>1288</v>
      </c>
      <c r="S134" s="135" t="s">
        <v>1141</v>
      </c>
      <c r="T134" s="135" t="s">
        <v>1</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Done</v>
      </c>
      <c r="V134" s="146">
        <f>IF(T134="","",VALUE(LEFT(T134,SEARCH("/",T134)-1)))</f>
        <v/>
      </c>
      <c r="W134" s="146">
        <f>IF(T134="","",VALUE(MID(T134,SEARCH("/",T134)+1,LEN(T134))))</f>
        <v/>
      </c>
    </row>
    <row r="135" customFormat="false" ht="15" hidden="false" customHeight="false" outlineLevel="0" collapsed="false">
      <c r="A135" s="135" t="s">
        <v>1289</v>
      </c>
      <c r="B135" s="135" t="s">
        <v>102</v>
      </c>
      <c r="C135" s="243" t="s">
        <v>55</v>
      </c>
      <c r="D135" s="135" t="s">
        <v>1290</v>
      </c>
      <c r="E135" s="135" t="s">
        <v>1291</v>
      </c>
      <c r="F135" s="135" t="s">
        <v>4</v>
      </c>
      <c r="G135" s="135" t="s">
        <v>1292</v>
      </c>
      <c r="H135" s="135" t="s">
        <v>4</v>
      </c>
      <c r="I135" s="135" t="s">
        <v>1293</v>
      </c>
      <c r="J135" s="135" t="s">
        <v>1294</v>
      </c>
      <c r="K135" s="135" t="s">
        <v>86</v>
      </c>
      <c r="L135" s="135" t="s">
        <v>86</v>
      </c>
      <c r="M135" s="135" t="s">
        <v>97</v>
      </c>
      <c r="N135" s="135" t="s">
        <v>107</v>
      </c>
      <c r="O135" s="135" t="s">
        <v>1295</v>
      </c>
      <c r="P135" s="135" t="s">
        <v>1296</v>
      </c>
      <c r="Q135" s="135" t="s">
        <v>86</v>
      </c>
      <c r="R135" s="135" t="s">
        <v>1297</v>
      </c>
      <c r="S135" s="135" t="s">
        <v>1298</v>
      </c>
      <c r="T135" s="135" t="s">
        <v>1</v>
      </c>
      <c r="U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Done</v>
      </c>
      <c r="V135" s="146">
        <f>IF(T135="","",VALUE(LEFT(T135,SEARCH("/",T135)-1)))</f>
        <v/>
      </c>
      <c r="W135" s="146">
        <f>IF(T135="","",VALUE(MID(T135,SEARCH("/",T135)+1,LEN(T135))))</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