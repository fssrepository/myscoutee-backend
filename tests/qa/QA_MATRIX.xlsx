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IN_DYNAMIC_SURFACES_QA_MATRI" sheetId="1" state="visible" r:id="rId2"/>
  </sheets>
  <calcPr iterateCount="100" refMode="A1" iterate="false" iterateDelta="0.001" calcMode="auto" fullCalcOnLoad="1" forceFullCalc="1"/>
  <extLst>
    <ext uri="{7626C862-2A13-11E5-B345-FEFF819CDC9F}">
      <ns2:extCalcPr stringRefSyntax="CalcA1"/>
    </ext>
  </extLst>
</workbook>
</file>

<file path=xl/sharedStrings.xml><?xml version="1.0" encoding="utf-8"?>
<sst xmlns="http://schemas.openxmlformats.org/spreadsheetml/2006/main" count="1160" uniqueCount="284">
  <si>
    <t>EFFECT / SCOPE MARKERS</t>
  </si>
  <si>
    <t/>
  </si>
  <si>
    <t>Done</t>
  </si>
  <si>
    <t>41 (100%)</t>
  </si>
  <si>
    <t>X</t>
  </si>
  <si>
    <t>No expected effect — An unchanged X cell is PASS</t>
  </si>
  <si>
    <t>Pending</t>
  </si>
  <si>
    <t>0</t>
  </si>
  <si>
    <t>DELTA</t>
  </si>
  <si>
    <t>Required direct effect — Record before/after count and direction</t>
  </si>
  <si>
    <t>Not started</t>
  </si>
  <si>
    <t>INDIRECT</t>
  </si>
  <si>
    <t>Conditional effect — State the condition and prove it occurred</t>
  </si>
  <si>
    <t>Failed</t>
  </si>
  <si>
    <t>GAP</t>
  </si>
  <si>
    <t>Known observability gap — Record FAIL/GAP separately from domain PASS</t>
  </si>
  <si>
    <t>Total</t>
  </si>
  <si>
    <t>41</t>
  </si>
  <si>
    <t>DOMAIN PRIORITY</t>
  </si>
  <si>
    <t>QA domain</t>
  </si>
  <si>
    <t>Priority</t>
  </si>
  <si>
    <t>Progress / remaining min/max</t>
  </si>
  <si>
    <t>API test</t>
  </si>
  <si>
    <t>15</t>
  </si>
  <si>
    <t>5 passed / 5 total (100%) · 0/0</t>
  </si>
  <si>
    <t>Group</t>
  </si>
  <si>
    <t>8</t>
  </si>
  <si>
    <t>3 passed / 3 total (100%) · 0/0</t>
  </si>
  <si>
    <t>QA infrastructure</t>
  </si>
  <si>
    <t>14</t>
  </si>
  <si>
    <t>1 passed / 1 total (100%) · 0/0</t>
  </si>
  <si>
    <t>Content</t>
  </si>
  <si>
    <t>7</t>
  </si>
  <si>
    <t>Identity &amp; access</t>
  </si>
  <si>
    <t>13</t>
  </si>
  <si>
    <t>4 passed / 4 total (100%) · 0/0</t>
  </si>
  <si>
    <t>Notifications</t>
  </si>
  <si>
    <t>6</t>
  </si>
  <si>
    <t>Event</t>
  </si>
  <si>
    <t>12</t>
  </si>
  <si>
    <t>10 passed / 10 total (100%) · 0/0</t>
  </si>
  <si>
    <t>Administration</t>
  </si>
  <si>
    <t>5</t>
  </si>
  <si>
    <t>Tournament</t>
  </si>
  <si>
    <t>11</t>
  </si>
  <si>
    <t>General UI</t>
  </si>
  <si>
    <t>4</t>
  </si>
  <si>
    <t>Chat</t>
  </si>
  <si>
    <t>10</t>
  </si>
  <si>
    <t>Operator</t>
  </si>
  <si>
    <t>3</t>
  </si>
  <si>
    <t>Asset</t>
  </si>
  <si>
    <t>9</t>
  </si>
  <si>
    <t>QA TEST CASES</t>
  </si>
  <si>
    <t>ENVIRONMENTS</t>
  </si>
  <si>
    <t>ID</t>
  </si>
  <si>
    <t>Type</t>
  </si>
  <si>
    <t>Area</t>
  </si>
  <si>
    <t>Scenario</t>
  </si>
  <si>
    <t>Statistics</t>
  </si>
  <si>
    <t>Monitoring / Metrics</t>
  </si>
  <si>
    <t>Affinity Graph</t>
  </si>
  <si>
    <t>Admin Jobs</t>
  </si>
  <si>
    <t>Domain / other UI</t>
  </si>
  <si>
    <t>Manual status</t>
  </si>
  <si>
    <t>Dev</t>
  </si>
  <si>
    <t>Local</t>
  </si>
  <si>
    <t>Last manual date</t>
  </si>
  <si>
    <t>Automated coverage</t>
  </si>
  <si>
    <t>Next manual oracle</t>
  </si>
  <si>
    <t>Result</t>
  </si>
  <si>
    <t>Evidence / notes</t>
  </si>
  <si>
    <t>Manual QA priority</t>
  </si>
  <si>
    <t>Remaining QA complexity (min/max)</t>
  </si>
  <si>
    <t>API-RESOURCES</t>
  </si>
  <si>
    <t>Consolidated journey</t>
  </si>
  <si>
    <t>API resources and participant links</t>
  </si>
  <si>
    <t>Create a scoped API key and use the existing client to create image-bearing Event and Asset resources; inspect the same resources through the normal UI; Follow participant links with a new registration and an existing account. Verify claim ownership, workspace selection and the terminal membership decision.</t>
  </si>
  <si>
    <t>PASS / CLOSED — recorded scope</t>
  </si>
  <si>
    <t>PASS — recorded scope</t>
  </si>
  <si>
    <t>2026-09-28</t>
  </si>
  <si>
    <t>Previously executed checks; accepted boundary recorded in checklist.</t>
  </si>
  <si>
    <t>Closed; no replay scheduled.</t>
  </si>
  <si>
    <t>PASS</t>
  </si>
  <si>
    <t>categories/API%20test/api-resources.md#recorded-result</t>
  </si>
  <si>
    <t>P0 100</t>
  </si>
  <si>
    <t>INTEGRATION-ACCESS</t>
  </si>
  <si>
    <t>API/MCP permissions, OAuth and Events</t>
  </si>
  <si>
    <t>Open integration settings; check the combined read, four access choices, one-time secrets and masked reopen; Change a child selection, discard its parent and reopen; save through the parent and verify persisted permissions in HTTP and applicable local mode.</t>
  </si>
  <si>
    <t>2026-10-15</t>
  </si>
  <si>
    <t>categories/API%20test/integration-access.md#recorded-result</t>
  </si>
  <si>
    <t>REFERRALS</t>
  </si>
  <si>
    <t>Referral invitation, turnover and refunds</t>
  </si>
  <si>
    <t>Register through a personal referral link, import participants and claim one through the normal account flow; Repeat and reload; inspect stable referral/import counters and verify revocation does not erase recorded attribution.</t>
  </si>
  <si>
    <t>PASS — accepted samples</t>
  </si>
  <si>
    <t>2026-09-24</t>
  </si>
  <si>
    <t>categories/API%20test/referrals.md#recorded-result</t>
  </si>
  <si>
    <t>ADMIN-CLIENT</t>
  </si>
  <si>
    <t>Administrator client connection and monitoring</t>
  </si>
  <si>
    <t>Create the scoped administrator key and connect the prepared Linux client; Compare its aggregate metrics and configured polling with the server-side values.</t>
  </si>
  <si>
    <t>NOT RUN</t>
  </si>
  <si>
    <t>2026-09-23</t>
  </si>
  <si>
    <t>categories/API%20test/admin-client.md#recorded-result</t>
  </si>
  <si>
    <t>P0 80</t>
  </si>
  <si>
    <t>CAMPAIGN-API</t>
  </si>
  <si>
    <t>Campaign draft API and ownership</t>
  </si>
  <si>
    <t>Use the existing Work-profile integration permission to create one Campaign draft; Verify the same draft in Campaigns and deny another group identity ownership or mutation.</t>
  </si>
  <si>
    <t>categories/API%20test/campaign-api.md#recorded-result</t>
  </si>
  <si>
    <t>P1</t>
  </si>
  <si>
    <t>FIXTURE-RESTORATION</t>
  </si>
  <si>
    <t>Fixture and session restoration</t>
  </si>
  <si>
    <t>Retain the existing fixture, session and parameter snapshots before a scoped flow; Let the selected real scheduler produce its invitation/notification; inspect the scoped result.</t>
  </si>
  <si>
    <t>2026-08-30</t>
  </si>
  <si>
    <t>categories/QA%20infrastructure/fixture-restoration.md#recorded-result</t>
  </si>
  <si>
    <t>ENTRY</t>
  </si>
  <si>
    <t>Entry, consent, sessions and configured identity</t>
  </si>
  <si>
    <t>Open the public entry in the supported product modes and verify articles, localized controls, demo selection and retained mode/workspace identity; Accept required consent and optional choices; check rejection, revised policies, retained optional choices and reload without repeated acceptance of the same revision.</t>
  </si>
  <si>
    <t>N/A / NOT RUN</t>
  </si>
  <si>
    <t>categories/Identity%20%26%20access/entry.md#recorded-result</t>
  </si>
  <si>
    <t>ROLES</t>
  </si>
  <si>
    <t>Member, administrator and operator boundaries</t>
  </si>
  <si>
    <t>Use three isolated role sessions and compare their menus, route/API access and scoped counters; Save and reopen the controlled branding change without changing another role session.</t>
  </si>
  <si>
    <t>2026-08-31</t>
  </si>
  <si>
    <t>categories/Identity%20%26%20access/roles.md#recorded-result</t>
  </si>
  <si>
    <t>P1 94</t>
  </si>
  <si>
    <t>ACCOUNT-PURGE</t>
  </si>
  <si>
    <t>Deleted account purge</t>
  </si>
  <si>
    <t>Prepare the bounded deleted-account fixture through the existing owner; Let the real due purge job execute and inspect retained/reference and unreferenced branches.</t>
  </si>
  <si>
    <t>categories/Identity%20%26%20access/account-purge.md#recorded-result</t>
  </si>
  <si>
    <t>P0 98</t>
  </si>
  <si>
    <t>ROLE-GUIDES</t>
  </si>
  <si>
    <t>Role guides and notification destinations</t>
  </si>
  <si>
    <t>Open the already-produced Operator release/join/security notifications and verify destination routing and target consumption; Inspect each unique Operator and Admin guide binding once, using the existing registered/claim prerequisites where required.</t>
  </si>
  <si>
    <t>2026-10-16</t>
  </si>
  <si>
    <t>categories/Identity%20%26%20access/role-guides.md#recorded-result</t>
  </si>
  <si>
    <t>EVENT-LIFECYCLE</t>
  </si>
  <si>
    <t>Event definition, membership and lifecycle</t>
  </si>
  <si>
    <t>Create, save and reopen the Event definition, its local-time range and optional recurring/stage definition; compare the stored value and runtime/occurrence cards; Publish once with the prepared accepted/pending members; inspect canonical creator membership, occupancy and chat materialization.</t>
  </si>
  <si>
    <t>PARTIAL</t>
  </si>
  <si>
    <t>2026-09-30</t>
  </si>
  <si>
    <t>categories/Event/event-lifecycle.md#recorded-result</t>
  </si>
  <si>
    <t>EVENT-FORMATS</t>
  </si>
  <si>
    <t>Meeting formats and reciprocal ratings</t>
  </si>
  <si>
    <t>Check saved Explore filters, localized landing/About help and the Standard external-link save/update/clear/reopen loop; Use the recorded Standard/categories/Tournament/Speed meeting branches and inspect actual round pause/resume/manual/automatic transitions and saved history.</t>
  </si>
  <si>
    <t>2026-09-22</t>
  </si>
  <si>
    <t>categories/Event/event-formats.md#recorded-result</t>
  </si>
  <si>
    <t>P0 99</t>
  </si>
  <si>
    <t>EVENT-FEEDBACK</t>
  </si>
  <si>
    <t>Event feedback and profile impressions</t>
  </si>
  <si>
    <t>Open eligible feedback at the recorded time/membership boundary and compare the closed/ineligible control; Submit the prepared responses and optional opinion, then inspect the organizer/recipient view, notification and target recompute.</t>
  </si>
  <si>
    <t>2026-08-05</t>
  </si>
  <si>
    <t>categories/Event/event-feedback.md#recorded-result</t>
  </si>
  <si>
    <t>P0 96</t>
  </si>
  <si>
    <t>EVENT-PAYMENTS</t>
  </si>
  <si>
    <t>Event checkout, payment history and cards</t>
  </si>
  <si>
    <t>From Explore inspect paid review and a resumable basket; cancel, reopen and complete the recorded Stripe checkout through the normal provider flow; Compare free, approval-required, waitlist and Cash-only behavior, including terminal participation and the read-only payment summary.</t>
  </si>
  <si>
    <t>categories/Event/event-payments.md#recorded-result</t>
  </si>
  <si>
    <t>TICKETS</t>
  </si>
  <si>
    <t>Ticket issue, attendance and offline controls</t>
  </si>
  <si>
    <t>Enable ticketing, publish and compare accepted and pending membership: only the terminal accepted participant receives one usable physical credential; Verify join/cancel/reload and later Admin approval, including an ordinary member invitation and a second similar Event isolation control.</t>
  </si>
  <si>
    <t>2026-08-13</t>
  </si>
  <si>
    <t>categories/Event/tickets.md#recorded-result</t>
  </si>
  <si>
    <t>EVENT-WORKERS</t>
  </si>
  <si>
    <t>Event scheduler lifecycle</t>
  </si>
  <si>
    <t>Prepare bounded random-group, invitation, counter/ticket-expiry and checkout-basket-purge inputs through the existing fixtures; Let each selected real scheduler process its due input once and compare durable state, recipient views and recorded metrics.</t>
  </si>
  <si>
    <t>2026-09-02</t>
  </si>
  <si>
    <t>categories/Event/event-workers.md#recorded-result</t>
  </si>
  <si>
    <t>P0 84</t>
  </si>
  <si>
    <t>MEDIA-GALLERIES</t>
  </si>
  <si>
    <t>Managed images, galleries and shared moderation</t>
  </si>
  <si>
    <t>Upload the controlled non-square image through the normal editor and reopen its canonical managed URL and image variants; Edit/reopen the shared multi-image gallery and metadata; compare read-only Event, Article and profile consumers.</t>
  </si>
  <si>
    <t>categories/Event/media-galleries.md#recorded-result</t>
  </si>
  <si>
    <t>CALENDAR</t>
  </si>
  <si>
    <t>Calendar export and import</t>
  </si>
  <si>
    <t>Download the member snapshot of own upcoming/ongoing published or accepted Events; Check privacy, stable identifiers and the real Android import window.</t>
  </si>
  <si>
    <t>categories/Event/calendar.md#recorded-result</t>
  </si>
  <si>
    <t>P1 73</t>
  </si>
  <si>
    <t>WORK-EVENTS</t>
  </si>
  <si>
    <t>Campaign-scoped Events</t>
  </si>
  <si>
    <t>Create an Event with a Campaign selected and verify its own capacity and invitation priorities remain authoritative; Use Campaign filters in Events and feedback, then clear them to return to the unfiltered view.</t>
  </si>
  <si>
    <t>PARTIAL — recorded samples</t>
  </si>
  <si>
    <t>categories/Event/work-events.md#recorded-result</t>
  </si>
  <si>
    <t>FOLLOWING</t>
  </si>
  <si>
    <t>Organizer following and Event discovery</t>
  </si>
  <si>
    <t>Follow the organizer through the ordinary categories/Event/Activities menu and inspect the confirmation and signed save delta; Compare current-Event counters, filtered Explore and shared Members with the unrelated control.</t>
  </si>
  <si>
    <t>categories/Event/following.md#recorded-result</t>
  </si>
  <si>
    <t>TOURNAMENTS</t>
  </si>
  <si>
    <t>Tournament stages, scores and membership</t>
  </si>
  <si>
    <t>Reopen the saved stage definition, run real grouping and compare parent/stage/group runtime cards and accepted membership; Start/finalize the stages and let the real review worker advance the result into the next/final stage.</t>
  </si>
  <si>
    <t>PARITY IMPLEMENTED / NOT EXECUTED</t>
  </si>
  <si>
    <t>categories/Tournament/tournaments.md#recorded-result</t>
  </si>
  <si>
    <t>TOURNAMENT-RESOURCES</t>
  </si>
  <si>
    <t>Generated-group resources</t>
  </si>
  <si>
    <t>Assign the controlled Transport, Accommodation and Supplies to one generated Tournament group; Inspect each persisted group, stage and root-event aggregate through their normal views.</t>
  </si>
  <si>
    <t>categories/Tournament/tournament-resources.md#recorded-result</t>
  </si>
  <si>
    <t>COMMUNITY-FORMATS</t>
  </si>
  <si>
    <t>Community meeting formats</t>
  </si>
  <si>
    <t>Use the prepared private Community Mingle/Tournament flow and verify its configured non-affinity behavior; Compare manual/automatic notification recipients with the independent Dating control.</t>
  </si>
  <si>
    <t>categories/Tournament/community-formats.md#recorded-result</t>
  </si>
  <si>
    <t>CHAT</t>
  </si>
  <si>
    <t>Conversation lifecycle, actions and authority</t>
  </si>
  <si>
    <t>Compare Admin, accepted, pending, left and unrelated membership against the same categories/Event/Group conversation; Send once and inspect history, typing, recipient unread/read receipts and reconnect catch-up across the prepared users.</t>
  </si>
  <si>
    <t>categories/Chat/chat.md#recorded-result</t>
  </si>
  <si>
    <t>CALLS</t>
  </si>
  <si>
    <t>Group audio/video calls</t>
  </si>
  <si>
    <t>Open the call through the chat phone control and check microphone permission, decline/denial/retry and teardown of pending media; Verify synchronized microphone/camera/tile/volume/fullscreen controls and the recorded translated error presentation.</t>
  </si>
  <si>
    <t>N/A (no call transport)</t>
  </si>
  <si>
    <t>categories/Chat/calls.md#recorded-result</t>
  </si>
  <si>
    <t>CONTEXTUAL-CHAT</t>
  </si>
  <si>
    <t>Campaign and Community case conversations</t>
  </si>
  <si>
    <t>Rate the Campaign through its normal flow before asking its organizer; inspect the recipient-only direct question conversation; Compare the separate real Event group conversation and repeated open/send controls.</t>
  </si>
  <si>
    <t>PARTIAL — recorded samples / NOT RUN</t>
  </si>
  <si>
    <t>categories/Chat/contextual-chat.md#recorded-result</t>
  </si>
  <si>
    <t>ASSETS</t>
  </si>
  <si>
    <t>Assets, borrowing, payment and assignment</t>
  </si>
  <si>
    <t>Create/reopen the Asset and compare owner/member/outsider visibility and actor-specific lifecycle buckets; Invite/request/approve/reject through the scoped membership flow and inspect pending counters and notifications.</t>
  </si>
  <si>
    <t>2026-09-17</t>
  </si>
  <si>
    <t>categories/Asset/assets.md#recorded-result</t>
  </si>
  <si>
    <t>PRIVATE-GROUPS</t>
  </si>
  <si>
    <t>Private groups and workspace isolation</t>
  </si>
  <si>
    <t>Create/reopen/publish the private group and its media, policies, invitations and workspace identity; Join/approve/leave/restore through the accepted lifecycle; inspect live member/chat/list/bucket results without cross-workspace leakage.</t>
  </si>
  <si>
    <t>categories/Group/private-groups.md#recorded-result</t>
  </si>
  <si>
    <t>P0 92</t>
  </si>
  <si>
    <t>WORK-COMMUNITY</t>
  </si>
  <si>
    <t>Work Campaigns and Community services/cases</t>
  </si>
  <si>
    <t>Open/claim the Work and Community invitation links and verify explicit workspace membership and independent Dating behavior; Create/reopen/publish/edit/unpublish/trash/restore a Campaign, including its documents, discovery cards and category/state controls.</t>
  </si>
  <si>
    <t>NOT RUN / PARTIAL — recorded samples</t>
  </si>
  <si>
    <t>categories/Group/work-community.md#recorded-result</t>
  </si>
  <si>
    <t>CENTRAL-FEEDBACK</t>
  </si>
  <si>
    <t>Central Feedback and evaluation forms</t>
  </si>
  <si>
    <t>Open the existing Feedback UI and inspect the single owned list request and its role/workspace boundary; Create/edit/reopen the retained evaluation form through the configured normal controls.</t>
  </si>
  <si>
    <t>categories/Group/central-feedback.md#recorded-result</t>
  </si>
  <si>
    <t>P1 80</t>
  </si>
  <si>
    <t>CONTENT</t>
  </si>
  <si>
    <t>Content revisions, articles and publication</t>
  </si>
  <si>
    <t>Create an inactive governed-content revision, reopen it, activate it and compare the public localized document; Delete the active revision and inspect the newest remaining fallback and immutable revision history.</t>
  </si>
  <si>
    <t>categories/Content/content.md#recorded-result</t>
  </si>
  <si>
    <t>P0 94</t>
  </si>
  <si>
    <t>NOTIFICATION-INBOX</t>
  </si>
  <si>
    <t>Notification rules, delivery and inbox</t>
  </si>
  <si>
    <t>Use the already-produced domain event or the prepared message-rule fixture; let the real rule/run/outbox path deliver its output; Compare recipient New/All buckets, counters and the correct destination, including rating/feedback and Administrator consumers.</t>
  </si>
  <si>
    <t>2026-09-15</t>
  </si>
  <si>
    <t>categories/Notifications/notification-inbox.md#recorded-result</t>
  </si>
  <si>
    <t>MOBILE-CLIENTS</t>
  </si>
  <si>
    <t>Installed mobile client, push and offline state</t>
  </si>
  <si>
    <t>Use the recorded physical device and configured deployment boundary for foreground/background/closed-client delivery and deep-link targets; Check token/permission changes, login/account switch/logout isolation and retained notification state.</t>
  </si>
  <si>
    <t>categories/Notifications/mobile-clients.md#recorded-result</t>
  </si>
  <si>
    <t>LIVE-REFRESH</t>
  </si>
  <si>
    <t>Foreground/background refresh behavior</t>
  </si>
  <si>
    <t>Keep the selected popup open and observe its foreground polling and stable visible list/counters; Close it and verify the background owner resumes without duplicate polling or stale presentation.</t>
  </si>
  <si>
    <t>2026-09-14</t>
  </si>
  <si>
    <t>categories/Notifications/live-refresh.md#recorded-result</t>
  </si>
  <si>
    <t>P1 65</t>
  </si>
  <si>
    <t>ADMIN-MONITORING</t>
  </si>
  <si>
    <t>Administration dashboards and jobs</t>
  </si>
  <si>
    <t>Open the dashboard baseline and compare the recorded statistics, monitoring and job state; Inspect the result of a producer already exercised by its domain case; compare its before/after metrics without repeating the producer.</t>
  </si>
  <si>
    <t>categories/Administration/admin-monitoring.md#recorded-result</t>
  </si>
  <si>
    <t>AFFINITY-GRAPH</t>
  </si>
  <si>
    <t>Affinity graph exploration</t>
  </si>
  <si>
    <t>Open the existing graph and inspect loading, selection and navigation through its normal controls; Exercise the recorded materialization/refresh boundary and compare the independent graph state.</t>
  </si>
  <si>
    <t>2026-09-16</t>
  </si>
  <si>
    <t>categories/Administration/affinity-graph.md#recorded-result</t>
  </si>
  <si>
    <t>P2 52</t>
  </si>
  <si>
    <t>PARAMETERS</t>
  </si>
  <si>
    <t>Administrative parameters and role scope</t>
  </si>
  <si>
    <t>Open each retained parameter section and verify validation, save/reopen and explicit clearing where configured; Inspect the documented effect at its existing domain owner rather than introducing another domain producer test.</t>
  </si>
  <si>
    <t>categories/Administration/parameters.md#recorded-result</t>
  </si>
  <si>
    <t>P3 38</t>
  </si>
  <si>
    <t>CONTEXTUAL-GUIDES</t>
  </si>
  <si>
    <t>Contextual guides and launcher behavior</t>
  </si>
  <si>
    <t>Open each distinct retained contextual guide once in the appropriate role/workspace and follow its bound controls; Check introduction/consent precedence, close/return behavior and persisted dismissal through reload.</t>
  </si>
  <si>
    <t>categories/General%20UI/contextual-guides.md#recorded-result</t>
  </si>
  <si>
    <t>OPERATOR-CONFIGURATION</t>
  </si>
  <si>
    <t>Operator configuration and email lifecycle</t>
  </si>
  <si>
    <t>Test/save/reopen the configured deployment/Firebase capability and inspect its masked/private fields and resulting public capability; Configure the non-delivering email provider fixture and let the bounded deletion-warning job execute.</t>
  </si>
  <si>
    <t>categories/Operator/operator-configuration.md#recorded-result</t>
  </si>
  <si>
    <t>OPERATOR-NETWORK</t>
  </si>
  <si>
    <t>Operator registration, community and revenue</t>
  </si>
  <si>
    <t>Follow explicit registration, binding and claim through their existing owner and inspect the retained community/deployment views; Compare recorded measurements and revenue aggregation, report and settlement.</t>
  </si>
  <si>
    <t>categories/Operator/operator-network.md#recorded-result</t>
  </si>
  <si>
    <t>OPERATOR-UPDATES</t>
  </si>
  <si>
    <t>Signed installation, update, rollback and HTTPS</t>
  </si>
  <si>
    <t>Inspect one verified compatible signed release and apply it once on the prepared QA target; Observe the durable job through download/install/restart/reconnect, then reopen the installed version and retained data/configuration.</t>
  </si>
  <si>
    <t>categories/Operator/operator-updates.md#recorded-result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</si>
</sst>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</fonts>
  <fills count="41">
    <fill>
      <patternFill patternType="none"/>
    </fill>
    <fill>
      <patternFill patternType="gray125"/>
    </fill>
    <fill>
      <patternFill patternType="solid">
        <fgColor rgb="FF44546A"/>
        <bgColor rgb="FF1F4E78"/>
      </patternFill>
    </fill>
    <fill>
      <patternFill patternType="solid">
        <fgColor rgb="FF4472C4"/>
        <bgColor rgb="FF5B9BD5"/>
      </patternFill>
    </fill>
    <fill>
      <patternFill patternType="solid">
        <fgColor rgb="FFBFBFBF"/>
        <bgColor rgb="FFB4C6E7"/>
      </patternFill>
    </fill>
    <fill>
      <patternFill patternType="solid">
        <fgColor rgb="FF92D050"/>
        <bgColor rgb="FFBFBFBF"/>
      </patternFill>
    </fill>
    <fill>
      <patternFill patternType="solid">
        <fgColor rgb="FF5B9BD5"/>
        <bgColor rgb="FF4472C4"/>
      </patternFill>
    </fill>
    <fill>
      <patternFill patternType="solid">
        <fgColor rgb="FFFFC000"/>
        <bgColor rgb="FFFF9900"/>
      </patternFill>
    </fill>
    <fill>
      <patternFill patternType="solid">
        <fgColor rgb="FFB4A7D6"/>
        <bgColor rgb="FFBFBFBF"/>
      </patternFill>
    </fill>
    <fill>
      <patternFill patternType="solid">
        <fgColor rgb="FFB4C6E7"/>
        <bgColor rgb="FFBFBFBF"/>
      </patternFill>
    </fill>
    <fill>
      <patternFill patternType="solid">
        <fgColor rgb="FFFF7C80"/>
        <bgColor rgb="FFFF6666"/>
      </patternFill>
    </fill>
    <fill>
      <patternFill patternType="solid">
        <fgColor rgb="FFFF6666"/>
        <bgColor rgb="FFFF7C80"/>
      </patternFill>
    </fill>
    <fill>
      <patternFill patternType="solid">
        <fgColor rgb="FF1F4E78"/>
        <bgColor rgb="FF44546A"/>
      </patternFill>
    </fill>
    <fill>
      <patternFill patternType="solid">
        <fgColor rgb="FF7FC8C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BD7E7"/>
        <bgColor indexed="64"/>
      </patternFill>
    </fill>
    <fill>
      <patternFill patternType="solid">
        <fgColor rgb="FFEAF7BE"/>
        <bgColor indexed="64"/>
      </patternFill>
    </fill>
    <fill>
      <patternFill patternType="solid">
        <fgColor rgb="FFD9EAD3"/>
        <bgColor indexed="64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44546A"/>
      </left>
      <right/>
      <top style="medium">
        <color rgb="FF44546A"/>
      </top>
      <bottom/>
      <diagonal/>
    </border>
    <border diagonalUp="false" diagonalDown="false">
      <left/>
      <right/>
      <top style="medium">
        <color rgb="FF44546A"/>
      </top>
      <bottom/>
      <diagonal/>
    </border>
    <border diagonalUp="false" diagonalDown="false">
      <left/>
      <right style="medium">
        <color rgb="FF44546A"/>
      </right>
      <top/>
      <bottom/>
      <diagonal/>
    </border>
    <border diagonalUp="false" diagonalDown="false">
      <left style="medium">
        <color rgb="FF44546A"/>
      </left>
      <right/>
      <top/>
      <bottom/>
      <diagonal/>
    </border>
    <border diagonalUp="false" diagonalDown="false">
      <left/>
      <right/>
      <top/>
      <bottom style="medium">
        <color rgb="FF44546A"/>
      </bottom>
      <diagonal/>
    </border>
    <border diagonalUp="false" diagonalDown="false">
      <left/>
      <right style="medium">
        <color rgb="FF44546A"/>
      </right>
      <top/>
      <bottom style="medium">
        <color rgb="FF44546A"/>
      </bottom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>
      <left/>
      <right style="medium">
        <color rgb="FF44546A"/>
      </right>
      <top style="medium">
        <color rgb="FF44546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Fill="true" applyBorder="false" applyAlignment="false" applyProtection="false"/>
    <xf numFmtId="164" fontId="0" fillId="7" borderId="0" xfId="0" applyFont="false" applyFill="true" applyBorder="false" applyAlignment="false" applyProtection="false"/>
    <xf numFmtId="164" fontId="0" fillId="11" borderId="0" xfId="0" applyFont="false" applyFill="true" applyBorder="false" applyAlignment="false" applyProtection="false"/>
    <xf numFmtId="164" fontId="0" fillId="9" borderId="0" xfId="0" applyFont="false" applyFill="true" applyBorder="false" applyAlignment="false" applyProtection="false"/>
    <xf numFmtId="164" fontId="0" fillId="4" borderId="0" xfId="0" applyFont="false" applyFill="true" applyBorder="false" applyAlignment="false" applyProtection="false"/>
    <xf numFmtId="164" fontId="0" fillId="6" borderId="0" xfId="0" applyFont="false" applyFill="true" applyBorder="false" applyAlignment="false" applyProtection="false"/>
    <xf numFmtId="164" fontId="0" fillId="8" borderId="0" xfId="0" applyFont="false" applyFill="true" applyBorder="false" applyAlignment="false" applyProtection="false"/>
    <xf numFmtId="164" fontId="0" fillId="10" borderId="0" xfId="0" applyFont="false" applyFill="true" applyBorder="false" applyAlignment="false" applyProtection="false"/>
    <xf numFmtId="164" fontId="4" fillId="12" borderId="0" xfId="0" applyFont="true" applyFill="true" applyBorder="false" applyAlignment="false" applyProtection="false"/>
    <xf numFmtId="164" fontId="4" fillId="2" borderId="0" xfId="0" applyFont="true" applyFill="true" applyBorder="false" applyAlignment="false" applyProtection="false"/>
    <xf numFmtId="164" fontId="4" fillId="3" borderId="0" xfId="0" applyFont="true" applyFill="true" applyBorder="false" applyAlignment="false" applyProtection="false"/>
    <xf numFmtId="164" fontId="0" fillId="5" borderId="1" xfId="0" applyFont="false" applyFill="true" applyBorder="true" applyAlignment="false" applyProtection="false"/>
    <xf numFmtId="164" fontId="0" fillId="5" borderId="2" xfId="0" applyFont="false" applyFill="true" applyBorder="true" applyAlignment="false" applyProtection="false"/>
    <xf numFmtId="164" fontId="0" fillId="5" borderId="9" xfId="0" applyFont="false" applyFill="true" applyBorder="true" applyAlignment="false" applyProtection="false"/>
    <xf numFmtId="164" fontId="0" fillId="5" borderId="4" xfId="0" applyFont="false" applyFill="true" applyBorder="true" applyAlignment="false" applyProtection="false"/>
    <xf numFmtId="164" fontId="0" fillId="5" borderId="3" xfId="0" applyFont="false" applyFill="true" applyBorder="true" applyAlignment="false" applyProtection="false"/>
    <xf numFmtId="164" fontId="0" fillId="5" borderId="7" xfId="0" applyFont="false" applyFill="true" applyBorder="true" applyAlignment="false" applyProtection="false"/>
    <xf numFmtId="164" fontId="0" fillId="5" borderId="5" xfId="0" applyFont="false" applyFill="true" applyBorder="true" applyAlignment="false" applyProtection="false"/>
    <xf numFmtId="164" fontId="0" fillId="5" borderId="6" xfId="0" applyFont="false" applyFill="true" applyBorder="true" applyAlignment="false" applyProtection="false"/>
    <xf numFmtId="164" fontId="0" fillId="7" borderId="1" xfId="0" applyFont="false" applyFill="true" applyBorder="true" applyAlignment="false" applyProtection="false"/>
    <xf numFmtId="164" fontId="0" fillId="7" borderId="2" xfId="0" applyFont="false" applyFill="true" applyBorder="true" applyAlignment="false" applyProtection="false"/>
    <xf numFmtId="164" fontId="0" fillId="7" borderId="9" xfId="0" applyFont="false" applyFill="true" applyBorder="true" applyAlignment="false" applyProtection="false"/>
    <xf numFmtId="164" fontId="0" fillId="7" borderId="4" xfId="0" applyFont="false" applyFill="true" applyBorder="true" applyAlignment="false" applyProtection="false"/>
    <xf numFmtId="164" fontId="0" fillId="7" borderId="3" xfId="0" applyFont="false" applyFill="true" applyBorder="true" applyAlignment="false" applyProtection="false"/>
    <xf numFmtId="164" fontId="0" fillId="7" borderId="7" xfId="0" applyFont="false" applyFill="true" applyBorder="true" applyAlignment="false" applyProtection="false"/>
    <xf numFmtId="164" fontId="0" fillId="7" borderId="5" xfId="0" applyFont="false" applyFill="true" applyBorder="true" applyAlignment="false" applyProtection="false"/>
    <xf numFmtId="164" fontId="0" fillId="7" borderId="6" xfId="0" applyFont="false" applyFill="true" applyBorder="true" applyAlignment="false" applyProtection="false"/>
    <xf numFmtId="164" fontId="0" fillId="11" borderId="1" xfId="0" applyFont="false" applyFill="true" applyBorder="true" applyAlignment="false" applyProtection="false"/>
    <xf numFmtId="164" fontId="0" fillId="11" borderId="2" xfId="0" applyFont="false" applyFill="true" applyBorder="true" applyAlignment="false" applyProtection="false"/>
    <xf numFmtId="164" fontId="0" fillId="11" borderId="9" xfId="0" applyFont="false" applyFill="true" applyBorder="true" applyAlignment="false" applyProtection="false"/>
    <xf numFmtId="164" fontId="0" fillId="11" borderId="4" xfId="0" applyFont="false" applyFill="true" applyBorder="true" applyAlignment="false" applyProtection="false"/>
    <xf numFmtId="164" fontId="0" fillId="11" borderId="3" xfId="0" applyFont="false" applyFill="true" applyBorder="true" applyAlignment="false" applyProtection="false"/>
    <xf numFmtId="164" fontId="0" fillId="11" borderId="7" xfId="0" applyFont="false" applyFill="true" applyBorder="true" applyAlignment="false" applyProtection="false"/>
    <xf numFmtId="164" fontId="0" fillId="11" borderId="5" xfId="0" applyFont="false" applyFill="true" applyBorder="true" applyAlignment="false" applyProtection="false"/>
    <xf numFmtId="164" fontId="0" fillId="11" borderId="6" xfId="0" applyFont="false" applyFill="true" applyBorder="true" applyAlignment="false" applyProtection="false"/>
    <xf numFmtId="164" fontId="0" fillId="9" borderId="1" xfId="0" applyFont="false" applyFill="true" applyBorder="true" applyAlignment="false" applyProtection="false"/>
    <xf numFmtId="164" fontId="0" fillId="9" borderId="2" xfId="0" applyFont="false" applyFill="true" applyBorder="true" applyAlignment="false" applyProtection="false"/>
    <xf numFmtId="164" fontId="0" fillId="9" borderId="9" xfId="0" applyFont="false" applyFill="true" applyBorder="true" applyAlignment="false" applyProtection="false"/>
    <xf numFmtId="164" fontId="0" fillId="9" borderId="4" xfId="0" applyFont="false" applyFill="true" applyBorder="true" applyAlignment="false" applyProtection="false"/>
    <xf numFmtId="164" fontId="0" fillId="9" borderId="3" xfId="0" applyFont="false" applyFill="true" applyBorder="true" applyAlignment="false" applyProtection="false"/>
    <xf numFmtId="164" fontId="0" fillId="9" borderId="7" xfId="0" applyFont="false" applyFill="true" applyBorder="true" applyAlignment="false" applyProtection="false"/>
    <xf numFmtId="164" fontId="0" fillId="9" borderId="5" xfId="0" applyFont="false" applyFill="true" applyBorder="true" applyAlignment="false" applyProtection="false"/>
    <xf numFmtId="164" fontId="0" fillId="9" borderId="6" xfId="0" applyFont="false" applyFill="true" applyBorder="true" applyAlignment="false" applyProtection="false"/>
    <xf numFmtId="164" fontId="0" fillId="4" borderId="1" xfId="0" applyFont="false" applyFill="true" applyBorder="true" applyAlignment="false" applyProtection="false"/>
    <xf numFmtId="164" fontId="0" fillId="4" borderId="2" xfId="0" applyFont="false" applyFill="true" applyBorder="true" applyAlignment="false" applyProtection="false"/>
    <xf numFmtId="164" fontId="0" fillId="4" borderId="9" xfId="0" applyFont="false" applyFill="true" applyBorder="true" applyAlignment="false" applyProtection="false"/>
    <xf numFmtId="164" fontId="0" fillId="4" borderId="4" xfId="0" applyFont="false" applyFill="true" applyBorder="true" applyAlignment="false" applyProtection="false"/>
    <xf numFmtId="164" fontId="0" fillId="4" borderId="3" xfId="0" applyFont="false" applyFill="true" applyBorder="true" applyAlignment="false" applyProtection="false"/>
    <xf numFmtId="164" fontId="0" fillId="4" borderId="7" xfId="0" applyFont="false" applyFill="true" applyBorder="true" applyAlignment="false" applyProtection="false"/>
    <xf numFmtId="164" fontId="0" fillId="4" borderId="5" xfId="0" applyFont="false" applyFill="true" applyBorder="true" applyAlignment="false" applyProtection="false"/>
    <xf numFmtId="164" fontId="0" fillId="4" borderId="6" xfId="0" applyFont="false" applyFill="true" applyBorder="true" applyAlignment="false" applyProtection="false"/>
    <xf numFmtId="164" fontId="0" fillId="6" borderId="1" xfId="0" applyFont="false" applyFill="true" applyBorder="true" applyAlignment="false" applyProtection="false"/>
    <xf numFmtId="164" fontId="0" fillId="6" borderId="2" xfId="0" applyFont="false" applyFill="true" applyBorder="true" applyAlignment="false" applyProtection="false"/>
    <xf numFmtId="164" fontId="0" fillId="6" borderId="9" xfId="0" applyFont="false" applyFill="true" applyBorder="true" applyAlignment="false" applyProtection="false"/>
    <xf numFmtId="164" fontId="0" fillId="6" borderId="4" xfId="0" applyFont="false" applyFill="true" applyBorder="true" applyAlignment="false" applyProtection="false"/>
    <xf numFmtId="164" fontId="0" fillId="6" borderId="3" xfId="0" applyFont="false" applyFill="true" applyBorder="true" applyAlignment="false" applyProtection="false"/>
    <xf numFmtId="164" fontId="0" fillId="6" borderId="7" xfId="0" applyFont="false" applyFill="true" applyBorder="true" applyAlignment="false" applyProtection="false"/>
    <xf numFmtId="164" fontId="0" fillId="6" borderId="5" xfId="0" applyFont="false" applyFill="true" applyBorder="true" applyAlignment="false" applyProtection="false"/>
    <xf numFmtId="164" fontId="0" fillId="6" borderId="6" xfId="0" applyFont="false" applyFill="true" applyBorder="true" applyAlignment="false" applyProtection="false"/>
    <xf numFmtId="164" fontId="0" fillId="8" borderId="1" xfId="0" applyFont="false" applyFill="true" applyBorder="true" applyAlignment="false" applyProtection="false"/>
    <xf numFmtId="164" fontId="0" fillId="8" borderId="2" xfId="0" applyFont="false" applyFill="true" applyBorder="true" applyAlignment="false" applyProtection="false"/>
    <xf numFmtId="164" fontId="0" fillId="8" borderId="9" xfId="0" applyFont="false" applyFill="true" applyBorder="true" applyAlignment="false" applyProtection="false"/>
    <xf numFmtId="164" fontId="0" fillId="8" borderId="4" xfId="0" applyFont="false" applyFill="true" applyBorder="true" applyAlignment="false" applyProtection="false"/>
    <xf numFmtId="164" fontId="0" fillId="8" borderId="3" xfId="0" applyFont="false" applyFill="true" applyBorder="true" applyAlignment="false" applyProtection="false"/>
    <xf numFmtId="164" fontId="0" fillId="8" borderId="7" xfId="0" applyFont="false" applyFill="true" applyBorder="true" applyAlignment="false" applyProtection="false"/>
    <xf numFmtId="164" fontId="0" fillId="8" borderId="5" xfId="0" applyFont="false" applyFill="true" applyBorder="true" applyAlignment="false" applyProtection="false"/>
    <xf numFmtId="164" fontId="0" fillId="8" borderId="6" xfId="0" applyFont="false" applyFill="true" applyBorder="true" applyAlignment="false" applyProtection="false"/>
    <xf numFmtId="164" fontId="0" fillId="10" borderId="1" xfId="0" applyFont="false" applyFill="true" applyBorder="true" applyAlignment="false" applyProtection="false"/>
    <xf numFmtId="164" fontId="0" fillId="10" borderId="2" xfId="0" applyFont="false" applyFill="true" applyBorder="true" applyAlignment="false" applyProtection="false"/>
    <xf numFmtId="164" fontId="0" fillId="10" borderId="9" xfId="0" applyFont="false" applyFill="true" applyBorder="true" applyAlignment="false" applyProtection="false"/>
    <xf numFmtId="164" fontId="0" fillId="10" borderId="4" xfId="0" applyFont="false" applyFill="true" applyBorder="true" applyAlignment="false" applyProtection="false"/>
    <xf numFmtId="164" fontId="0" fillId="10" borderId="3" xfId="0" applyFont="false" applyFill="true" applyBorder="true" applyAlignment="false" applyProtection="false"/>
    <xf numFmtId="164" fontId="0" fillId="10" borderId="7" xfId="0" applyFont="false" applyFill="true" applyBorder="true" applyAlignment="false" applyProtection="false"/>
    <xf numFmtId="164" fontId="0" fillId="10" borderId="5" xfId="0" applyFont="false" applyFill="true" applyBorder="true" applyAlignment="false" applyProtection="false"/>
    <xf numFmtId="164" fontId="0" fillId="10" borderId="6" xfId="0" applyFont="false" applyFill="true" applyBorder="true" applyAlignment="false" applyProtection="false"/>
    <xf numFmtId="164" fontId="4" fillId="12" borderId="1" xfId="0" applyFont="true" applyFill="true" applyBorder="true" applyAlignment="false" applyProtection="false"/>
    <xf numFmtId="164" fontId="4" fillId="12" borderId="2" xfId="0" applyFont="true" applyFill="true" applyBorder="true" applyAlignment="false" applyProtection="false"/>
    <xf numFmtId="164" fontId="4" fillId="12" borderId="9" xfId="0" applyFont="true" applyFill="true" applyBorder="true" applyAlignment="false" applyProtection="false"/>
    <xf numFmtId="164" fontId="4" fillId="12" borderId="4" xfId="0" applyFont="true" applyFill="true" applyBorder="true" applyAlignment="false" applyProtection="false"/>
    <xf numFmtId="164" fontId="4" fillId="12" borderId="3" xfId="0" applyFont="true" applyFill="true" applyBorder="true" applyAlignment="false" applyProtection="false"/>
    <xf numFmtId="164" fontId="4" fillId="12" borderId="7" xfId="0" applyFont="true" applyFill="true" applyBorder="true" applyAlignment="false" applyProtection="false"/>
    <xf numFmtId="164" fontId="4" fillId="12" borderId="5" xfId="0" applyFont="true" applyFill="true" applyBorder="true" applyAlignment="false" applyProtection="false"/>
    <xf numFmtId="164" fontId="4" fillId="12" borderId="6" xfId="0" applyFont="true" applyFill="true" applyBorder="true" applyAlignment="false" applyProtection="false"/>
    <xf numFmtId="164" fontId="4" fillId="2" borderId="1" xfId="0" applyFont="true" applyFill="true" applyBorder="true" applyAlignment="false" applyProtection="false"/>
    <xf numFmtId="164" fontId="4" fillId="2" borderId="2" xfId="0" applyFont="true" applyFill="true" applyBorder="true" applyAlignment="false" applyProtection="false"/>
    <xf numFmtId="164" fontId="4" fillId="2" borderId="9" xfId="0" applyFont="true" applyFill="true" applyBorder="true" applyAlignment="false" applyProtection="false"/>
    <xf numFmtId="164" fontId="4" fillId="2" borderId="4" xfId="0" applyFont="true" applyFill="true" applyBorder="true" applyAlignment="false" applyProtection="false"/>
    <xf numFmtId="164" fontId="4" fillId="2" borderId="3" xfId="0" applyFont="true" applyFill="true" applyBorder="true" applyAlignment="false" applyProtection="false"/>
    <xf numFmtId="164" fontId="4" fillId="2" borderId="7" xfId="0" applyFont="true" applyFill="true" applyBorder="true" applyAlignment="false" applyProtection="false"/>
    <xf numFmtId="164" fontId="4" fillId="2" borderId="5" xfId="0" applyFont="true" applyFill="true" applyBorder="true" applyAlignment="false" applyProtection="false"/>
    <xf numFmtId="164" fontId="4" fillId="2" borderId="6" xfId="0" applyFont="true" applyFill="true" applyBorder="true" applyAlignment="false" applyProtection="false"/>
    <xf numFmtId="164" fontId="4" fillId="3" borderId="1" xfId="0" applyFont="true" applyFill="true" applyBorder="true" applyAlignment="false" applyProtection="false"/>
    <xf numFmtId="164" fontId="4" fillId="3" borderId="2" xfId="0" applyFont="true" applyFill="true" applyBorder="true" applyAlignment="false" applyProtection="false"/>
    <xf numFmtId="164" fontId="4" fillId="3" borderId="9" xfId="0" applyFont="true" applyFill="true" applyBorder="true" applyAlignment="false" applyProtection="false"/>
    <xf numFmtId="164" fontId="4" fillId="3" borderId="4" xfId="0" applyFont="true" applyFill="true" applyBorder="true" applyAlignment="false" applyProtection="false"/>
    <xf numFmtId="164" fontId="4" fillId="3" borderId="3" xfId="0" applyFont="true" applyFill="true" applyBorder="true" applyAlignment="false" applyProtection="false"/>
    <xf numFmtId="164" fontId="4" fillId="3" borderId="7" xfId="0" applyFont="true" applyFill="true" applyBorder="true" applyAlignment="false" applyProtection="false"/>
    <xf numFmtId="164" fontId="4" fillId="3" borderId="5" xfId="0" applyFont="true" applyFill="true" applyBorder="true" applyAlignment="false" applyProtection="false"/>
    <xf numFmtId="164" fontId="4" fillId="3" borderId="6" xfId="0" applyFont="true" applyFill="true" applyBorder="true" applyAlignment="false" applyProtection="false"/>
    <xf numFmtId="164" fontId="0" fillId="0" borderId="1" xfId="0" applyFont="false" applyFill="true" applyBorder="true" applyAlignment="false" applyProtection="false"/>
    <xf numFmtId="164" fontId="0" fillId="0" borderId="2" xfId="0" applyFont="false" applyFill="true" applyBorder="true" applyAlignment="false" applyProtection="false"/>
    <xf numFmtId="164" fontId="0" fillId="0" borderId="9" xfId="0" applyFont="false" applyFill="true" applyBorder="true" applyAlignment="false" applyProtection="false"/>
    <xf numFmtId="164" fontId="0" fillId="0" borderId="4" xfId="0" applyFont="false" applyFill="true" applyBorder="true" applyAlignment="false" applyProtection="false"/>
    <xf numFmtId="164" fontId="0" fillId="0" borderId="3" xfId="0" applyFont="false" applyFill="true" applyBorder="true" applyAlignment="false" applyProtection="false"/>
    <xf numFmtId="164" fontId="0" fillId="0" borderId="7" xfId="0" applyFont="false" applyFill="true" applyBorder="true" applyAlignment="false" applyProtection="false"/>
    <xf numFmtId="164" fontId="0" fillId="0" borderId="5" xfId="0" applyFont="false" applyFill="true" applyBorder="true" applyAlignment="false" applyProtection="false"/>
    <xf numFmtId="164" fontId="0" fillId="0" borderId="6" xfId="0" applyFont="false" applyFill="true" applyBorder="true" applyAlignment="false" applyProtection="false"/>
    <xf numFmtId="164" fontId="0" fillId="5" borderId="0" xfId="0" applyFont="false" applyFill="true" applyBorder="false" applyAlignment="true" applyProtection="false">
      <alignment vertical="top" wrapText="1"/>
    </xf>
    <xf numFmtId="164" fontId="0" fillId="7" borderId="0" xfId="0" applyFont="false" applyFill="true" applyBorder="false" applyAlignment="true" applyProtection="false">
      <alignment vertical="top" wrapText="1"/>
    </xf>
    <xf numFmtId="164" fontId="0" fillId="11" borderId="0" xfId="0" applyFont="false" applyFill="true" applyBorder="false" applyAlignment="true" applyProtection="false">
      <alignment vertical="top" wrapText="1"/>
    </xf>
    <xf numFmtId="164" fontId="0" fillId="9" borderId="0" xfId="0" applyFont="false" applyFill="true" applyBorder="false" applyAlignment="true" applyProtection="false">
      <alignment vertical="top" wrapText="1"/>
    </xf>
    <xf numFmtId="164" fontId="0" fillId="4" borderId="0" xfId="0" applyFont="false" applyFill="true" applyBorder="false" applyAlignment="true" applyProtection="false">
      <alignment vertical="top" wrapText="1"/>
    </xf>
    <xf numFmtId="164" fontId="0" fillId="6" borderId="0" xfId="0" applyFont="false" applyFill="true" applyBorder="false" applyAlignment="true" applyProtection="false">
      <alignment vertical="top" wrapText="1"/>
    </xf>
    <xf numFmtId="164" fontId="0" fillId="8" borderId="0" xfId="0" applyFont="false" applyFill="true" applyBorder="false" applyAlignment="true" applyProtection="false">
      <alignment vertical="top" wrapText="1"/>
    </xf>
    <xf numFmtId="164" fontId="0" fillId="10" borderId="0" xfId="0" applyFont="false" applyFill="true" applyBorder="false" applyAlignment="true" applyProtection="false">
      <alignment vertical="top" wrapText="1"/>
    </xf>
    <xf numFmtId="164" fontId="4" fillId="12" borderId="0" xfId="0" applyFont="true" applyFill="true" applyBorder="false" applyAlignment="true" applyProtection="false">
      <alignment vertical="top" wrapText="1"/>
    </xf>
    <xf numFmtId="164" fontId="4" fillId="2" borderId="0" xfId="0" applyFont="true" applyFill="true" applyBorder="false" applyAlignment="true" applyProtection="false">
      <alignment vertical="top" wrapText="1"/>
    </xf>
    <xf numFmtId="164" fontId="4" fillId="3" borderId="0" xfId="0" applyFont="true" applyFill="true" applyBorder="false" applyAlignment="true" applyProtection="false">
      <alignment vertical="top" wrapText="1"/>
    </xf>
    <xf numFmtId="164" fontId="0" fillId="0" borderId="0" xfId="0" applyFont="false" applyFill="true" applyBorder="false" applyAlignment="true" applyProtection="false">
      <alignment vertical="top" wrapText="1"/>
    </xf>
    <xf numFmtId="164" fontId="0" fillId="5" borderId="1" xfId="0" applyFont="false" applyFill="true" applyBorder="true" applyAlignment="true" applyProtection="false">
      <alignment vertical="top" wrapText="1"/>
    </xf>
    <xf numFmtId="164" fontId="0" fillId="5" borderId="2" xfId="0" applyFont="false" applyFill="true" applyBorder="true" applyAlignment="true" applyProtection="false">
      <alignment vertical="top" wrapText="1"/>
    </xf>
    <xf numFmtId="164" fontId="0" fillId="5" borderId="9" xfId="0" applyFont="false" applyFill="true" applyBorder="true" applyAlignment="true" applyProtection="false">
      <alignment vertical="top" wrapText="1"/>
    </xf>
    <xf numFmtId="164" fontId="0" fillId="5" borderId="4" xfId="0" applyFont="false" applyFill="true" applyBorder="true" applyAlignment="true" applyProtection="false">
      <alignment vertical="top" wrapText="1"/>
    </xf>
    <xf numFmtId="164" fontId="0" fillId="5" borderId="3" xfId="0" applyFont="false" applyFill="true" applyBorder="true" applyAlignment="true" applyProtection="false">
      <alignment vertical="top" wrapText="1"/>
    </xf>
    <xf numFmtId="164" fontId="0" fillId="5" borderId="7" xfId="0" applyFont="false" applyFill="true" applyBorder="true" applyAlignment="true" applyProtection="false">
      <alignment vertical="top" wrapText="1"/>
    </xf>
    <xf numFmtId="164" fontId="0" fillId="5" borderId="5" xfId="0" applyFont="false" applyFill="true" applyBorder="true" applyAlignment="true" applyProtection="false">
      <alignment vertical="top" wrapText="1"/>
    </xf>
    <xf numFmtId="164" fontId="0" fillId="5" borderId="6" xfId="0" applyFont="false" applyFill="true" applyBorder="true" applyAlignment="true" applyProtection="false">
      <alignment vertical="top" wrapText="1"/>
    </xf>
    <xf numFmtId="164" fontId="0" fillId="7" borderId="1" xfId="0" applyFont="false" applyFill="true" applyBorder="true" applyAlignment="true" applyProtection="false">
      <alignment vertical="top" wrapText="1"/>
    </xf>
    <xf numFmtId="164" fontId="0" fillId="7" borderId="2" xfId="0" applyFont="false" applyFill="true" applyBorder="true" applyAlignment="true" applyProtection="false">
      <alignment vertical="top" wrapText="1"/>
    </xf>
    <xf numFmtId="164" fontId="0" fillId="7" borderId="9" xfId="0" applyFont="false" applyFill="true" applyBorder="true" applyAlignment="true" applyProtection="false">
      <alignment vertical="top" wrapText="1"/>
    </xf>
    <xf numFmtId="164" fontId="0" fillId="7" borderId="4" xfId="0" applyFont="false" applyFill="true" applyBorder="true" applyAlignment="true" applyProtection="false">
      <alignment vertical="top" wrapText="1"/>
    </xf>
    <xf numFmtId="164" fontId="0" fillId="7" borderId="3" xfId="0" applyFont="false" applyFill="true" applyBorder="true" applyAlignment="true" applyProtection="false">
      <alignment vertical="top" wrapText="1"/>
    </xf>
    <xf numFmtId="164" fontId="0" fillId="7" borderId="7" xfId="0" applyFont="false" applyFill="true" applyBorder="true" applyAlignment="true" applyProtection="false">
      <alignment vertical="top" wrapText="1"/>
    </xf>
    <xf numFmtId="164" fontId="0" fillId="7" borderId="5" xfId="0" applyFont="false" applyFill="true" applyBorder="true" applyAlignment="true" applyProtection="false">
      <alignment vertical="top" wrapText="1"/>
    </xf>
    <xf numFmtId="164" fontId="0" fillId="7" borderId="6" xfId="0" applyFont="false" applyFill="true" applyBorder="true" applyAlignment="true" applyProtection="false">
      <alignment vertical="top" wrapText="1"/>
    </xf>
    <xf numFmtId="164" fontId="0" fillId="11" borderId="1" xfId="0" applyFont="false" applyFill="true" applyBorder="true" applyAlignment="true" applyProtection="false">
      <alignment vertical="top" wrapText="1"/>
    </xf>
    <xf numFmtId="164" fontId="0" fillId="11" borderId="2" xfId="0" applyFont="false" applyFill="true" applyBorder="true" applyAlignment="true" applyProtection="false">
      <alignment vertical="top" wrapText="1"/>
    </xf>
    <xf numFmtId="164" fontId="0" fillId="11" borderId="9" xfId="0" applyFont="false" applyFill="true" applyBorder="true" applyAlignment="true" applyProtection="false">
      <alignment vertical="top" wrapText="1"/>
    </xf>
    <xf numFmtId="164" fontId="0" fillId="11" borderId="4" xfId="0" applyFont="false" applyFill="true" applyBorder="true" applyAlignment="true" applyProtection="false">
      <alignment vertical="top" wrapText="1"/>
    </xf>
    <xf numFmtId="164" fontId="0" fillId="11" borderId="3" xfId="0" applyFont="false" applyFill="true" applyBorder="true" applyAlignment="true" applyProtection="false">
      <alignment vertical="top" wrapText="1"/>
    </xf>
    <xf numFmtId="164" fontId="0" fillId="11" borderId="7" xfId="0" applyFont="false" applyFill="true" applyBorder="true" applyAlignment="true" applyProtection="false">
      <alignment vertical="top" wrapText="1"/>
    </xf>
    <xf numFmtId="164" fontId="0" fillId="11" borderId="5" xfId="0" applyFont="false" applyFill="true" applyBorder="true" applyAlignment="true" applyProtection="false">
      <alignment vertical="top" wrapText="1"/>
    </xf>
    <xf numFmtId="164" fontId="0" fillId="11" borderId="6" xfId="0" applyFont="false" applyFill="true" applyBorder="true" applyAlignment="true" applyProtection="false">
      <alignment vertical="top" wrapText="1"/>
    </xf>
    <xf numFmtId="164" fontId="0" fillId="9" borderId="1" xfId="0" applyFont="false" applyFill="true" applyBorder="true" applyAlignment="true" applyProtection="false">
      <alignment vertical="top" wrapText="1"/>
    </xf>
    <xf numFmtId="164" fontId="0" fillId="9" borderId="2" xfId="0" applyFont="false" applyFill="true" applyBorder="true" applyAlignment="true" applyProtection="false">
      <alignment vertical="top" wrapText="1"/>
    </xf>
    <xf numFmtId="164" fontId="0" fillId="9" borderId="9" xfId="0" applyFont="false" applyFill="true" applyBorder="true" applyAlignment="true" applyProtection="false">
      <alignment vertical="top" wrapText="1"/>
    </xf>
    <xf numFmtId="164" fontId="0" fillId="9" borderId="4" xfId="0" applyFont="false" applyFill="true" applyBorder="true" applyAlignment="true" applyProtection="false">
      <alignment vertical="top" wrapText="1"/>
    </xf>
    <xf numFmtId="164" fontId="0" fillId="9" borderId="3" xfId="0" applyFont="false" applyFill="true" applyBorder="true" applyAlignment="true" applyProtection="false">
      <alignment vertical="top" wrapText="1"/>
    </xf>
    <xf numFmtId="164" fontId="0" fillId="9" borderId="7" xfId="0" applyFont="false" applyFill="true" applyBorder="true" applyAlignment="true" applyProtection="false">
      <alignment vertical="top" wrapText="1"/>
    </xf>
    <xf numFmtId="164" fontId="0" fillId="9" borderId="5" xfId="0" applyFont="false" applyFill="true" applyBorder="true" applyAlignment="true" applyProtection="false">
      <alignment vertical="top" wrapText="1"/>
    </xf>
    <xf numFmtId="164" fontId="0" fillId="9" borderId="6" xfId="0" applyFont="false" applyFill="true" applyBorder="true" applyAlignment="true" applyProtection="false">
      <alignment vertical="top" wrapText="1"/>
    </xf>
    <xf numFmtId="164" fontId="0" fillId="4" borderId="1" xfId="0" applyFont="false" applyFill="true" applyBorder="true" applyAlignment="true" applyProtection="false">
      <alignment vertical="top" wrapText="1"/>
    </xf>
    <xf numFmtId="164" fontId="0" fillId="4" borderId="2" xfId="0" applyFont="false" applyFill="true" applyBorder="true" applyAlignment="true" applyProtection="false">
      <alignment vertical="top" wrapText="1"/>
    </xf>
    <xf numFmtId="164" fontId="0" fillId="4" borderId="9" xfId="0" applyFont="false" applyFill="true" applyBorder="true" applyAlignment="true" applyProtection="false">
      <alignment vertical="top" wrapText="1"/>
    </xf>
    <xf numFmtId="164" fontId="0" fillId="4" borderId="4" xfId="0" applyFont="false" applyFill="true" applyBorder="true" applyAlignment="true" applyProtection="false">
      <alignment vertical="top" wrapText="1"/>
    </xf>
    <xf numFmtId="164" fontId="0" fillId="4" borderId="3" xfId="0" applyFont="false" applyFill="true" applyBorder="true" applyAlignment="true" applyProtection="false">
      <alignment vertical="top" wrapText="1"/>
    </xf>
    <xf numFmtId="164" fontId="0" fillId="4" borderId="7" xfId="0" applyFont="false" applyFill="true" applyBorder="true" applyAlignment="true" applyProtection="false">
      <alignment vertical="top" wrapText="1"/>
    </xf>
    <xf numFmtId="164" fontId="0" fillId="4" borderId="5" xfId="0" applyFont="false" applyFill="true" applyBorder="true" applyAlignment="true" applyProtection="false">
      <alignment vertical="top" wrapText="1"/>
    </xf>
    <xf numFmtId="164" fontId="0" fillId="4" borderId="6" xfId="0" applyFont="false" applyFill="true" applyBorder="true" applyAlignment="true" applyProtection="false">
      <alignment vertical="top" wrapText="1"/>
    </xf>
    <xf numFmtId="164" fontId="0" fillId="6" borderId="1" xfId="0" applyFont="false" applyFill="true" applyBorder="true" applyAlignment="true" applyProtection="false">
      <alignment vertical="top" wrapText="1"/>
    </xf>
    <xf numFmtId="164" fontId="0" fillId="6" borderId="2" xfId="0" applyFont="false" applyFill="true" applyBorder="true" applyAlignment="true" applyProtection="false">
      <alignment vertical="top" wrapText="1"/>
    </xf>
    <xf numFmtId="164" fontId="0" fillId="6" borderId="9" xfId="0" applyFont="false" applyFill="true" applyBorder="true" applyAlignment="true" applyProtection="false">
      <alignment vertical="top" wrapText="1"/>
    </xf>
    <xf numFmtId="164" fontId="0" fillId="6" borderId="4" xfId="0" applyFont="false" applyFill="true" applyBorder="true" applyAlignment="true" applyProtection="false">
      <alignment vertical="top" wrapText="1"/>
    </xf>
    <xf numFmtId="164" fontId="0" fillId="6" borderId="3" xfId="0" applyFont="false" applyFill="true" applyBorder="true" applyAlignment="true" applyProtection="false">
      <alignment vertical="top" wrapText="1"/>
    </xf>
    <xf numFmtId="164" fontId="0" fillId="6" borderId="7" xfId="0" applyFont="false" applyFill="true" applyBorder="true" applyAlignment="true" applyProtection="false">
      <alignment vertical="top" wrapText="1"/>
    </xf>
    <xf numFmtId="164" fontId="0" fillId="6" borderId="5" xfId="0" applyFont="false" applyFill="true" applyBorder="true" applyAlignment="true" applyProtection="false">
      <alignment vertical="top" wrapText="1"/>
    </xf>
    <xf numFmtId="164" fontId="0" fillId="6" borderId="6" xfId="0" applyFont="false" applyFill="true" applyBorder="true" applyAlignment="true" applyProtection="false">
      <alignment vertical="top" wrapText="1"/>
    </xf>
    <xf numFmtId="164" fontId="0" fillId="8" borderId="1" xfId="0" applyFont="false" applyFill="true" applyBorder="true" applyAlignment="true" applyProtection="false">
      <alignment vertical="top" wrapText="1"/>
    </xf>
    <xf numFmtId="164" fontId="0" fillId="8" borderId="2" xfId="0" applyFont="false" applyFill="true" applyBorder="true" applyAlignment="true" applyProtection="false">
      <alignment vertical="top" wrapText="1"/>
    </xf>
    <xf numFmtId="164" fontId="0" fillId="8" borderId="9" xfId="0" applyFont="false" applyFill="true" applyBorder="true" applyAlignment="true" applyProtection="false">
      <alignment vertical="top" wrapText="1"/>
    </xf>
    <xf numFmtId="164" fontId="0" fillId="8" borderId="4" xfId="0" applyFont="false" applyFill="true" applyBorder="true" applyAlignment="true" applyProtection="false">
      <alignment vertical="top" wrapText="1"/>
    </xf>
    <xf numFmtId="164" fontId="0" fillId="8" borderId="3" xfId="0" applyFont="false" applyFill="true" applyBorder="true" applyAlignment="true" applyProtection="false">
      <alignment vertical="top" wrapText="1"/>
    </xf>
    <xf numFmtId="164" fontId="0" fillId="8" borderId="7" xfId="0" applyFont="false" applyFill="true" applyBorder="true" applyAlignment="true" applyProtection="false">
      <alignment vertical="top" wrapText="1"/>
    </xf>
    <xf numFmtId="164" fontId="0" fillId="8" borderId="5" xfId="0" applyFont="false" applyFill="true" applyBorder="true" applyAlignment="true" applyProtection="false">
      <alignment vertical="top" wrapText="1"/>
    </xf>
    <xf numFmtId="164" fontId="0" fillId="8" borderId="6" xfId="0" applyFont="false" applyFill="true" applyBorder="true" applyAlignment="true" applyProtection="false">
      <alignment vertical="top" wrapText="1"/>
    </xf>
    <xf numFmtId="164" fontId="0" fillId="10" borderId="1" xfId="0" applyFont="false" applyFill="true" applyBorder="true" applyAlignment="true" applyProtection="false">
      <alignment vertical="top" wrapText="1"/>
    </xf>
    <xf numFmtId="164" fontId="0" fillId="10" borderId="2" xfId="0" applyFont="false" applyFill="true" applyBorder="true" applyAlignment="true" applyProtection="false">
      <alignment vertical="top" wrapText="1"/>
    </xf>
    <xf numFmtId="164" fontId="0" fillId="10" borderId="9" xfId="0" applyFont="false" applyFill="true" applyBorder="true" applyAlignment="true" applyProtection="false">
      <alignment vertical="top" wrapText="1"/>
    </xf>
    <xf numFmtId="164" fontId="0" fillId="10" borderId="4" xfId="0" applyFont="false" applyFill="true" applyBorder="true" applyAlignment="true" applyProtection="false">
      <alignment vertical="top" wrapText="1"/>
    </xf>
    <xf numFmtId="164" fontId="0" fillId="10" borderId="3" xfId="0" applyFont="false" applyFill="true" applyBorder="true" applyAlignment="true" applyProtection="false">
      <alignment vertical="top" wrapText="1"/>
    </xf>
    <xf numFmtId="164" fontId="0" fillId="10" borderId="7" xfId="0" applyFont="false" applyFill="true" applyBorder="true" applyAlignment="true" applyProtection="false">
      <alignment vertical="top" wrapText="1"/>
    </xf>
    <xf numFmtId="164" fontId="0" fillId="10" borderId="5" xfId="0" applyFont="false" applyFill="true" applyBorder="true" applyAlignment="true" applyProtection="false">
      <alignment vertical="top" wrapText="1"/>
    </xf>
    <xf numFmtId="164" fontId="0" fillId="10" borderId="6" xfId="0" applyFont="false" applyFill="true" applyBorder="true" applyAlignment="true" applyProtection="false">
      <alignment vertical="top" wrapText="1"/>
    </xf>
    <xf numFmtId="164" fontId="4" fillId="12" borderId="1" xfId="0" applyFont="true" applyFill="true" applyBorder="true" applyAlignment="true" applyProtection="false">
      <alignment vertical="top" wrapText="1"/>
    </xf>
    <xf numFmtId="164" fontId="4" fillId="12" borderId="2" xfId="0" applyFont="true" applyFill="true" applyBorder="true" applyAlignment="true" applyProtection="false">
      <alignment vertical="top" wrapText="1"/>
    </xf>
    <xf numFmtId="164" fontId="4" fillId="12" borderId="9" xfId="0" applyFont="true" applyFill="true" applyBorder="true" applyAlignment="true" applyProtection="false">
      <alignment vertical="top" wrapText="1"/>
    </xf>
    <xf numFmtId="164" fontId="4" fillId="12" borderId="4" xfId="0" applyFont="true" applyFill="true" applyBorder="true" applyAlignment="true" applyProtection="false">
      <alignment vertical="top" wrapText="1"/>
    </xf>
    <xf numFmtId="164" fontId="4" fillId="12" borderId="3" xfId="0" applyFont="true" applyFill="true" applyBorder="true" applyAlignment="true" applyProtection="false">
      <alignment vertical="top" wrapText="1"/>
    </xf>
    <xf numFmtId="164" fontId="4" fillId="12" borderId="7" xfId="0" applyFont="true" applyFill="true" applyBorder="true" applyAlignment="true" applyProtection="false">
      <alignment vertical="top" wrapText="1"/>
    </xf>
    <xf numFmtId="164" fontId="4" fillId="12" borderId="5" xfId="0" applyFont="true" applyFill="true" applyBorder="true" applyAlignment="true" applyProtection="false">
      <alignment vertical="top" wrapText="1"/>
    </xf>
    <xf numFmtId="164" fontId="4" fillId="12" borderId="6" xfId="0" applyFont="true" applyFill="true" applyBorder="true" applyAlignment="true" applyProtection="false">
      <alignment vertical="top" wrapText="1"/>
    </xf>
    <xf numFmtId="164" fontId="4" fillId="2" borderId="1" xfId="0" applyFont="true" applyFill="true" applyBorder="true" applyAlignment="true" applyProtection="false">
      <alignment vertical="top" wrapText="1"/>
    </xf>
    <xf numFmtId="164" fontId="4" fillId="2" borderId="2" xfId="0" applyFont="true" applyFill="true" applyBorder="true" applyAlignment="true" applyProtection="false">
      <alignment vertical="top" wrapText="1"/>
    </xf>
    <xf numFmtId="164" fontId="4" fillId="2" borderId="9" xfId="0" applyFont="true" applyFill="true" applyBorder="true" applyAlignment="true" applyProtection="false">
      <alignment vertical="top" wrapText="1"/>
    </xf>
    <xf numFmtId="164" fontId="4" fillId="2" borderId="4" xfId="0" applyFont="true" applyFill="true" applyBorder="true" applyAlignment="true" applyProtection="false">
      <alignment vertical="top" wrapText="1"/>
    </xf>
    <xf numFmtId="164" fontId="4" fillId="2" borderId="3" xfId="0" applyFont="true" applyFill="true" applyBorder="true" applyAlignment="true" applyProtection="false">
      <alignment vertical="top" wrapText="1"/>
    </xf>
    <xf numFmtId="164" fontId="4" fillId="2" borderId="7" xfId="0" applyFont="true" applyFill="true" applyBorder="true" applyAlignment="true" applyProtection="false">
      <alignment vertical="top" wrapText="1"/>
    </xf>
    <xf numFmtId="164" fontId="4" fillId="2" borderId="5" xfId="0" applyFont="true" applyFill="true" applyBorder="true" applyAlignment="true" applyProtection="false">
      <alignment vertical="top" wrapText="1"/>
    </xf>
    <xf numFmtId="164" fontId="4" fillId="2" borderId="6" xfId="0" applyFont="true" applyFill="true" applyBorder="true" applyAlignment="true" applyProtection="false">
      <alignment vertical="top" wrapText="1"/>
    </xf>
    <xf numFmtId="164" fontId="4" fillId="3" borderId="1" xfId="0" applyFont="true" applyFill="true" applyBorder="true" applyAlignment="true" applyProtection="false">
      <alignment vertical="top" wrapText="1"/>
    </xf>
    <xf numFmtId="164" fontId="4" fillId="3" borderId="2" xfId="0" applyFont="true" applyFill="true" applyBorder="true" applyAlignment="true" applyProtection="false">
      <alignment vertical="top" wrapText="1"/>
    </xf>
    <xf numFmtId="164" fontId="4" fillId="3" borderId="9" xfId="0" applyFont="true" applyFill="true" applyBorder="true" applyAlignment="true" applyProtection="false">
      <alignment vertical="top" wrapText="1"/>
    </xf>
    <xf numFmtId="164" fontId="4" fillId="3" borderId="4" xfId="0" applyFont="true" applyFill="true" applyBorder="true" applyAlignment="true" applyProtection="false">
      <alignment vertical="top" wrapText="1"/>
    </xf>
    <xf numFmtId="164" fontId="4" fillId="3" borderId="3" xfId="0" applyFont="true" applyFill="true" applyBorder="true" applyAlignment="true" applyProtection="false">
      <alignment vertical="top" wrapText="1"/>
    </xf>
    <xf numFmtId="164" fontId="4" fillId="3" borderId="7" xfId="0" applyFont="true" applyFill="true" applyBorder="true" applyAlignment="true" applyProtection="false">
      <alignment vertical="top" wrapText="1"/>
    </xf>
    <xf numFmtId="164" fontId="4" fillId="3" borderId="5" xfId="0" applyFont="true" applyFill="true" applyBorder="true" applyAlignment="true" applyProtection="false">
      <alignment vertical="top" wrapText="1"/>
    </xf>
    <xf numFmtId="164" fontId="4" fillId="3" borderId="6" xfId="0" applyFont="true" applyFill="true" applyBorder="true" applyAlignment="true" applyProtection="false">
      <alignment vertical="top" wrapText="1"/>
    </xf>
    <xf numFmtId="164" fontId="0" fillId="0" borderId="1" xfId="0" applyFont="false" applyFill="true" applyBorder="true" applyAlignment="true" applyProtection="false">
      <alignment vertical="top" wrapText="1"/>
    </xf>
    <xf numFmtId="164" fontId="0" fillId="0" borderId="2" xfId="0" applyFont="false" applyFill="true" applyBorder="true" applyAlignment="true" applyProtection="false">
      <alignment vertical="top" wrapText="1"/>
    </xf>
    <xf numFmtId="164" fontId="0" fillId="0" borderId="9" xfId="0" applyFont="false" applyFill="true" applyBorder="true" applyAlignment="true" applyProtection="false">
      <alignment vertical="top" wrapText="1"/>
    </xf>
    <xf numFmtId="164" fontId="0" fillId="0" borderId="4" xfId="0" applyFont="false" applyFill="true" applyBorder="true" applyAlignment="true" applyProtection="false">
      <alignment vertical="top" wrapText="1"/>
    </xf>
    <xf numFmtId="164" fontId="0" fillId="0" borderId="3" xfId="0" applyFont="false" applyFill="true" applyBorder="true" applyAlignment="true" applyProtection="false">
      <alignment vertical="top" wrapText="1"/>
    </xf>
    <xf numFmtId="164" fontId="0" fillId="0" borderId="7" xfId="0" applyFont="false" applyFill="true" applyBorder="true" applyAlignment="true" applyProtection="false">
      <alignment vertical="top" wrapText="1"/>
    </xf>
    <xf numFmtId="164" fontId="0" fillId="0" borderId="5" xfId="0" applyFont="false" applyFill="true" applyBorder="true" applyAlignment="true" applyProtection="false">
      <alignment vertical="top" wrapText="1"/>
    </xf>
    <xf numFmtId="164" fontId="0" fillId="0" borderId="6" xfId="0" applyFont="false" applyFill="true" applyBorder="true" applyAlignment="true" applyProtection="false">
      <alignment vertical="top" wrapText="1"/>
    </xf>
    <xf numFmtId="164" fontId="0" fillId="13" borderId="0" xfId="0" applyFont="false" applyFill="true" applyBorder="false" applyAlignment="true" applyProtection="false">
      <alignment vertical="top" wrapText="1"/>
    </xf>
    <xf numFmtId="164" fontId="0" fillId="13" borderId="1" xfId="0" applyFont="false" applyFill="true" applyBorder="true" applyAlignment="true" applyProtection="false">
      <alignment vertical="top" wrapText="1"/>
    </xf>
    <xf numFmtId="164" fontId="0" fillId="13" borderId="2" xfId="0" applyFont="false" applyFill="true" applyBorder="true" applyAlignment="true" applyProtection="false">
      <alignment vertical="top" wrapText="1"/>
    </xf>
    <xf numFmtId="164" fontId="0" fillId="13" borderId="9" xfId="0" applyFont="false" applyFill="true" applyBorder="true" applyAlignment="true" applyProtection="false">
      <alignment vertical="top" wrapText="1"/>
    </xf>
    <xf numFmtId="164" fontId="0" fillId="13" borderId="4" xfId="0" applyFont="false" applyFill="true" applyBorder="true" applyAlignment="true" applyProtection="false">
      <alignment vertical="top" wrapText="1"/>
    </xf>
    <xf numFmtId="164" fontId="0" fillId="13" borderId="3" xfId="0" applyFont="false" applyFill="true" applyBorder="true" applyAlignment="true" applyProtection="false">
      <alignment vertical="top" wrapText="1"/>
    </xf>
    <xf numFmtId="164" fontId="0" fillId="13" borderId="7" xfId="0" applyFont="false" applyFill="true" applyBorder="true" applyAlignment="true" applyProtection="false">
      <alignment vertical="top" wrapText="1"/>
    </xf>
    <xf numFmtId="164" fontId="0" fillId="13" borderId="5" xfId="0" applyFont="false" applyFill="true" applyBorder="true" applyAlignment="true" applyProtection="false">
      <alignment vertical="top" wrapText="1"/>
    </xf>
    <xf numFmtId="164" fontId="0" fillId="13" borderId="6" xfId="0" applyFont="false" applyFill="true" applyBorder="true" applyAlignment="true" applyProtection="false">
      <alignment vertical="top" wrapText="1"/>
    </xf>
    <xf numFmtId="164" fontId="0" fillId="14" borderId="0" xfId="0" applyFont="false" applyFill="true" applyBorder="false" applyAlignment="true" applyProtection="false">
      <alignment vertical="top" wrapText="1"/>
    </xf>
    <xf numFmtId="164" fontId="0" fillId="15" borderId="0" xfId="0" applyFont="false" applyFill="true" applyBorder="false" applyAlignment="true" applyProtection="false">
      <alignment vertical="top" wrapText="1"/>
    </xf>
    <xf numFmtId="164" fontId="0" fillId="16" borderId="0" xfId="0" applyFont="false" applyFill="true" applyBorder="false" applyAlignment="true" applyProtection="false">
      <alignment vertical="top" wrapText="1"/>
    </xf>
    <xf numFmtId="164" fontId="0" fillId="17" borderId="0" xfId="0" applyFont="false" applyFill="true" applyBorder="false" applyAlignment="true" applyProtection="false">
      <alignment vertical="top" wrapText="1"/>
    </xf>
    <xf numFmtId="164" fontId="0" fillId="18" borderId="0" xfId="0" applyFont="false" applyFill="true" applyBorder="false" applyAlignment="true" applyProtection="false">
      <alignment vertical="top" wrapText="1"/>
    </xf>
    <xf numFmtId="164" fontId="0" fillId="19" borderId="0" xfId="0" applyFont="false" applyFill="true" applyBorder="false" applyAlignment="true" applyProtection="false">
      <alignment vertical="top" wrapText="1"/>
    </xf>
    <xf numFmtId="164" fontId="0" fillId="20" borderId="0" xfId="0" applyFont="false" applyFill="true" applyBorder="false" applyAlignment="true" applyProtection="false">
      <alignment vertical="top" wrapText="1"/>
    </xf>
    <xf numFmtId="164" fontId="0" fillId="21" borderId="0" xfId="0" applyFont="false" applyFill="true" applyBorder="false" applyAlignment="true" applyProtection="false">
      <alignment vertical="top" wrapText="1"/>
    </xf>
    <xf numFmtId="164" fontId="0" fillId="22" borderId="0" xfId="0" applyFont="false" applyFill="true" applyBorder="false" applyAlignment="true" applyProtection="false">
      <alignment vertical="top" wrapText="1"/>
    </xf>
    <xf numFmtId="164" fontId="0" fillId="23" borderId="0" xfId="0" applyFont="false" applyFill="true" applyBorder="false" applyAlignment="true" applyProtection="false">
      <alignment vertical="top" wrapText="1"/>
    </xf>
    <xf numFmtId="164" fontId="0" fillId="24" borderId="0" xfId="0" applyFont="false" applyFill="true" applyBorder="false" applyAlignment="true" applyProtection="false">
      <alignment vertical="top" wrapText="1"/>
    </xf>
    <xf numFmtId="164" fontId="0" fillId="25" borderId="0" xfId="0" applyFont="false" applyFill="true" applyBorder="false" applyAlignment="true" applyProtection="false">
      <alignment vertical="top" wrapText="1"/>
    </xf>
    <xf numFmtId="164" fontId="0" fillId="26" borderId="0" xfId="0" applyFont="false" applyFill="true" applyBorder="false" applyAlignment="true" applyProtection="false">
      <alignment vertical="top" wrapText="1"/>
    </xf>
    <xf numFmtId="164" fontId="0" fillId="27" borderId="0" xfId="0" applyFont="false" applyFill="true" applyBorder="false" applyAlignment="true" applyProtection="false">
      <alignment vertical="top" wrapText="1"/>
    </xf>
    <xf numFmtId="164" fontId="0" fillId="28" borderId="0" xfId="0" applyFont="false" applyFill="true" applyBorder="false" applyAlignment="true" applyProtection="false">
      <alignment vertical="top" wrapText="1"/>
    </xf>
    <xf numFmtId="164" fontId="0" fillId="29" borderId="0" xfId="0" applyFont="false" applyFill="true" applyBorder="false" applyAlignment="true" applyProtection="false">
      <alignment vertical="top" wrapText="1"/>
    </xf>
    <xf numFmtId="164" fontId="0" fillId="30" borderId="0" xfId="0" applyFont="false" applyFill="true" applyBorder="false" applyAlignment="true" applyProtection="false">
      <alignment vertical="top" wrapText="1"/>
    </xf>
    <xf numFmtId="164" fontId="0" fillId="31" borderId="0" xfId="0" applyFont="false" applyFill="true" applyBorder="false" applyAlignment="true" applyProtection="false">
      <alignment vertical="top" wrapText="1"/>
    </xf>
    <xf numFmtId="164" fontId="0" fillId="32" borderId="0" xfId="0" applyFont="false" applyFill="true" applyBorder="false" applyAlignment="true" applyProtection="false">
      <alignment vertical="top" wrapText="1"/>
    </xf>
    <xf numFmtId="164" fontId="0" fillId="33" borderId="0" xfId="0" applyFont="false" applyFill="true" applyBorder="false" applyAlignment="true" applyProtection="false">
      <alignment vertical="top" wrapText="1"/>
    </xf>
    <xf numFmtId="164" fontId="0" fillId="34" borderId="0" xfId="0" applyFont="false" applyFill="true" applyBorder="false" applyAlignment="true" applyProtection="false">
      <alignment vertical="top" wrapText="1"/>
    </xf>
    <xf numFmtId="164" fontId="0" fillId="35" borderId="0" xfId="0" applyFont="false" applyFill="true" applyBorder="false" applyAlignment="true" applyProtection="false">
      <alignment vertical="top" wrapText="1"/>
    </xf>
    <xf numFmtId="164" fontId="0" fillId="14" borderId="1" xfId="0" applyFont="false" applyFill="true" applyBorder="true" applyAlignment="true" applyProtection="false">
      <alignment vertical="top" wrapText="1"/>
    </xf>
    <xf numFmtId="164" fontId="0" fillId="14" borderId="2" xfId="0" applyFont="false" applyFill="true" applyBorder="true" applyAlignment="true" applyProtection="false">
      <alignment vertical="top" wrapText="1"/>
    </xf>
    <xf numFmtId="164" fontId="0" fillId="14" borderId="9" xfId="0" applyFont="false" applyFill="true" applyBorder="true" applyAlignment="true" applyProtection="false">
      <alignment vertical="top" wrapText="1"/>
    </xf>
    <xf numFmtId="164" fontId="0" fillId="14" borderId="4" xfId="0" applyFont="false" applyFill="true" applyBorder="true" applyAlignment="true" applyProtection="false">
      <alignment vertical="top" wrapText="1"/>
    </xf>
    <xf numFmtId="164" fontId="0" fillId="14" borderId="3" xfId="0" applyFont="false" applyFill="true" applyBorder="true" applyAlignment="true" applyProtection="false">
      <alignment vertical="top" wrapText="1"/>
    </xf>
    <xf numFmtId="164" fontId="0" fillId="14" borderId="7" xfId="0" applyFont="false" applyFill="true" applyBorder="true" applyAlignment="true" applyProtection="false">
      <alignment vertical="top" wrapText="1"/>
    </xf>
    <xf numFmtId="164" fontId="0" fillId="14" borderId="5" xfId="0" applyFont="false" applyFill="true" applyBorder="true" applyAlignment="true" applyProtection="false">
      <alignment vertical="top" wrapText="1"/>
    </xf>
    <xf numFmtId="164" fontId="0" fillId="14" borderId="6" xfId="0" applyFont="false" applyFill="true" applyBorder="true" applyAlignment="true" applyProtection="false">
      <alignment vertical="top" wrapText="1"/>
    </xf>
    <xf numFmtId="164" fontId="0" fillId="15" borderId="1" xfId="0" applyFont="false" applyFill="true" applyBorder="true" applyAlignment="true" applyProtection="false">
      <alignment vertical="top" wrapText="1"/>
    </xf>
    <xf numFmtId="164" fontId="0" fillId="15" borderId="2" xfId="0" applyFont="false" applyFill="true" applyBorder="true" applyAlignment="true" applyProtection="false">
      <alignment vertical="top" wrapText="1"/>
    </xf>
    <xf numFmtId="164" fontId="0" fillId="15" borderId="9" xfId="0" applyFont="false" applyFill="true" applyBorder="true" applyAlignment="true" applyProtection="false">
      <alignment vertical="top" wrapText="1"/>
    </xf>
    <xf numFmtId="164" fontId="0" fillId="15" borderId="4" xfId="0" applyFont="false" applyFill="true" applyBorder="true" applyAlignment="true" applyProtection="false">
      <alignment vertical="top" wrapText="1"/>
    </xf>
    <xf numFmtId="164" fontId="0" fillId="15" borderId="3" xfId="0" applyFont="false" applyFill="true" applyBorder="true" applyAlignment="true" applyProtection="false">
      <alignment vertical="top" wrapText="1"/>
    </xf>
    <xf numFmtId="164" fontId="0" fillId="15" borderId="7" xfId="0" applyFont="false" applyFill="true" applyBorder="true" applyAlignment="true" applyProtection="false">
      <alignment vertical="top" wrapText="1"/>
    </xf>
    <xf numFmtId="164" fontId="0" fillId="15" borderId="5" xfId="0" applyFont="false" applyFill="true" applyBorder="true" applyAlignment="true" applyProtection="false">
      <alignment vertical="top" wrapText="1"/>
    </xf>
    <xf numFmtId="164" fontId="0" fillId="15" borderId="6" xfId="0" applyFont="false" applyFill="true" applyBorder="true" applyAlignment="true" applyProtection="false">
      <alignment vertical="top" wrapText="1"/>
    </xf>
    <xf numFmtId="164" fontId="0" fillId="16" borderId="1" xfId="0" applyFont="false" applyFill="true" applyBorder="true" applyAlignment="true" applyProtection="false">
      <alignment vertical="top" wrapText="1"/>
    </xf>
    <xf numFmtId="164" fontId="0" fillId="16" borderId="2" xfId="0" applyFont="false" applyFill="true" applyBorder="true" applyAlignment="true" applyProtection="false">
      <alignment vertical="top" wrapText="1"/>
    </xf>
    <xf numFmtId="164" fontId="0" fillId="16" borderId="9" xfId="0" applyFont="false" applyFill="true" applyBorder="true" applyAlignment="true" applyProtection="false">
      <alignment vertical="top" wrapText="1"/>
    </xf>
    <xf numFmtId="164" fontId="0" fillId="16" borderId="4" xfId="0" applyFont="false" applyFill="true" applyBorder="true" applyAlignment="true" applyProtection="false">
      <alignment vertical="top" wrapText="1"/>
    </xf>
    <xf numFmtId="164" fontId="0" fillId="16" borderId="3" xfId="0" applyFont="false" applyFill="true" applyBorder="true" applyAlignment="true" applyProtection="false">
      <alignment vertical="top" wrapText="1"/>
    </xf>
    <xf numFmtId="164" fontId="0" fillId="16" borderId="7" xfId="0" applyFont="false" applyFill="true" applyBorder="true" applyAlignment="true" applyProtection="false">
      <alignment vertical="top" wrapText="1"/>
    </xf>
    <xf numFmtId="164" fontId="0" fillId="16" borderId="5" xfId="0" applyFont="false" applyFill="true" applyBorder="true" applyAlignment="true" applyProtection="false">
      <alignment vertical="top" wrapText="1"/>
    </xf>
    <xf numFmtId="164" fontId="0" fillId="16" borderId="6" xfId="0" applyFont="false" applyFill="true" applyBorder="true" applyAlignment="true" applyProtection="false">
      <alignment vertical="top" wrapText="1"/>
    </xf>
    <xf numFmtId="164" fontId="0" fillId="17" borderId="1" xfId="0" applyFont="false" applyFill="true" applyBorder="true" applyAlignment="true" applyProtection="false">
      <alignment vertical="top" wrapText="1"/>
    </xf>
    <xf numFmtId="164" fontId="0" fillId="17" borderId="2" xfId="0" applyFont="false" applyFill="true" applyBorder="true" applyAlignment="true" applyProtection="false">
      <alignment vertical="top" wrapText="1"/>
    </xf>
    <xf numFmtId="164" fontId="0" fillId="17" borderId="9" xfId="0" applyFont="false" applyFill="true" applyBorder="true" applyAlignment="true" applyProtection="false">
      <alignment vertical="top" wrapText="1"/>
    </xf>
    <xf numFmtId="164" fontId="0" fillId="17" borderId="4" xfId="0" applyFont="false" applyFill="true" applyBorder="true" applyAlignment="true" applyProtection="false">
      <alignment vertical="top" wrapText="1"/>
    </xf>
    <xf numFmtId="164" fontId="0" fillId="17" borderId="3" xfId="0" applyFont="false" applyFill="true" applyBorder="true" applyAlignment="true" applyProtection="false">
      <alignment vertical="top" wrapText="1"/>
    </xf>
    <xf numFmtId="164" fontId="0" fillId="17" borderId="7" xfId="0" applyFont="false" applyFill="true" applyBorder="true" applyAlignment="true" applyProtection="false">
      <alignment vertical="top" wrapText="1"/>
    </xf>
    <xf numFmtId="164" fontId="0" fillId="17" borderId="5" xfId="0" applyFont="false" applyFill="true" applyBorder="true" applyAlignment="true" applyProtection="false">
      <alignment vertical="top" wrapText="1"/>
    </xf>
    <xf numFmtId="164" fontId="0" fillId="17" borderId="6" xfId="0" applyFont="false" applyFill="true" applyBorder="true" applyAlignment="true" applyProtection="false">
      <alignment vertical="top" wrapText="1"/>
    </xf>
    <xf numFmtId="164" fontId="0" fillId="18" borderId="1" xfId="0" applyFont="false" applyFill="true" applyBorder="true" applyAlignment="true" applyProtection="false">
      <alignment vertical="top" wrapText="1"/>
    </xf>
    <xf numFmtId="164" fontId="0" fillId="18" borderId="2" xfId="0" applyFont="false" applyFill="true" applyBorder="true" applyAlignment="true" applyProtection="false">
      <alignment vertical="top" wrapText="1"/>
    </xf>
    <xf numFmtId="164" fontId="0" fillId="18" borderId="9" xfId="0" applyFont="false" applyFill="true" applyBorder="true" applyAlignment="true" applyProtection="false">
      <alignment vertical="top" wrapText="1"/>
    </xf>
    <xf numFmtId="164" fontId="0" fillId="18" borderId="4" xfId="0" applyFont="false" applyFill="true" applyBorder="true" applyAlignment="true" applyProtection="false">
      <alignment vertical="top" wrapText="1"/>
    </xf>
    <xf numFmtId="164" fontId="0" fillId="18" borderId="3" xfId="0" applyFont="false" applyFill="true" applyBorder="true" applyAlignment="true" applyProtection="false">
      <alignment vertical="top" wrapText="1"/>
    </xf>
    <xf numFmtId="164" fontId="0" fillId="18" borderId="7" xfId="0" applyFont="false" applyFill="true" applyBorder="true" applyAlignment="true" applyProtection="false">
      <alignment vertical="top" wrapText="1"/>
    </xf>
    <xf numFmtId="164" fontId="0" fillId="18" borderId="5" xfId="0" applyFont="false" applyFill="true" applyBorder="true" applyAlignment="true" applyProtection="false">
      <alignment vertical="top" wrapText="1"/>
    </xf>
    <xf numFmtId="164" fontId="0" fillId="18" borderId="6" xfId="0" applyFont="false" applyFill="true" applyBorder="true" applyAlignment="true" applyProtection="false">
      <alignment vertical="top" wrapText="1"/>
    </xf>
    <xf numFmtId="164" fontId="0" fillId="19" borderId="1" xfId="0" applyFont="false" applyFill="true" applyBorder="true" applyAlignment="true" applyProtection="false">
      <alignment vertical="top" wrapText="1"/>
    </xf>
    <xf numFmtId="164" fontId="0" fillId="19" borderId="2" xfId="0" applyFont="false" applyFill="true" applyBorder="true" applyAlignment="true" applyProtection="false">
      <alignment vertical="top" wrapText="1"/>
    </xf>
    <xf numFmtId="164" fontId="0" fillId="19" borderId="9" xfId="0" applyFont="false" applyFill="true" applyBorder="true" applyAlignment="true" applyProtection="false">
      <alignment vertical="top" wrapText="1"/>
    </xf>
    <xf numFmtId="164" fontId="0" fillId="19" borderId="4" xfId="0" applyFont="false" applyFill="true" applyBorder="true" applyAlignment="true" applyProtection="false">
      <alignment vertical="top" wrapText="1"/>
    </xf>
    <xf numFmtId="164" fontId="0" fillId="19" borderId="3" xfId="0" applyFont="false" applyFill="true" applyBorder="true" applyAlignment="true" applyProtection="false">
      <alignment vertical="top" wrapText="1"/>
    </xf>
    <xf numFmtId="164" fontId="0" fillId="19" borderId="7" xfId="0" applyFont="false" applyFill="true" applyBorder="true" applyAlignment="true" applyProtection="false">
      <alignment vertical="top" wrapText="1"/>
    </xf>
    <xf numFmtId="164" fontId="0" fillId="19" borderId="5" xfId="0" applyFont="false" applyFill="true" applyBorder="true" applyAlignment="true" applyProtection="false">
      <alignment vertical="top" wrapText="1"/>
    </xf>
    <xf numFmtId="164" fontId="0" fillId="19" borderId="6" xfId="0" applyFont="false" applyFill="true" applyBorder="true" applyAlignment="true" applyProtection="false">
      <alignment vertical="top" wrapText="1"/>
    </xf>
    <xf numFmtId="164" fontId="0" fillId="20" borderId="1" xfId="0" applyFont="false" applyFill="true" applyBorder="true" applyAlignment="true" applyProtection="false">
      <alignment vertical="top" wrapText="1"/>
    </xf>
    <xf numFmtId="164" fontId="0" fillId="20" borderId="2" xfId="0" applyFont="false" applyFill="true" applyBorder="true" applyAlignment="true" applyProtection="false">
      <alignment vertical="top" wrapText="1"/>
    </xf>
    <xf numFmtId="164" fontId="0" fillId="20" borderId="9" xfId="0" applyFont="false" applyFill="true" applyBorder="true" applyAlignment="true" applyProtection="false">
      <alignment vertical="top" wrapText="1"/>
    </xf>
    <xf numFmtId="164" fontId="0" fillId="20" borderId="4" xfId="0" applyFont="false" applyFill="true" applyBorder="true" applyAlignment="true" applyProtection="false">
      <alignment vertical="top" wrapText="1"/>
    </xf>
    <xf numFmtId="164" fontId="0" fillId="20" borderId="3" xfId="0" applyFont="false" applyFill="true" applyBorder="true" applyAlignment="true" applyProtection="false">
      <alignment vertical="top" wrapText="1"/>
    </xf>
    <xf numFmtId="164" fontId="0" fillId="20" borderId="7" xfId="0" applyFont="false" applyFill="true" applyBorder="true" applyAlignment="true" applyProtection="false">
      <alignment vertical="top" wrapText="1"/>
    </xf>
    <xf numFmtId="164" fontId="0" fillId="20" borderId="5" xfId="0" applyFont="false" applyFill="true" applyBorder="true" applyAlignment="true" applyProtection="false">
      <alignment vertical="top" wrapText="1"/>
    </xf>
    <xf numFmtId="164" fontId="0" fillId="20" borderId="6" xfId="0" applyFont="false" applyFill="true" applyBorder="true" applyAlignment="true" applyProtection="false">
      <alignment vertical="top" wrapText="1"/>
    </xf>
    <xf numFmtId="164" fontId="0" fillId="21" borderId="1" xfId="0" applyFont="false" applyFill="true" applyBorder="true" applyAlignment="true" applyProtection="false">
      <alignment vertical="top" wrapText="1"/>
    </xf>
    <xf numFmtId="164" fontId="0" fillId="21" borderId="2" xfId="0" applyFont="false" applyFill="true" applyBorder="true" applyAlignment="true" applyProtection="false">
      <alignment vertical="top" wrapText="1"/>
    </xf>
    <xf numFmtId="164" fontId="0" fillId="21" borderId="9" xfId="0" applyFont="false" applyFill="true" applyBorder="true" applyAlignment="true" applyProtection="false">
      <alignment vertical="top" wrapText="1"/>
    </xf>
    <xf numFmtId="164" fontId="0" fillId="21" borderId="4" xfId="0" applyFont="false" applyFill="true" applyBorder="true" applyAlignment="true" applyProtection="false">
      <alignment vertical="top" wrapText="1"/>
    </xf>
    <xf numFmtId="164" fontId="0" fillId="21" borderId="3" xfId="0" applyFont="false" applyFill="true" applyBorder="true" applyAlignment="true" applyProtection="false">
      <alignment vertical="top" wrapText="1"/>
    </xf>
    <xf numFmtId="164" fontId="0" fillId="21" borderId="7" xfId="0" applyFont="false" applyFill="true" applyBorder="true" applyAlignment="true" applyProtection="false">
      <alignment vertical="top" wrapText="1"/>
    </xf>
    <xf numFmtId="164" fontId="0" fillId="21" borderId="5" xfId="0" applyFont="false" applyFill="true" applyBorder="true" applyAlignment="true" applyProtection="false">
      <alignment vertical="top" wrapText="1"/>
    </xf>
    <xf numFmtId="164" fontId="0" fillId="21" borderId="6" xfId="0" applyFont="false" applyFill="true" applyBorder="true" applyAlignment="true" applyProtection="false">
      <alignment vertical="top" wrapText="1"/>
    </xf>
    <xf numFmtId="164" fontId="0" fillId="22" borderId="1" xfId="0" applyFont="false" applyFill="true" applyBorder="true" applyAlignment="true" applyProtection="false">
      <alignment vertical="top" wrapText="1"/>
    </xf>
    <xf numFmtId="164" fontId="0" fillId="22" borderId="2" xfId="0" applyFont="false" applyFill="true" applyBorder="true" applyAlignment="true" applyProtection="false">
      <alignment vertical="top" wrapText="1"/>
    </xf>
    <xf numFmtId="164" fontId="0" fillId="22" borderId="9" xfId="0" applyFont="false" applyFill="true" applyBorder="true" applyAlignment="true" applyProtection="false">
      <alignment vertical="top" wrapText="1"/>
    </xf>
    <xf numFmtId="164" fontId="0" fillId="22" borderId="4" xfId="0" applyFont="false" applyFill="true" applyBorder="true" applyAlignment="true" applyProtection="false">
      <alignment vertical="top" wrapText="1"/>
    </xf>
    <xf numFmtId="164" fontId="0" fillId="22" borderId="3" xfId="0" applyFont="false" applyFill="true" applyBorder="true" applyAlignment="true" applyProtection="false">
      <alignment vertical="top" wrapText="1"/>
    </xf>
    <xf numFmtId="164" fontId="0" fillId="22" borderId="7" xfId="0" applyFont="false" applyFill="true" applyBorder="true" applyAlignment="true" applyProtection="false">
      <alignment vertical="top" wrapText="1"/>
    </xf>
    <xf numFmtId="164" fontId="0" fillId="22" borderId="5" xfId="0" applyFont="false" applyFill="true" applyBorder="true" applyAlignment="true" applyProtection="false">
      <alignment vertical="top" wrapText="1"/>
    </xf>
    <xf numFmtId="164" fontId="0" fillId="22" borderId="6" xfId="0" applyFont="false" applyFill="true" applyBorder="true" applyAlignment="true" applyProtection="false">
      <alignment vertical="top" wrapText="1"/>
    </xf>
    <xf numFmtId="164" fontId="0" fillId="23" borderId="1" xfId="0" applyFont="false" applyFill="true" applyBorder="true" applyAlignment="true" applyProtection="false">
      <alignment vertical="top" wrapText="1"/>
    </xf>
    <xf numFmtId="164" fontId="0" fillId="23" borderId="2" xfId="0" applyFont="false" applyFill="true" applyBorder="true" applyAlignment="true" applyProtection="false">
      <alignment vertical="top" wrapText="1"/>
    </xf>
    <xf numFmtId="164" fontId="0" fillId="23" borderId="9" xfId="0" applyFont="false" applyFill="true" applyBorder="true" applyAlignment="true" applyProtection="false">
      <alignment vertical="top" wrapText="1"/>
    </xf>
    <xf numFmtId="164" fontId="0" fillId="23" borderId="4" xfId="0" applyFont="false" applyFill="true" applyBorder="true" applyAlignment="true" applyProtection="false">
      <alignment vertical="top" wrapText="1"/>
    </xf>
    <xf numFmtId="164" fontId="0" fillId="23" borderId="3" xfId="0" applyFont="false" applyFill="true" applyBorder="true" applyAlignment="true" applyProtection="false">
      <alignment vertical="top" wrapText="1"/>
    </xf>
    <xf numFmtId="164" fontId="0" fillId="23" borderId="7" xfId="0" applyFont="false" applyFill="true" applyBorder="true" applyAlignment="true" applyProtection="false">
      <alignment vertical="top" wrapText="1"/>
    </xf>
    <xf numFmtId="164" fontId="0" fillId="23" borderId="5" xfId="0" applyFont="false" applyFill="true" applyBorder="true" applyAlignment="true" applyProtection="false">
      <alignment vertical="top" wrapText="1"/>
    </xf>
    <xf numFmtId="164" fontId="0" fillId="23" borderId="6" xfId="0" applyFont="false" applyFill="true" applyBorder="true" applyAlignment="true" applyProtection="false">
      <alignment vertical="top" wrapText="1"/>
    </xf>
    <xf numFmtId="164" fontId="0" fillId="24" borderId="1" xfId="0" applyFont="false" applyFill="true" applyBorder="true" applyAlignment="true" applyProtection="false">
      <alignment vertical="top" wrapText="1"/>
    </xf>
    <xf numFmtId="164" fontId="0" fillId="24" borderId="2" xfId="0" applyFont="false" applyFill="true" applyBorder="true" applyAlignment="true" applyProtection="false">
      <alignment vertical="top" wrapText="1"/>
    </xf>
    <xf numFmtId="164" fontId="0" fillId="24" borderId="9" xfId="0" applyFont="false" applyFill="true" applyBorder="true" applyAlignment="true" applyProtection="false">
      <alignment vertical="top" wrapText="1"/>
    </xf>
    <xf numFmtId="164" fontId="0" fillId="24" borderId="4" xfId="0" applyFont="false" applyFill="true" applyBorder="true" applyAlignment="true" applyProtection="false">
      <alignment vertical="top" wrapText="1"/>
    </xf>
    <xf numFmtId="164" fontId="0" fillId="24" borderId="3" xfId="0" applyFont="false" applyFill="true" applyBorder="true" applyAlignment="true" applyProtection="false">
      <alignment vertical="top" wrapText="1"/>
    </xf>
    <xf numFmtId="164" fontId="0" fillId="24" borderId="7" xfId="0" applyFont="false" applyFill="true" applyBorder="true" applyAlignment="true" applyProtection="false">
      <alignment vertical="top" wrapText="1"/>
    </xf>
    <xf numFmtId="164" fontId="0" fillId="24" borderId="5" xfId="0" applyFont="false" applyFill="true" applyBorder="true" applyAlignment="true" applyProtection="false">
      <alignment vertical="top" wrapText="1"/>
    </xf>
    <xf numFmtId="164" fontId="0" fillId="24" borderId="6" xfId="0" applyFont="false" applyFill="true" applyBorder="true" applyAlignment="true" applyProtection="false">
      <alignment vertical="top" wrapText="1"/>
    </xf>
    <xf numFmtId="164" fontId="0" fillId="25" borderId="1" xfId="0" applyFont="false" applyFill="true" applyBorder="true" applyAlignment="true" applyProtection="false">
      <alignment vertical="top" wrapText="1"/>
    </xf>
    <xf numFmtId="164" fontId="0" fillId="25" borderId="2" xfId="0" applyFont="false" applyFill="true" applyBorder="true" applyAlignment="true" applyProtection="false">
      <alignment vertical="top" wrapText="1"/>
    </xf>
    <xf numFmtId="164" fontId="0" fillId="25" borderId="9" xfId="0" applyFont="false" applyFill="true" applyBorder="true" applyAlignment="true" applyProtection="false">
      <alignment vertical="top" wrapText="1"/>
    </xf>
    <xf numFmtId="164" fontId="0" fillId="25" borderId="4" xfId="0" applyFont="false" applyFill="true" applyBorder="true" applyAlignment="true" applyProtection="false">
      <alignment vertical="top" wrapText="1"/>
    </xf>
    <xf numFmtId="164" fontId="0" fillId="25" borderId="3" xfId="0" applyFont="false" applyFill="true" applyBorder="true" applyAlignment="true" applyProtection="false">
      <alignment vertical="top" wrapText="1"/>
    </xf>
    <xf numFmtId="164" fontId="0" fillId="25" borderId="7" xfId="0" applyFont="false" applyFill="true" applyBorder="true" applyAlignment="true" applyProtection="false">
      <alignment vertical="top" wrapText="1"/>
    </xf>
    <xf numFmtId="164" fontId="0" fillId="25" borderId="5" xfId="0" applyFont="false" applyFill="true" applyBorder="true" applyAlignment="true" applyProtection="false">
      <alignment vertical="top" wrapText="1"/>
    </xf>
    <xf numFmtId="164" fontId="0" fillId="25" borderId="6" xfId="0" applyFont="false" applyFill="true" applyBorder="true" applyAlignment="true" applyProtection="false">
      <alignment vertical="top" wrapText="1"/>
    </xf>
    <xf numFmtId="164" fontId="0" fillId="26" borderId="1" xfId="0" applyFont="false" applyFill="true" applyBorder="true" applyAlignment="true" applyProtection="false">
      <alignment vertical="top" wrapText="1"/>
    </xf>
    <xf numFmtId="164" fontId="0" fillId="26" borderId="2" xfId="0" applyFont="false" applyFill="true" applyBorder="true" applyAlignment="true" applyProtection="false">
      <alignment vertical="top" wrapText="1"/>
    </xf>
    <xf numFmtId="164" fontId="0" fillId="26" borderId="9" xfId="0" applyFont="false" applyFill="true" applyBorder="true" applyAlignment="true" applyProtection="false">
      <alignment vertical="top" wrapText="1"/>
    </xf>
    <xf numFmtId="164" fontId="0" fillId="26" borderId="4" xfId="0" applyFont="false" applyFill="true" applyBorder="true" applyAlignment="true" applyProtection="false">
      <alignment vertical="top" wrapText="1"/>
    </xf>
    <xf numFmtId="164" fontId="0" fillId="26" borderId="3" xfId="0" applyFont="false" applyFill="true" applyBorder="true" applyAlignment="true" applyProtection="false">
      <alignment vertical="top" wrapText="1"/>
    </xf>
    <xf numFmtId="164" fontId="0" fillId="26" borderId="7" xfId="0" applyFont="false" applyFill="true" applyBorder="true" applyAlignment="true" applyProtection="false">
      <alignment vertical="top" wrapText="1"/>
    </xf>
    <xf numFmtId="164" fontId="0" fillId="26" borderId="5" xfId="0" applyFont="false" applyFill="true" applyBorder="true" applyAlignment="true" applyProtection="false">
      <alignment vertical="top" wrapText="1"/>
    </xf>
    <xf numFmtId="164" fontId="0" fillId="26" borderId="6" xfId="0" applyFont="false" applyFill="true" applyBorder="true" applyAlignment="true" applyProtection="false">
      <alignment vertical="top" wrapText="1"/>
    </xf>
    <xf numFmtId="164" fontId="0" fillId="27" borderId="1" xfId="0" applyFont="false" applyFill="true" applyBorder="true" applyAlignment="true" applyProtection="false">
      <alignment vertical="top" wrapText="1"/>
    </xf>
    <xf numFmtId="164" fontId="0" fillId="27" borderId="2" xfId="0" applyFont="false" applyFill="true" applyBorder="true" applyAlignment="true" applyProtection="false">
      <alignment vertical="top" wrapText="1"/>
    </xf>
    <xf numFmtId="164" fontId="0" fillId="27" borderId="9" xfId="0" applyFont="false" applyFill="true" applyBorder="true" applyAlignment="true" applyProtection="false">
      <alignment vertical="top" wrapText="1"/>
    </xf>
    <xf numFmtId="164" fontId="0" fillId="27" borderId="4" xfId="0" applyFont="false" applyFill="true" applyBorder="true" applyAlignment="true" applyProtection="false">
      <alignment vertical="top" wrapText="1"/>
    </xf>
    <xf numFmtId="164" fontId="0" fillId="27" borderId="3" xfId="0" applyFont="false" applyFill="true" applyBorder="true" applyAlignment="true" applyProtection="false">
      <alignment vertical="top" wrapText="1"/>
    </xf>
    <xf numFmtId="164" fontId="0" fillId="27" borderId="7" xfId="0" applyFont="false" applyFill="true" applyBorder="true" applyAlignment="true" applyProtection="false">
      <alignment vertical="top" wrapText="1"/>
    </xf>
    <xf numFmtId="164" fontId="0" fillId="27" borderId="5" xfId="0" applyFont="false" applyFill="true" applyBorder="true" applyAlignment="true" applyProtection="false">
      <alignment vertical="top" wrapText="1"/>
    </xf>
    <xf numFmtId="164" fontId="0" fillId="27" borderId="6" xfId="0" applyFont="false" applyFill="true" applyBorder="true" applyAlignment="true" applyProtection="false">
      <alignment vertical="top" wrapText="1"/>
    </xf>
    <xf numFmtId="164" fontId="0" fillId="28" borderId="1" xfId="0" applyFont="false" applyFill="true" applyBorder="true" applyAlignment="true" applyProtection="false">
      <alignment vertical="top" wrapText="1"/>
    </xf>
    <xf numFmtId="164" fontId="0" fillId="28" borderId="2" xfId="0" applyFont="false" applyFill="true" applyBorder="true" applyAlignment="true" applyProtection="false">
      <alignment vertical="top" wrapText="1"/>
    </xf>
    <xf numFmtId="164" fontId="0" fillId="28" borderId="9" xfId="0" applyFont="false" applyFill="true" applyBorder="true" applyAlignment="true" applyProtection="false">
      <alignment vertical="top" wrapText="1"/>
    </xf>
    <xf numFmtId="164" fontId="0" fillId="28" borderId="4" xfId="0" applyFont="false" applyFill="true" applyBorder="true" applyAlignment="true" applyProtection="false">
      <alignment vertical="top" wrapText="1"/>
    </xf>
    <xf numFmtId="164" fontId="0" fillId="28" borderId="3" xfId="0" applyFont="false" applyFill="true" applyBorder="true" applyAlignment="true" applyProtection="false">
      <alignment vertical="top" wrapText="1"/>
    </xf>
    <xf numFmtId="164" fontId="0" fillId="28" borderId="7" xfId="0" applyFont="false" applyFill="true" applyBorder="true" applyAlignment="true" applyProtection="false">
      <alignment vertical="top" wrapText="1"/>
    </xf>
    <xf numFmtId="164" fontId="0" fillId="28" borderId="5" xfId="0" applyFont="false" applyFill="true" applyBorder="true" applyAlignment="true" applyProtection="false">
      <alignment vertical="top" wrapText="1"/>
    </xf>
    <xf numFmtId="164" fontId="0" fillId="28" borderId="6" xfId="0" applyFont="false" applyFill="true" applyBorder="true" applyAlignment="true" applyProtection="false">
      <alignment vertical="top" wrapText="1"/>
    </xf>
    <xf numFmtId="164" fontId="0" fillId="29" borderId="1" xfId="0" applyFont="false" applyFill="true" applyBorder="true" applyAlignment="true" applyProtection="false">
      <alignment vertical="top" wrapText="1"/>
    </xf>
    <xf numFmtId="164" fontId="0" fillId="29" borderId="2" xfId="0" applyFont="false" applyFill="true" applyBorder="true" applyAlignment="true" applyProtection="false">
      <alignment vertical="top" wrapText="1"/>
    </xf>
    <xf numFmtId="164" fontId="0" fillId="29" borderId="9" xfId="0" applyFont="false" applyFill="true" applyBorder="true" applyAlignment="true" applyProtection="false">
      <alignment vertical="top" wrapText="1"/>
    </xf>
    <xf numFmtId="164" fontId="0" fillId="29" borderId="4" xfId="0" applyFont="false" applyFill="true" applyBorder="true" applyAlignment="true" applyProtection="false">
      <alignment vertical="top" wrapText="1"/>
    </xf>
    <xf numFmtId="164" fontId="0" fillId="29" borderId="3" xfId="0" applyFont="false" applyFill="true" applyBorder="true" applyAlignment="true" applyProtection="false">
      <alignment vertical="top" wrapText="1"/>
    </xf>
    <xf numFmtId="164" fontId="0" fillId="29" borderId="7" xfId="0" applyFont="false" applyFill="true" applyBorder="true" applyAlignment="true" applyProtection="false">
      <alignment vertical="top" wrapText="1"/>
    </xf>
    <xf numFmtId="164" fontId="0" fillId="29" borderId="5" xfId="0" applyFont="false" applyFill="true" applyBorder="true" applyAlignment="true" applyProtection="false">
      <alignment vertical="top" wrapText="1"/>
    </xf>
    <xf numFmtId="164" fontId="0" fillId="29" borderId="6" xfId="0" applyFont="false" applyFill="true" applyBorder="true" applyAlignment="true" applyProtection="false">
      <alignment vertical="top" wrapText="1"/>
    </xf>
    <xf numFmtId="164" fontId="0" fillId="30" borderId="1" xfId="0" applyFont="false" applyFill="true" applyBorder="true" applyAlignment="true" applyProtection="false">
      <alignment vertical="top" wrapText="1"/>
    </xf>
    <xf numFmtId="164" fontId="0" fillId="30" borderId="2" xfId="0" applyFont="false" applyFill="true" applyBorder="true" applyAlignment="true" applyProtection="false">
      <alignment vertical="top" wrapText="1"/>
    </xf>
    <xf numFmtId="164" fontId="0" fillId="30" borderId="9" xfId="0" applyFont="false" applyFill="true" applyBorder="true" applyAlignment="true" applyProtection="false">
      <alignment vertical="top" wrapText="1"/>
    </xf>
    <xf numFmtId="164" fontId="0" fillId="30" borderId="4" xfId="0" applyFont="false" applyFill="true" applyBorder="true" applyAlignment="true" applyProtection="false">
      <alignment vertical="top" wrapText="1"/>
    </xf>
    <xf numFmtId="164" fontId="0" fillId="30" borderId="3" xfId="0" applyFont="false" applyFill="true" applyBorder="true" applyAlignment="true" applyProtection="false">
      <alignment vertical="top" wrapText="1"/>
    </xf>
    <xf numFmtId="164" fontId="0" fillId="30" borderId="7" xfId="0" applyFont="false" applyFill="true" applyBorder="true" applyAlignment="true" applyProtection="false">
      <alignment vertical="top" wrapText="1"/>
    </xf>
    <xf numFmtId="164" fontId="0" fillId="30" borderId="5" xfId="0" applyFont="false" applyFill="true" applyBorder="true" applyAlignment="true" applyProtection="false">
      <alignment vertical="top" wrapText="1"/>
    </xf>
    <xf numFmtId="164" fontId="0" fillId="30" borderId="6" xfId="0" applyFont="false" applyFill="true" applyBorder="true" applyAlignment="true" applyProtection="false">
      <alignment vertical="top" wrapText="1"/>
    </xf>
    <xf numFmtId="164" fontId="0" fillId="31" borderId="1" xfId="0" applyFont="false" applyFill="true" applyBorder="true" applyAlignment="true" applyProtection="false">
      <alignment vertical="top" wrapText="1"/>
    </xf>
    <xf numFmtId="164" fontId="0" fillId="31" borderId="2" xfId="0" applyFont="false" applyFill="true" applyBorder="true" applyAlignment="true" applyProtection="false">
      <alignment vertical="top" wrapText="1"/>
    </xf>
    <xf numFmtId="164" fontId="0" fillId="31" borderId="9" xfId="0" applyFont="false" applyFill="true" applyBorder="true" applyAlignment="true" applyProtection="false">
      <alignment vertical="top" wrapText="1"/>
    </xf>
    <xf numFmtId="164" fontId="0" fillId="31" borderId="4" xfId="0" applyFont="false" applyFill="true" applyBorder="true" applyAlignment="true" applyProtection="false">
      <alignment vertical="top" wrapText="1"/>
    </xf>
    <xf numFmtId="164" fontId="0" fillId="31" borderId="3" xfId="0" applyFont="false" applyFill="true" applyBorder="true" applyAlignment="true" applyProtection="false">
      <alignment vertical="top" wrapText="1"/>
    </xf>
    <xf numFmtId="164" fontId="0" fillId="31" borderId="7" xfId="0" applyFont="false" applyFill="true" applyBorder="true" applyAlignment="true" applyProtection="false">
      <alignment vertical="top" wrapText="1"/>
    </xf>
    <xf numFmtId="164" fontId="0" fillId="31" borderId="5" xfId="0" applyFont="false" applyFill="true" applyBorder="true" applyAlignment="true" applyProtection="false">
      <alignment vertical="top" wrapText="1"/>
    </xf>
    <xf numFmtId="164" fontId="0" fillId="31" borderId="6" xfId="0" applyFont="false" applyFill="true" applyBorder="true" applyAlignment="true" applyProtection="false">
      <alignment vertical="top" wrapText="1"/>
    </xf>
    <xf numFmtId="164" fontId="0" fillId="32" borderId="1" xfId="0" applyFont="false" applyFill="true" applyBorder="true" applyAlignment="true" applyProtection="false">
      <alignment vertical="top" wrapText="1"/>
    </xf>
    <xf numFmtId="164" fontId="0" fillId="32" borderId="2" xfId="0" applyFont="false" applyFill="true" applyBorder="true" applyAlignment="true" applyProtection="false">
      <alignment vertical="top" wrapText="1"/>
    </xf>
    <xf numFmtId="164" fontId="0" fillId="32" borderId="9" xfId="0" applyFont="false" applyFill="true" applyBorder="true" applyAlignment="true" applyProtection="false">
      <alignment vertical="top" wrapText="1"/>
    </xf>
    <xf numFmtId="164" fontId="0" fillId="32" borderId="4" xfId="0" applyFont="false" applyFill="true" applyBorder="true" applyAlignment="true" applyProtection="false">
      <alignment vertical="top" wrapText="1"/>
    </xf>
    <xf numFmtId="164" fontId="0" fillId="32" borderId="3" xfId="0" applyFont="false" applyFill="true" applyBorder="true" applyAlignment="true" applyProtection="false">
      <alignment vertical="top" wrapText="1"/>
    </xf>
    <xf numFmtId="164" fontId="0" fillId="32" borderId="7" xfId="0" applyFont="false" applyFill="true" applyBorder="true" applyAlignment="true" applyProtection="false">
      <alignment vertical="top" wrapText="1"/>
    </xf>
    <xf numFmtId="164" fontId="0" fillId="32" borderId="5" xfId="0" applyFont="false" applyFill="true" applyBorder="true" applyAlignment="true" applyProtection="false">
      <alignment vertical="top" wrapText="1"/>
    </xf>
    <xf numFmtId="164" fontId="0" fillId="32" borderId="6" xfId="0" applyFont="false" applyFill="true" applyBorder="true" applyAlignment="true" applyProtection="false">
      <alignment vertical="top" wrapText="1"/>
    </xf>
    <xf numFmtId="164" fontId="0" fillId="33" borderId="1" xfId="0" applyFont="false" applyFill="true" applyBorder="true" applyAlignment="true" applyProtection="false">
      <alignment vertical="top" wrapText="1"/>
    </xf>
    <xf numFmtId="164" fontId="0" fillId="33" borderId="2" xfId="0" applyFont="false" applyFill="true" applyBorder="true" applyAlignment="true" applyProtection="false">
      <alignment vertical="top" wrapText="1"/>
    </xf>
    <xf numFmtId="164" fontId="0" fillId="33" borderId="9" xfId="0" applyFont="false" applyFill="true" applyBorder="true" applyAlignment="true" applyProtection="false">
      <alignment vertical="top" wrapText="1"/>
    </xf>
    <xf numFmtId="164" fontId="0" fillId="33" borderId="4" xfId="0" applyFont="false" applyFill="true" applyBorder="true" applyAlignment="true" applyProtection="false">
      <alignment vertical="top" wrapText="1"/>
    </xf>
    <xf numFmtId="164" fontId="0" fillId="33" borderId="3" xfId="0" applyFont="false" applyFill="true" applyBorder="true" applyAlignment="true" applyProtection="false">
      <alignment vertical="top" wrapText="1"/>
    </xf>
    <xf numFmtId="164" fontId="0" fillId="33" borderId="7" xfId="0" applyFont="false" applyFill="true" applyBorder="true" applyAlignment="true" applyProtection="false">
      <alignment vertical="top" wrapText="1"/>
    </xf>
    <xf numFmtId="164" fontId="0" fillId="33" borderId="5" xfId="0" applyFont="false" applyFill="true" applyBorder="true" applyAlignment="true" applyProtection="false">
      <alignment vertical="top" wrapText="1"/>
    </xf>
    <xf numFmtId="164" fontId="0" fillId="33" borderId="6" xfId="0" applyFont="false" applyFill="true" applyBorder="true" applyAlignment="true" applyProtection="false">
      <alignment vertical="top" wrapText="1"/>
    </xf>
    <xf numFmtId="164" fontId="0" fillId="34" borderId="1" xfId="0" applyFont="false" applyFill="true" applyBorder="true" applyAlignment="true" applyProtection="false">
      <alignment vertical="top" wrapText="1"/>
    </xf>
    <xf numFmtId="164" fontId="0" fillId="34" borderId="2" xfId="0" applyFont="false" applyFill="true" applyBorder="true" applyAlignment="true" applyProtection="false">
      <alignment vertical="top" wrapText="1"/>
    </xf>
    <xf numFmtId="164" fontId="0" fillId="34" borderId="9" xfId="0" applyFont="false" applyFill="true" applyBorder="true" applyAlignment="true" applyProtection="false">
      <alignment vertical="top" wrapText="1"/>
    </xf>
    <xf numFmtId="164" fontId="0" fillId="34" borderId="4" xfId="0" applyFont="false" applyFill="true" applyBorder="true" applyAlignment="true" applyProtection="false">
      <alignment vertical="top" wrapText="1"/>
    </xf>
    <xf numFmtId="164" fontId="0" fillId="34" borderId="3" xfId="0" applyFont="false" applyFill="true" applyBorder="true" applyAlignment="true" applyProtection="false">
      <alignment vertical="top" wrapText="1"/>
    </xf>
    <xf numFmtId="164" fontId="0" fillId="34" borderId="7" xfId="0" applyFont="false" applyFill="true" applyBorder="true" applyAlignment="true" applyProtection="false">
      <alignment vertical="top" wrapText="1"/>
    </xf>
    <xf numFmtId="164" fontId="0" fillId="34" borderId="5" xfId="0" applyFont="false" applyFill="true" applyBorder="true" applyAlignment="true" applyProtection="false">
      <alignment vertical="top" wrapText="1"/>
    </xf>
    <xf numFmtId="164" fontId="0" fillId="34" borderId="6" xfId="0" applyFont="false" applyFill="true" applyBorder="true" applyAlignment="true" applyProtection="false">
      <alignment vertical="top" wrapText="1"/>
    </xf>
    <xf numFmtId="164" fontId="0" fillId="35" borderId="1" xfId="0" applyFont="false" applyFill="true" applyBorder="true" applyAlignment="true" applyProtection="false">
      <alignment vertical="top" wrapText="1"/>
    </xf>
    <xf numFmtId="164" fontId="0" fillId="35" borderId="2" xfId="0" applyFont="false" applyFill="true" applyBorder="true" applyAlignment="true" applyProtection="false">
      <alignment vertical="top" wrapText="1"/>
    </xf>
    <xf numFmtId="164" fontId="0" fillId="35" borderId="9" xfId="0" applyFont="false" applyFill="true" applyBorder="true" applyAlignment="true" applyProtection="false">
      <alignment vertical="top" wrapText="1"/>
    </xf>
    <xf numFmtId="164" fontId="0" fillId="35" borderId="4" xfId="0" applyFont="false" applyFill="true" applyBorder="true" applyAlignment="true" applyProtection="false">
      <alignment vertical="top" wrapText="1"/>
    </xf>
    <xf numFmtId="164" fontId="0" fillId="35" borderId="3" xfId="0" applyFont="false" applyFill="true" applyBorder="true" applyAlignment="true" applyProtection="false">
      <alignment vertical="top" wrapText="1"/>
    </xf>
    <xf numFmtId="164" fontId="0" fillId="35" borderId="7" xfId="0" applyFont="false" applyFill="true" applyBorder="true" applyAlignment="true" applyProtection="false">
      <alignment vertical="top" wrapText="1"/>
    </xf>
    <xf numFmtId="164" fontId="0" fillId="35" borderId="5" xfId="0" applyFont="false" applyFill="true" applyBorder="true" applyAlignment="true" applyProtection="false">
      <alignment vertical="top" wrapText="1"/>
    </xf>
    <xf numFmtId="164" fontId="0" fillId="35" borderId="6" xfId="0" applyFont="false" applyFill="true" applyBorder="true" applyAlignment="true" applyProtection="false">
      <alignment vertical="top" wrapText="1"/>
    </xf>
    <xf numFmtId="164" fontId="0" fillId="36" borderId="0" xfId="0" applyFont="false" applyFill="true" applyBorder="false" applyAlignment="true" applyProtection="false">
      <alignment vertical="top" wrapText="1"/>
    </xf>
    <xf numFmtId="164" fontId="0" fillId="37" borderId="0" xfId="0" applyFont="false" applyFill="true" applyBorder="false" applyAlignment="true" applyProtection="false">
      <alignment vertical="top" wrapText="1"/>
    </xf>
    <xf numFmtId="164" fontId="0" fillId="5" borderId="0" xfId="0" applyFont="false" applyFill="true" applyBorder="false" applyAlignment="true" applyProtection="false">
      <alignment vertical="top" wrapText="1" horizontal="right"/>
    </xf>
    <xf numFmtId="164" fontId="0" fillId="7" borderId="0" xfId="0" applyFont="false" applyFill="true" applyBorder="false" applyAlignment="true" applyProtection="false">
      <alignment vertical="top" wrapText="1" horizontal="right"/>
    </xf>
    <xf numFmtId="164" fontId="0" fillId="11" borderId="0" xfId="0" applyFont="false" applyFill="true" applyBorder="false" applyAlignment="true" applyProtection="false">
      <alignment vertical="top" wrapText="1" horizontal="right"/>
    </xf>
    <xf numFmtId="164" fontId="0" fillId="9" borderId="0" xfId="0" applyFont="false" applyFill="true" applyBorder="false" applyAlignment="true" applyProtection="false">
      <alignment vertical="top" wrapText="1" horizontal="right"/>
    </xf>
    <xf numFmtId="164" fontId="4" fillId="3" borderId="0" xfId="0" applyFont="true" applyFill="true" applyBorder="false" applyAlignment="true" applyProtection="false">
      <alignment vertical="top" wrapText="1" horizontal="right"/>
    </xf>
    <xf numFmtId="164" fontId="0" fillId="13" borderId="0" xfId="0" applyFont="false" applyFill="true" applyBorder="false" applyAlignment="true" applyProtection="false">
      <alignment vertical="top" wrapText="1" horizontal="right"/>
    </xf>
    <xf numFmtId="164" fontId="0" fillId="36" borderId="1" xfId="0" applyFont="false" applyFill="true" applyBorder="true" applyAlignment="true" applyProtection="false">
      <alignment vertical="top" wrapText="1"/>
    </xf>
    <xf numFmtId="164" fontId="0" fillId="36" borderId="2" xfId="0" applyFont="false" applyFill="true" applyBorder="true" applyAlignment="true" applyProtection="false">
      <alignment vertical="top" wrapText="1"/>
    </xf>
    <xf numFmtId="164" fontId="0" fillId="36" borderId="9" xfId="0" applyFont="false" applyFill="true" applyBorder="true" applyAlignment="true" applyProtection="false">
      <alignment vertical="top" wrapText="1"/>
    </xf>
    <xf numFmtId="164" fontId="0" fillId="36" borderId="4" xfId="0" applyFont="false" applyFill="true" applyBorder="true" applyAlignment="true" applyProtection="false">
      <alignment vertical="top" wrapText="1"/>
    </xf>
    <xf numFmtId="164" fontId="0" fillId="36" borderId="3" xfId="0" applyFont="false" applyFill="true" applyBorder="true" applyAlignment="true" applyProtection="false">
      <alignment vertical="top" wrapText="1"/>
    </xf>
    <xf numFmtId="164" fontId="0" fillId="36" borderId="7" xfId="0" applyFont="false" applyFill="true" applyBorder="true" applyAlignment="true" applyProtection="false">
      <alignment vertical="top" wrapText="1"/>
    </xf>
    <xf numFmtId="164" fontId="0" fillId="36" borderId="5" xfId="0" applyFont="false" applyFill="true" applyBorder="true" applyAlignment="true" applyProtection="false">
      <alignment vertical="top" wrapText="1"/>
    </xf>
    <xf numFmtId="164" fontId="0" fillId="36" borderId="6" xfId="0" applyFont="false" applyFill="true" applyBorder="true" applyAlignment="true" applyProtection="false">
      <alignment vertical="top" wrapText="1"/>
    </xf>
    <xf numFmtId="164" fontId="0" fillId="37" borderId="1" xfId="0" applyFont="false" applyFill="true" applyBorder="true" applyAlignment="true" applyProtection="false">
      <alignment vertical="top" wrapText="1"/>
    </xf>
    <xf numFmtId="164" fontId="0" fillId="37" borderId="2" xfId="0" applyFont="false" applyFill="true" applyBorder="true" applyAlignment="true" applyProtection="false">
      <alignment vertical="top" wrapText="1"/>
    </xf>
    <xf numFmtId="164" fontId="0" fillId="37" borderId="9" xfId="0" applyFont="false" applyFill="true" applyBorder="true" applyAlignment="true" applyProtection="false">
      <alignment vertical="top" wrapText="1"/>
    </xf>
    <xf numFmtId="164" fontId="0" fillId="37" borderId="4" xfId="0" applyFont="false" applyFill="true" applyBorder="true" applyAlignment="true" applyProtection="false">
      <alignment vertical="top" wrapText="1"/>
    </xf>
    <xf numFmtId="164" fontId="0" fillId="37" borderId="3" xfId="0" applyFont="false" applyFill="true" applyBorder="true" applyAlignment="true" applyProtection="false">
      <alignment vertical="top" wrapText="1"/>
    </xf>
    <xf numFmtId="164" fontId="0" fillId="37" borderId="7" xfId="0" applyFont="false" applyFill="true" applyBorder="true" applyAlignment="true" applyProtection="false">
      <alignment vertical="top" wrapText="1"/>
    </xf>
    <xf numFmtId="164" fontId="0" fillId="37" borderId="5" xfId="0" applyFont="false" applyFill="true" applyBorder="true" applyAlignment="true" applyProtection="false">
      <alignment vertical="top" wrapText="1"/>
    </xf>
    <xf numFmtId="164" fontId="0" fillId="37" borderId="6" xfId="0" applyFont="false" applyFill="true" applyBorder="true" applyAlignment="true" applyProtection="false">
      <alignment vertical="top" wrapText="1"/>
    </xf>
    <xf numFmtId="164" fontId="0" fillId="5" borderId="1" xfId="0" applyFont="false" applyFill="true" applyBorder="true" applyAlignment="true" applyProtection="false">
      <alignment vertical="top" wrapText="1" horizontal="right"/>
    </xf>
    <xf numFmtId="164" fontId="0" fillId="5" borderId="2" xfId="0" applyFont="false" applyFill="true" applyBorder="true" applyAlignment="true" applyProtection="false">
      <alignment vertical="top" wrapText="1" horizontal="right"/>
    </xf>
    <xf numFmtId="164" fontId="0" fillId="5" borderId="9" xfId="0" applyFont="false" applyFill="true" applyBorder="true" applyAlignment="true" applyProtection="false">
      <alignment vertical="top" wrapText="1" horizontal="right"/>
    </xf>
    <xf numFmtId="164" fontId="0" fillId="5" borderId="4" xfId="0" applyFont="false" applyFill="true" applyBorder="true" applyAlignment="true" applyProtection="false">
      <alignment vertical="top" wrapText="1" horizontal="right"/>
    </xf>
    <xf numFmtId="164" fontId="0" fillId="5" borderId="3" xfId="0" applyFont="false" applyFill="true" applyBorder="true" applyAlignment="true" applyProtection="false">
      <alignment vertical="top" wrapText="1" horizontal="right"/>
    </xf>
    <xf numFmtId="164" fontId="0" fillId="5" borderId="7" xfId="0" applyFont="false" applyFill="true" applyBorder="true" applyAlignment="true" applyProtection="false">
      <alignment vertical="top" wrapText="1" horizontal="right"/>
    </xf>
    <xf numFmtId="164" fontId="0" fillId="5" borderId="5" xfId="0" applyFont="false" applyFill="true" applyBorder="true" applyAlignment="true" applyProtection="false">
      <alignment vertical="top" wrapText="1" horizontal="right"/>
    </xf>
    <xf numFmtId="164" fontId="0" fillId="5" borderId="6" xfId="0" applyFont="false" applyFill="true" applyBorder="true" applyAlignment="true" applyProtection="false">
      <alignment vertical="top" wrapText="1" horizontal="right"/>
    </xf>
    <xf numFmtId="164" fontId="0" fillId="7" borderId="1" xfId="0" applyFont="false" applyFill="true" applyBorder="true" applyAlignment="true" applyProtection="false">
      <alignment vertical="top" wrapText="1" horizontal="right"/>
    </xf>
    <xf numFmtId="164" fontId="0" fillId="7" borderId="2" xfId="0" applyFont="false" applyFill="true" applyBorder="true" applyAlignment="true" applyProtection="false">
      <alignment vertical="top" wrapText="1" horizontal="right"/>
    </xf>
    <xf numFmtId="164" fontId="0" fillId="7" borderId="9" xfId="0" applyFont="false" applyFill="true" applyBorder="true" applyAlignment="true" applyProtection="false">
      <alignment vertical="top" wrapText="1" horizontal="right"/>
    </xf>
    <xf numFmtId="164" fontId="0" fillId="7" borderId="4" xfId="0" applyFont="false" applyFill="true" applyBorder="true" applyAlignment="true" applyProtection="false">
      <alignment vertical="top" wrapText="1" horizontal="right"/>
    </xf>
    <xf numFmtId="164" fontId="0" fillId="7" borderId="3" xfId="0" applyFont="false" applyFill="true" applyBorder="true" applyAlignment="true" applyProtection="false">
      <alignment vertical="top" wrapText="1" horizontal="right"/>
    </xf>
    <xf numFmtId="164" fontId="0" fillId="7" borderId="7" xfId="0" applyFont="false" applyFill="true" applyBorder="true" applyAlignment="true" applyProtection="false">
      <alignment vertical="top" wrapText="1" horizontal="right"/>
    </xf>
    <xf numFmtId="164" fontId="0" fillId="7" borderId="5" xfId="0" applyFont="false" applyFill="true" applyBorder="true" applyAlignment="true" applyProtection="false">
      <alignment vertical="top" wrapText="1" horizontal="right"/>
    </xf>
    <xf numFmtId="164" fontId="0" fillId="7" borderId="6" xfId="0" applyFont="false" applyFill="true" applyBorder="true" applyAlignment="true" applyProtection="false">
      <alignment vertical="top" wrapText="1" horizontal="right"/>
    </xf>
    <xf numFmtId="164" fontId="0" fillId="11" borderId="1" xfId="0" applyFont="false" applyFill="true" applyBorder="true" applyAlignment="true" applyProtection="false">
      <alignment vertical="top" wrapText="1" horizontal="right"/>
    </xf>
    <xf numFmtId="164" fontId="0" fillId="11" borderId="2" xfId="0" applyFont="false" applyFill="true" applyBorder="true" applyAlignment="true" applyProtection="false">
      <alignment vertical="top" wrapText="1" horizontal="right"/>
    </xf>
    <xf numFmtId="164" fontId="0" fillId="11" borderId="9" xfId="0" applyFont="false" applyFill="true" applyBorder="true" applyAlignment="true" applyProtection="false">
      <alignment vertical="top" wrapText="1" horizontal="right"/>
    </xf>
    <xf numFmtId="164" fontId="0" fillId="11" borderId="4" xfId="0" applyFont="false" applyFill="true" applyBorder="true" applyAlignment="true" applyProtection="false">
      <alignment vertical="top" wrapText="1" horizontal="right"/>
    </xf>
    <xf numFmtId="164" fontId="0" fillId="11" borderId="3" xfId="0" applyFont="false" applyFill="true" applyBorder="true" applyAlignment="true" applyProtection="false">
      <alignment vertical="top" wrapText="1" horizontal="right"/>
    </xf>
    <xf numFmtId="164" fontId="0" fillId="11" borderId="7" xfId="0" applyFont="false" applyFill="true" applyBorder="true" applyAlignment="true" applyProtection="false">
      <alignment vertical="top" wrapText="1" horizontal="right"/>
    </xf>
    <xf numFmtId="164" fontId="0" fillId="11" borderId="5" xfId="0" applyFont="false" applyFill="true" applyBorder="true" applyAlignment="true" applyProtection="false">
      <alignment vertical="top" wrapText="1" horizontal="right"/>
    </xf>
    <xf numFmtId="164" fontId="0" fillId="11" borderId="6" xfId="0" applyFont="false" applyFill="true" applyBorder="true" applyAlignment="true" applyProtection="false">
      <alignment vertical="top" wrapText="1" horizontal="right"/>
    </xf>
    <xf numFmtId="164" fontId="0" fillId="9" borderId="1" xfId="0" applyFont="false" applyFill="true" applyBorder="true" applyAlignment="true" applyProtection="false">
      <alignment vertical="top" wrapText="1" horizontal="right"/>
    </xf>
    <xf numFmtId="164" fontId="0" fillId="9" borderId="2" xfId="0" applyFont="false" applyFill="true" applyBorder="true" applyAlignment="true" applyProtection="false">
      <alignment vertical="top" wrapText="1" horizontal="right"/>
    </xf>
    <xf numFmtId="164" fontId="0" fillId="9" borderId="9" xfId="0" applyFont="false" applyFill="true" applyBorder="true" applyAlignment="true" applyProtection="false">
      <alignment vertical="top" wrapText="1" horizontal="right"/>
    </xf>
    <xf numFmtId="164" fontId="0" fillId="9" borderId="4" xfId="0" applyFont="false" applyFill="true" applyBorder="true" applyAlignment="true" applyProtection="false">
      <alignment vertical="top" wrapText="1" horizontal="right"/>
    </xf>
    <xf numFmtId="164" fontId="0" fillId="9" borderId="3" xfId="0" applyFont="false" applyFill="true" applyBorder="true" applyAlignment="true" applyProtection="false">
      <alignment vertical="top" wrapText="1" horizontal="right"/>
    </xf>
    <xf numFmtId="164" fontId="0" fillId="9" borderId="7" xfId="0" applyFont="false" applyFill="true" applyBorder="true" applyAlignment="true" applyProtection="false">
      <alignment vertical="top" wrapText="1" horizontal="right"/>
    </xf>
    <xf numFmtId="164" fontId="0" fillId="9" borderId="5" xfId="0" applyFont="false" applyFill="true" applyBorder="true" applyAlignment="true" applyProtection="false">
      <alignment vertical="top" wrapText="1" horizontal="right"/>
    </xf>
    <xf numFmtId="164" fontId="0" fillId="9" borderId="6" xfId="0" applyFont="false" applyFill="true" applyBorder="true" applyAlignment="true" applyProtection="false">
      <alignment vertical="top" wrapText="1" horizontal="right"/>
    </xf>
    <xf numFmtId="164" fontId="4" fillId="3" borderId="1" xfId="0" applyFont="true" applyFill="true" applyBorder="true" applyAlignment="true" applyProtection="false">
      <alignment vertical="top" wrapText="1" horizontal="right"/>
    </xf>
    <xf numFmtId="164" fontId="4" fillId="3" borderId="2" xfId="0" applyFont="true" applyFill="true" applyBorder="true" applyAlignment="true" applyProtection="false">
      <alignment vertical="top" wrapText="1" horizontal="right"/>
    </xf>
    <xf numFmtId="164" fontId="4" fillId="3" borderId="9" xfId="0" applyFont="true" applyFill="true" applyBorder="true" applyAlignment="true" applyProtection="false">
      <alignment vertical="top" wrapText="1" horizontal="right"/>
    </xf>
    <xf numFmtId="164" fontId="4" fillId="3" borderId="4" xfId="0" applyFont="true" applyFill="true" applyBorder="true" applyAlignment="true" applyProtection="false">
      <alignment vertical="top" wrapText="1" horizontal="right"/>
    </xf>
    <xf numFmtId="164" fontId="4" fillId="3" borderId="3" xfId="0" applyFont="true" applyFill="true" applyBorder="true" applyAlignment="true" applyProtection="false">
      <alignment vertical="top" wrapText="1" horizontal="right"/>
    </xf>
    <xf numFmtId="164" fontId="4" fillId="3" borderId="7" xfId="0" applyFont="true" applyFill="true" applyBorder="true" applyAlignment="true" applyProtection="false">
      <alignment vertical="top" wrapText="1" horizontal="right"/>
    </xf>
    <xf numFmtId="164" fontId="4" fillId="3" borderId="5" xfId="0" applyFont="true" applyFill="true" applyBorder="true" applyAlignment="true" applyProtection="false">
      <alignment vertical="top" wrapText="1" horizontal="right"/>
    </xf>
    <xf numFmtId="164" fontId="4" fillId="3" borderId="6" xfId="0" applyFont="true" applyFill="true" applyBorder="true" applyAlignment="true" applyProtection="false">
      <alignment vertical="top" wrapText="1" horizontal="right"/>
    </xf>
    <xf numFmtId="164" fontId="0" fillId="13" borderId="1" xfId="0" applyFont="false" applyFill="true" applyBorder="true" applyAlignment="true" applyProtection="false">
      <alignment vertical="top" wrapText="1" horizontal="right"/>
    </xf>
    <xf numFmtId="164" fontId="0" fillId="13" borderId="2" xfId="0" applyFont="false" applyFill="true" applyBorder="true" applyAlignment="true" applyProtection="false">
      <alignment vertical="top" wrapText="1" horizontal="right"/>
    </xf>
    <xf numFmtId="164" fontId="0" fillId="13" borderId="9" xfId="0" applyFont="false" applyFill="true" applyBorder="true" applyAlignment="true" applyProtection="false">
      <alignment vertical="top" wrapText="1" horizontal="right"/>
    </xf>
    <xf numFmtId="164" fontId="0" fillId="13" borderId="4" xfId="0" applyFont="false" applyFill="true" applyBorder="true" applyAlignment="true" applyProtection="false">
      <alignment vertical="top" wrapText="1" horizontal="right"/>
    </xf>
    <xf numFmtId="164" fontId="0" fillId="13" borderId="3" xfId="0" applyFont="false" applyFill="true" applyBorder="true" applyAlignment="true" applyProtection="false">
      <alignment vertical="top" wrapText="1" horizontal="right"/>
    </xf>
    <xf numFmtId="164" fontId="0" fillId="13" borderId="7" xfId="0" applyFont="false" applyFill="true" applyBorder="true" applyAlignment="true" applyProtection="false">
      <alignment vertical="top" wrapText="1" horizontal="right"/>
    </xf>
    <xf numFmtId="164" fontId="0" fillId="13" borderId="5" xfId="0" applyFont="false" applyFill="true" applyBorder="true" applyAlignment="true" applyProtection="false">
      <alignment vertical="top" wrapText="1" horizontal="right"/>
    </xf>
    <xf numFmtId="164" fontId="0" fillId="13" borderId="6" xfId="0" applyFont="false" applyFill="true" applyBorder="true" applyAlignment="true" applyProtection="false">
      <alignment vertical="top" wrapText="1" horizontal="right"/>
    </xf>
    <xf numFmtId="164" fontId="0" fillId="38" borderId="0" xfId="0" applyFont="false" applyFill="true" applyBorder="false" applyAlignment="true" applyProtection="false">
      <alignment vertical="top" wrapText="1"/>
    </xf>
    <xf numFmtId="164" fontId="0" fillId="38" borderId="1" xfId="0" applyFont="false" applyFill="true" applyBorder="true" applyAlignment="true" applyProtection="false">
      <alignment vertical="top" wrapText="1"/>
    </xf>
    <xf numFmtId="164" fontId="0" fillId="38" borderId="2" xfId="0" applyFont="false" applyFill="true" applyBorder="true" applyAlignment="true" applyProtection="false">
      <alignment vertical="top" wrapText="1"/>
    </xf>
    <xf numFmtId="164" fontId="0" fillId="38" borderId="9" xfId="0" applyFont="false" applyFill="true" applyBorder="true" applyAlignment="true" applyProtection="false">
      <alignment vertical="top" wrapText="1"/>
    </xf>
    <xf numFmtId="164" fontId="0" fillId="38" borderId="4" xfId="0" applyFont="false" applyFill="true" applyBorder="true" applyAlignment="true" applyProtection="false">
      <alignment vertical="top" wrapText="1"/>
    </xf>
    <xf numFmtId="164" fontId="0" fillId="38" borderId="3" xfId="0" applyFont="false" applyFill="true" applyBorder="true" applyAlignment="true" applyProtection="false">
      <alignment vertical="top" wrapText="1"/>
    </xf>
    <xf numFmtId="164" fontId="0" fillId="38" borderId="7" xfId="0" applyFont="false" applyFill="true" applyBorder="true" applyAlignment="true" applyProtection="false">
      <alignment vertical="top" wrapText="1"/>
    </xf>
    <xf numFmtId="164" fontId="0" fillId="38" borderId="5" xfId="0" applyFont="false" applyFill="true" applyBorder="true" applyAlignment="true" applyProtection="false">
      <alignment vertical="top" wrapText="1"/>
    </xf>
    <xf numFmtId="164" fontId="0" fillId="38" borderId="6" xfId="0" applyFont="false" applyFill="true" applyBorder="true" applyAlignment="true" applyProtection="false">
      <alignment vertical="top" wrapText="1"/>
    </xf>
    <xf numFmtId="164" fontId="0" fillId="39" borderId="0" xfId="0" applyFont="false" applyFill="true" applyBorder="false" applyAlignment="true" applyProtection="false">
      <alignment vertical="top" wrapText="1"/>
    </xf>
    <xf numFmtId="164" fontId="0" fillId="39" borderId="1" xfId="0" applyFont="false" applyFill="true" applyBorder="true" applyAlignment="true" applyProtection="false">
      <alignment vertical="top" wrapText="1"/>
    </xf>
    <xf numFmtId="164" fontId="0" fillId="39" borderId="2" xfId="0" applyFont="false" applyFill="true" applyBorder="true" applyAlignment="true" applyProtection="false">
      <alignment vertical="top" wrapText="1"/>
    </xf>
    <xf numFmtId="164" fontId="0" fillId="39" borderId="9" xfId="0" applyFont="false" applyFill="true" applyBorder="true" applyAlignment="true" applyProtection="false">
      <alignment vertical="top" wrapText="1"/>
    </xf>
    <xf numFmtId="164" fontId="0" fillId="39" borderId="4" xfId="0" applyFont="false" applyFill="true" applyBorder="true" applyAlignment="true" applyProtection="false">
      <alignment vertical="top" wrapText="1"/>
    </xf>
    <xf numFmtId="164" fontId="0" fillId="39" borderId="3" xfId="0" applyFont="false" applyFill="true" applyBorder="true" applyAlignment="true" applyProtection="false">
      <alignment vertical="top" wrapText="1"/>
    </xf>
    <xf numFmtId="164" fontId="0" fillId="39" borderId="7" xfId="0" applyFont="false" applyFill="true" applyBorder="true" applyAlignment="true" applyProtection="false">
      <alignment vertical="top" wrapText="1"/>
    </xf>
    <xf numFmtId="164" fontId="0" fillId="39" borderId="5" xfId="0" applyFont="false" applyFill="true" applyBorder="true" applyAlignment="true" applyProtection="false">
      <alignment vertical="top" wrapText="1"/>
    </xf>
    <xf numFmtId="164" fontId="0" fillId="39" borderId="6" xfId="0" applyFont="false" applyFill="true" applyBorder="true" applyAlignment="true" applyProtection="false">
      <alignment vertical="top" wrapText="1"/>
    </xf>
    <xf numFmtId="164" fontId="0" fillId="40" borderId="0" xfId="0" applyFont="false" applyFill="true" applyBorder="false" applyAlignment="true" applyProtection="false">
      <alignment vertical="top" wrapText="1"/>
    </xf>
    <xf numFmtId="164" fontId="0" fillId="40" borderId="1" xfId="0" applyFont="false" applyFill="true" applyBorder="true" applyAlignment="true" applyProtection="false">
      <alignment vertical="top" wrapText="1"/>
    </xf>
    <xf numFmtId="164" fontId="0" fillId="40" borderId="2" xfId="0" applyFont="false" applyFill="true" applyBorder="true" applyAlignment="true" applyProtection="false">
      <alignment vertical="top" wrapText="1"/>
    </xf>
    <xf numFmtId="164" fontId="0" fillId="40" borderId="9" xfId="0" applyFont="false" applyFill="true" applyBorder="true" applyAlignment="true" applyProtection="false">
      <alignment vertical="top" wrapText="1"/>
    </xf>
    <xf numFmtId="164" fontId="0" fillId="40" borderId="4" xfId="0" applyFont="false" applyFill="true" applyBorder="true" applyAlignment="true" applyProtection="false">
      <alignment vertical="top" wrapText="1"/>
    </xf>
    <xf numFmtId="164" fontId="0" fillId="40" borderId="3" xfId="0" applyFont="false" applyFill="true" applyBorder="true" applyAlignment="true" applyProtection="false">
      <alignment vertical="top" wrapText="1"/>
    </xf>
    <xf numFmtId="164" fontId="0" fillId="40" borderId="7" xfId="0" applyFont="false" applyFill="true" applyBorder="true" applyAlignment="true" applyProtection="false">
      <alignment vertical="top" wrapText="1"/>
    </xf>
    <xf numFmtId="164" fontId="0" fillId="40" borderId="5" xfId="0" applyFont="false" applyFill="true" applyBorder="true" applyAlignment="true" applyProtection="false">
      <alignment vertical="top" wrapText="1"/>
    </xf>
    <xf numFmtId="164" fontId="0" fillId="40" borderId="6" xfId="0" applyFont="false" applyFill="true" applyBorder="true" applyAlignment="true" applyProtection="false">
      <alignment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7C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4A7D6"/>
      <rgbColor rgb="FFFFCC99"/>
      <rgbColor rgb="FF4472C4"/>
      <rgbColor rgb="FF33CCCC"/>
      <rgbColor rgb="FF92D050"/>
      <rgbColor rgb="FFFFC000"/>
      <rgbColor rgb="FFFF9900"/>
      <rgbColor rgb="FFFF6666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 filterMode="false">
    <pageSetUpPr fitToPage="false"/>
  </sheetPr>
  <dimension ref="A1:W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7421875" defaultRowHeight="12.8" zeroHeight="false" outlineLevelRow="0" outlineLevelCol="0"/>
  <cols>
    <col min="1" max="1" width="14" hidden="false" customWidth="true"/>
    <col min="2" max="2" width="16" hidden="false" customWidth="true"/>
    <col min="3" max="3" width="12" hidden="false" customWidth="true"/>
    <col min="4" max="4" width="12" hidden="false" customWidth="true"/>
    <col min="5" max="5" width="14" hidden="false" customWidth="true"/>
    <col min="6" max="6" width="12" hidden="false" customWidth="true"/>
    <col min="7" max="7" width="14" hidden="false" customWidth="true"/>
    <col min="8" max="8" width="9" hidden="false" customWidth="true"/>
    <col min="9" max="9" width="12" hidden="false" customWidth="true"/>
    <col min="10" max="10" width="14" hidden="false" customWidth="true"/>
    <col min="11" max="11" width="12" hidden="false" customWidth="true"/>
    <col min="12" max="12" width="4" hidden="false" customWidth="true"/>
    <col min="13" max="13" width="4" hidden="false" customWidth="true"/>
    <col min="14" max="14" width="10" hidden="false" customWidth="true"/>
    <col min="15" max="15" width="12" hidden="false" customWidth="true"/>
    <col min="16" max="16" width="12" hidden="false" customWidth="true"/>
    <col min="17" max="17" width="8" hidden="false" customWidth="true"/>
    <col min="18" max="18" width="16" hidden="false" customWidth="true"/>
    <col min="19" max="19" width="10" hidden="false" customWidth="true"/>
    <col min="20" max="20" width="12" hidden="false" customWidth="true"/>
    <col min="21" max="21" width="0.1" hidden="true" customWidth="true"/>
    <col min="22" max="22" width="0.1" hidden="true" customWidth="true"/>
    <col min="23" max="23" width="0.1" hidden="true" customWidth="true"/>
  </cols>
  <sheetData>
    <row r="1" customFormat="false" ht="20" hidden="false" customHeight="true" outlineLevel="0" collapsed="false">
      <c r="A1" s="219" t="s">
        <v>0</v>
      </c>
      <c r="B1" s="221" t="s">
        <v>1</v>
      </c>
      <c r="C1" s="146" t="s">
        <v>1</v>
      </c>
      <c r="D1" s="147" t="s">
        <v>2</v>
      </c>
      <c r="E1" s="476" t="str">
        <f>COUNTIF(U18:U58,"Done")&amp;" ("&amp;IF(COUNTA(A18:A58)=0,"0%",TEXT(COUNTIF(U18:U58,"Done")/COUNTA(A18:A58),"0%"))&amp;")"</f>
        <v>41 (100%)</v>
      </c>
      <c r="F1" s="146" t="s">
        <v>1</v>
      </c>
      <c r="G1" s="146" t="s">
        <v>1</v>
      </c>
      <c r="H1" s="146" t="s">
        <v>1</v>
      </c>
      <c r="I1" s="146" t="s">
        <v>1</v>
      </c>
      <c r="J1" s="146" t="s">
        <v>1</v>
      </c>
      <c r="K1" s="146" t="s">
        <v>1</v>
      </c>
      <c r="L1" s="146" t="s">
        <v>1</v>
      </c>
      <c r="M1" s="146" t="s">
        <v>1</v>
      </c>
      <c r="N1" s="146" t="s">
        <v>1</v>
      </c>
      <c r="O1" s="146" t="s">
        <v>1</v>
      </c>
      <c r="P1" s="146" t="s">
        <v>1</v>
      </c>
      <c r="Q1" s="146" t="s">
        <v>1</v>
      </c>
      <c r="R1" s="146" t="s">
        <v>1</v>
      </c>
      <c r="S1" s="146" t="s">
        <v>1</v>
      </c>
      <c r="T1" s="146" t="s">
        <v>1</v>
      </c>
    </row>
    <row r="2" customFormat="false" ht="15" hidden="false" customHeight="false" outlineLevel="0" collapsed="false">
      <c r="A2" s="182" t="s">
        <v>4</v>
      </c>
      <c r="B2" s="183" t="s">
        <v>5</v>
      </c>
      <c r="C2" s="146" t="s">
        <v>1</v>
      </c>
      <c r="D2" s="158" t="s">
        <v>6</v>
      </c>
      <c r="E2" s="486">
        <f>COUNTIF(U18:U58,"Pending")</f>
        <v>0</v>
      </c>
      <c r="F2" s="146" t="s">
        <v>1</v>
      </c>
      <c r="G2" s="146" t="s">
        <v>1</v>
      </c>
      <c r="H2" s="146" t="s">
        <v>1</v>
      </c>
      <c r="I2" s="146" t="s">
        <v>1</v>
      </c>
      <c r="J2" s="146" t="s">
        <v>1</v>
      </c>
      <c r="K2" s="146" t="s">
        <v>1</v>
      </c>
      <c r="L2" s="146" t="s">
        <v>1</v>
      </c>
      <c r="M2" s="146" t="s">
        <v>1</v>
      </c>
      <c r="N2" s="146" t="s">
        <v>1</v>
      </c>
      <c r="O2" s="146" t="s">
        <v>1</v>
      </c>
      <c r="P2" s="146" t="s">
        <v>1</v>
      </c>
      <c r="Q2" s="146" t="s">
        <v>1</v>
      </c>
      <c r="R2" s="146" t="s">
        <v>1</v>
      </c>
      <c r="S2" s="146" t="s">
        <v>1</v>
      </c>
      <c r="T2" s="146" t="s">
        <v>1</v>
      </c>
    </row>
    <row r="3" customFormat="false" ht="15" hidden="false" customHeight="false" outlineLevel="0" collapsed="false">
      <c r="A3" s="190" t="s">
        <v>8</v>
      </c>
      <c r="B3" s="191" t="s">
        <v>9</v>
      </c>
      <c r="C3" s="146" t="s">
        <v>1</v>
      </c>
      <c r="D3" s="174" t="s">
        <v>10</v>
      </c>
      <c r="E3" s="502">
        <f>COUNTIF(U18:U58,"Not started")</f>
        <v>0</v>
      </c>
      <c r="F3" s="146" t="s">
        <v>1</v>
      </c>
      <c r="G3" s="146" t="s">
        <v>1</v>
      </c>
      <c r="H3" s="146" t="s">
        <v>1</v>
      </c>
      <c r="I3" s="146" t="s">
        <v>1</v>
      </c>
      <c r="J3" s="146" t="s">
        <v>1</v>
      </c>
      <c r="K3" s="146" t="s">
        <v>1</v>
      </c>
      <c r="L3" s="146" t="s">
        <v>1</v>
      </c>
      <c r="M3" s="146" t="s">
        <v>1</v>
      </c>
      <c r="N3" s="146" t="s">
        <v>1</v>
      </c>
      <c r="O3" s="146" t="s">
        <v>1</v>
      </c>
      <c r="P3" s="146" t="s">
        <v>1</v>
      </c>
      <c r="Q3" s="146" t="s">
        <v>1</v>
      </c>
      <c r="R3" s="146" t="s">
        <v>1</v>
      </c>
      <c r="S3" s="146" t="s">
        <v>1</v>
      </c>
      <c r="T3" s="146" t="s">
        <v>1</v>
      </c>
    </row>
    <row r="4" customFormat="false" ht="15" hidden="false" customHeight="false" outlineLevel="0" collapsed="false">
      <c r="A4" s="198" t="s">
        <v>11</v>
      </c>
      <c r="B4" s="199" t="s">
        <v>12</v>
      </c>
      <c r="C4" s="146" t="s">
        <v>1</v>
      </c>
      <c r="D4" s="166" t="s">
        <v>13</v>
      </c>
      <c r="E4" s="494">
        <f>COUNTIF(U18:U58,"Failed")</f>
        <v>0</v>
      </c>
      <c r="F4" s="146" t="s">
        <v>1</v>
      </c>
      <c r="G4" s="146" t="s">
        <v>1</v>
      </c>
      <c r="H4" s="146" t="s">
        <v>1</v>
      </c>
      <c r="I4" s="146" t="s">
        <v>1</v>
      </c>
      <c r="J4" s="146" t="s">
        <v>1</v>
      </c>
      <c r="K4" s="146" t="s">
        <v>1</v>
      </c>
      <c r="L4" s="146" t="s">
        <v>1</v>
      </c>
      <c r="M4" s="146" t="s">
        <v>1</v>
      </c>
      <c r="N4" s="146" t="s">
        <v>1</v>
      </c>
      <c r="O4" s="146" t="s">
        <v>1</v>
      </c>
      <c r="P4" s="146" t="s">
        <v>1</v>
      </c>
      <c r="Q4" s="146" t="s">
        <v>1</v>
      </c>
      <c r="R4" s="146" t="s">
        <v>1</v>
      </c>
      <c r="S4" s="146" t="s">
        <v>1</v>
      </c>
      <c r="T4" s="146" t="s">
        <v>1</v>
      </c>
    </row>
    <row r="5" customFormat="false" ht="15" hidden="false" customHeight="false" outlineLevel="0" collapsed="false">
      <c r="A5" s="208" t="s">
        <v>14</v>
      </c>
      <c r="B5" s="210" t="s">
        <v>15</v>
      </c>
      <c r="C5" s="146" t="s">
        <v>1</v>
      </c>
      <c r="D5" s="232" t="s">
        <v>16</v>
      </c>
      <c r="E5" s="513">
        <f>COUNTA(A18:A58)</f>
        <v>41</v>
      </c>
      <c r="F5" s="146" t="s">
        <v>1</v>
      </c>
      <c r="G5" s="146" t="s">
        <v>1</v>
      </c>
      <c r="H5" s="146" t="s">
        <v>1</v>
      </c>
      <c r="I5" s="146" t="s">
        <v>1</v>
      </c>
      <c r="J5" s="146" t="s">
        <v>1</v>
      </c>
      <c r="K5" s="146" t="s">
        <v>1</v>
      </c>
      <c r="L5" s="146" t="s">
        <v>1</v>
      </c>
      <c r="M5" s="146" t="s">
        <v>1</v>
      </c>
      <c r="N5" s="146" t="s">
        <v>1</v>
      </c>
      <c r="O5" s="146" t="s">
        <v>1</v>
      </c>
      <c r="P5" s="146" t="s">
        <v>1</v>
      </c>
      <c r="Q5" s="146" t="s">
        <v>1</v>
      </c>
      <c r="R5" s="146" t="s">
        <v>1</v>
      </c>
      <c r="S5" s="146" t="s">
        <v>1</v>
      </c>
      <c r="T5" s="146" t="s">
        <v>1</v>
      </c>
    </row>
    <row r="6" customFormat="false" ht="20" hidden="false" customHeight="true" outlineLevel="0" collapsed="false">
      <c r="A6" s="145" t="s">
        <v>18</v>
      </c>
      <c r="B6" s="145" t="s">
        <v>1</v>
      </c>
      <c r="C6" s="145" t="s">
        <v>1</v>
      </c>
      <c r="D6" s="145" t="s">
        <v>1</v>
      </c>
      <c r="E6" s="145" t="s">
        <v>1</v>
      </c>
      <c r="F6" s="145" t="s">
        <v>1</v>
      </c>
      <c r="G6" s="145" t="s">
        <v>1</v>
      </c>
      <c r="H6" s="145" t="s">
        <v>1</v>
      </c>
      <c r="I6" s="145" t="s">
        <v>1</v>
      </c>
      <c r="J6" s="145" t="s">
        <v>1</v>
      </c>
      <c r="K6" s="145" t="s">
        <v>1</v>
      </c>
      <c r="L6" s="145" t="s">
        <v>1</v>
      </c>
      <c r="M6" s="145" t="s">
        <v>1</v>
      </c>
      <c r="N6" s="145" t="s">
        <v>1</v>
      </c>
      <c r="O6" s="145" t="s">
        <v>1</v>
      </c>
      <c r="P6" s="145" t="s">
        <v>1</v>
      </c>
      <c r="Q6" s="145" t="s">
        <v>1</v>
      </c>
      <c r="R6" s="145" t="s">
        <v>1</v>
      </c>
      <c r="S6" s="145" t="s">
        <v>1</v>
      </c>
      <c r="T6" s="145" t="s">
        <v>1</v>
      </c>
    </row>
    <row r="7" customFormat="false" ht="15" hidden="false" customHeight="false" outlineLevel="0" collapsed="false">
      <c r="A7" s="211" t="s">
        <v>19</v>
      </c>
      <c r="B7" s="212" t="s">
        <v>1</v>
      </c>
      <c r="C7" s="212" t="s">
        <v>20</v>
      </c>
      <c r="D7" s="212" t="s">
        <v>21</v>
      </c>
      <c r="E7" s="213" t="s">
        <v>1</v>
      </c>
      <c r="F7" s="211" t="s">
        <v>19</v>
      </c>
      <c r="G7" s="212" t="s">
        <v>1</v>
      </c>
      <c r="H7" s="212" t="s">
        <v>20</v>
      </c>
      <c r="I7" s="212" t="s">
        <v>21</v>
      </c>
      <c r="J7" s="213" t="s">
        <v>1</v>
      </c>
      <c r="K7" s="136" t="s">
        <v>1</v>
      </c>
      <c r="L7" s="136" t="s">
        <v>1</v>
      </c>
      <c r="M7" s="136" t="s">
        <v>1</v>
      </c>
      <c r="N7" s="136" t="s">
        <v>1</v>
      </c>
      <c r="O7" s="136" t="s">
        <v>1</v>
      </c>
      <c r="P7" s="136" t="s">
        <v>1</v>
      </c>
      <c r="Q7" s="136" t="s">
        <v>1</v>
      </c>
      <c r="R7" s="136" t="s">
        <v>1</v>
      </c>
      <c r="S7" s="136" t="s">
        <v>1</v>
      </c>
      <c r="T7" s="136" t="s">
        <v>1</v>
      </c>
    </row>
    <row r="8" customFormat="false" ht="15" hidden="false" customHeight="false" outlineLevel="0" collapsed="false">
      <c r="A8" s="293" t="s">
        <v>22</v>
      </c>
      <c r="B8" s="254" t="s">
        <v>1</v>
      </c>
      <c r="C8" s="254" t="s">
        <v>23</v>
      </c>
      <c r="D8" s="135" t="str">
        <f>COUNTIFS($C$18:$C$58,A8,$U$18:$U$58,"Done")&amp;" passed / "&amp;COUNTIF($C$18:$C$58,A8)&amp;" total ("&amp;IF(COUNTIF($C$18:$C$58,A8)=0,"0%",TEXT(COUNTIFS($C$18:$C$58,A8,$U$18:$U$58,"Done")/COUNTIF($C$18:$C$58,A8),"0%"))&amp;") · "&amp;SUMIFS($V$18:$V$58,$C$18:$C$58,A8,$U$18:$U$58,"&lt;&gt;Done")&amp;"/"&amp;SUMIFS($W$18:$W$58,$C$18:$C$58,A8,$U$18:$U$58,"&lt;&gt;Done")</f>
        <v>5 passed / 5 total (100%) · 0/0</v>
      </c>
      <c r="E8" s="151" t="s">
        <v>1</v>
      </c>
      <c r="F8" s="535" t="s">
        <v>25</v>
      </c>
      <c r="G8" s="531" t="s">
        <v>1</v>
      </c>
      <c r="H8" s="531" t="s">
        <v>26</v>
      </c>
      <c r="I8" s="135" t="str">
        <f>COUNTIFS($C$18:$C$58,F8,$U$18:$U$58,"Done")&amp;" passed / "&amp;COUNTIF($C$18:$C$58,F8)&amp;" total ("&amp;IF(COUNTIF($C$18:$C$58,F8)=0,"0%",TEXT(COUNTIFS($C$18:$C$58,F8,$U$18:$U$58,"Done")/COUNTIF($C$18:$C$58,F8),"0%"))&amp;") · "&amp;SUMIFS($V$18:$V$58,$C$18:$C$58,F8,$U$18:$U$58,"&lt;&gt;Done")&amp;"/"&amp;SUMIFS($W$18:$W$58,$C$18:$C$58,F8,$U$18:$U$58,"&lt;&gt;Done")</f>
        <v>3 passed / 3 total (100%) · 0/0</v>
      </c>
      <c r="J8" s="151" t="s">
        <v>1</v>
      </c>
      <c r="K8" s="136" t="s">
        <v>1</v>
      </c>
      <c r="L8" s="136" t="s">
        <v>1</v>
      </c>
      <c r="M8" s="136" t="s">
        <v>1</v>
      </c>
      <c r="N8" s="136" t="s">
        <v>1</v>
      </c>
      <c r="O8" s="136" t="s">
        <v>1</v>
      </c>
      <c r="P8" s="136" t="s">
        <v>1</v>
      </c>
      <c r="Q8" s="136" t="s">
        <v>1</v>
      </c>
      <c r="R8" s="136" t="s">
        <v>1</v>
      </c>
      <c r="S8" s="136" t="s">
        <v>1</v>
      </c>
      <c r="T8" s="136" t="s">
        <v>1</v>
      </c>
    </row>
    <row r="9" customFormat="false" ht="15" hidden="false" customHeight="false" outlineLevel="0" collapsed="false">
      <c r="A9" s="277" t="s">
        <v>28</v>
      </c>
      <c r="B9" s="252" t="s">
        <v>1</v>
      </c>
      <c r="C9" s="252" t="s">
        <v>29</v>
      </c>
      <c r="D9" s="135" t="str">
        <f>COUNTIFS($C$18:$C$58,A9,$U$18:$U$58,"Done")&amp;" passed / "&amp;COUNTIF($C$18:$C$58,A9)&amp;" total ("&amp;IF(COUNTIF($C$18:$C$58,A9)=0,"0%",TEXT(COUNTIFS($C$18:$C$58,A9,$U$18:$U$58,"Done")/COUNTIF($C$18:$C$58,A9),"0%"))&amp;") · "&amp;SUMIFS($V$18:$V$58,$C$18:$C$58,A9,$U$18:$U$58,"&lt;&gt;Done")&amp;"/"&amp;SUMIFS($W$18:$W$58,$C$18:$C$58,A9,$U$18:$U$58,"&lt;&gt;Done")</f>
        <v>1 passed / 1 total (100%) · 0/0</v>
      </c>
      <c r="E9" s="151" t="s">
        <v>1</v>
      </c>
      <c r="F9" s="349" t="s">
        <v>31</v>
      </c>
      <c r="G9" s="261" t="s">
        <v>1</v>
      </c>
      <c r="H9" s="261" t="s">
        <v>32</v>
      </c>
      <c r="I9" s="135" t="str">
        <f>COUNTIFS($C$18:$C$58,F9,$U$18:$U$58,"Done")&amp;" passed / "&amp;COUNTIF($C$18:$C$58,F9)&amp;" total ("&amp;IF(COUNTIF($C$18:$C$58,F9)=0,"0%",TEXT(COUNTIFS($C$18:$C$58,F9,$U$18:$U$58,"Done")/COUNTIF($C$18:$C$58,F9),"0%"))&amp;") · "&amp;SUMIFS($V$18:$V$58,$C$18:$C$58,F9,$U$18:$U$58,"&lt;&gt;Done")&amp;"/"&amp;SUMIFS($W$18:$W$58,$C$18:$C$58,F9,$U$18:$U$58,"&lt;&gt;Done")</f>
        <v>1 passed / 1 total (100%) · 0/0</v>
      </c>
      <c r="J9" s="151" t="s">
        <v>1</v>
      </c>
      <c r="K9" s="136" t="s">
        <v>1</v>
      </c>
      <c r="L9" s="136" t="s">
        <v>1</v>
      </c>
      <c r="M9" s="136" t="s">
        <v>1</v>
      </c>
      <c r="N9" s="136" t="s">
        <v>1</v>
      </c>
      <c r="O9" s="136" t="s">
        <v>1</v>
      </c>
      <c r="P9" s="136" t="s">
        <v>1</v>
      </c>
      <c r="Q9" s="136" t="s">
        <v>1</v>
      </c>
      <c r="R9" s="136" t="s">
        <v>1</v>
      </c>
      <c r="S9" s="136" t="s">
        <v>1</v>
      </c>
      <c r="T9" s="136" t="s">
        <v>1</v>
      </c>
    </row>
    <row r="10" customFormat="false" ht="15" hidden="false" customHeight="false" outlineLevel="0" collapsed="false">
      <c r="A10" s="285" t="s">
        <v>33</v>
      </c>
      <c r="B10" s="253" t="s">
        <v>1</v>
      </c>
      <c r="C10" s="253" t="s">
        <v>34</v>
      </c>
      <c r="D10" s="135" t="str">
        <f>COUNTIFS($C$18:$C$58,A10,$U$18:$U$58,"Done")&amp;" passed / "&amp;COUNTIF($C$18:$C$58,A10)&amp;" total ("&amp;IF(COUNTIF($C$18:$C$58,A10)=0,"0%",TEXT(COUNTIFS($C$18:$C$58,A10,$U$18:$U$58,"Done")/COUNTIF($C$18:$C$58,A10),"0%"))&amp;") · "&amp;SUMIFS($V$18:$V$58,$C$18:$C$58,A10,$U$18:$U$58,"&lt;&gt;Done")&amp;"/"&amp;SUMIFS($W$18:$W$58,$C$18:$C$58,A10,$U$18:$U$58,"&lt;&gt;Done")</f>
        <v>4 passed / 4 total (100%) · 0/0</v>
      </c>
      <c r="E10" s="151" t="s">
        <v>1</v>
      </c>
      <c r="F10" s="301" t="s">
        <v>36</v>
      </c>
      <c r="G10" s="255" t="s">
        <v>1</v>
      </c>
      <c r="H10" s="255" t="s">
        <v>37</v>
      </c>
      <c r="I10" s="135" t="str">
        <f>COUNTIFS($C$18:$C$58,F10,$U$18:$U$58,"Done")&amp;" passed / "&amp;COUNTIF($C$18:$C$58,F10)&amp;" total ("&amp;IF(COUNTIF($C$18:$C$58,F10)=0,"0%",TEXT(COUNTIFS($C$18:$C$58,F10,$U$18:$U$58,"Done")/COUNTIF($C$18:$C$58,F10),"0%"))&amp;") · "&amp;SUMIFS($V$18:$V$58,$C$18:$C$58,F10,$U$18:$U$58,"&lt;&gt;Done")&amp;"/"&amp;SUMIFS($W$18:$W$58,$C$18:$C$58,F10,$U$18:$U$58,"&lt;&gt;Done")</f>
        <v>3 passed / 3 total (100%) · 0/0</v>
      </c>
      <c r="J10" s="151" t="s">
        <v>1</v>
      </c>
      <c r="K10" s="136" t="s">
        <v>1</v>
      </c>
      <c r="L10" s="136" t="s">
        <v>1</v>
      </c>
      <c r="M10" s="136" t="s">
        <v>1</v>
      </c>
      <c r="N10" s="136" t="s">
        <v>1</v>
      </c>
      <c r="O10" s="136" t="s">
        <v>1</v>
      </c>
      <c r="P10" s="136" t="s">
        <v>1</v>
      </c>
      <c r="Q10" s="136" t="s">
        <v>1</v>
      </c>
      <c r="R10" s="136" t="s">
        <v>1</v>
      </c>
      <c r="S10" s="136" t="s">
        <v>1</v>
      </c>
      <c r="T10" s="136" t="s">
        <v>1</v>
      </c>
    </row>
    <row r="11" customFormat="false" ht="15" hidden="false" customHeight="false" outlineLevel="0" collapsed="false">
      <c r="A11" s="309" t="s">
        <v>38</v>
      </c>
      <c r="B11" s="256" t="s">
        <v>1</v>
      </c>
      <c r="C11" s="256" t="s">
        <v>39</v>
      </c>
      <c r="D11" s="135" t="str">
        <f>COUNTIFS($C$18:$C$58,A11,$U$18:$U$58,"Done")&amp;" passed / "&amp;COUNTIF($C$18:$C$58,A11)&amp;" total ("&amp;IF(COUNTIF($C$18:$C$58,A11)=0,"0%",TEXT(COUNTIFS($C$18:$C$58,A11,$U$18:$U$58,"Done")/COUNTIF($C$18:$C$58,A11),"0%"))&amp;") · "&amp;SUMIFS($V$18:$V$58,$C$18:$C$58,A11,$U$18:$U$58,"&lt;&gt;Done")&amp;"/"&amp;SUMIFS($W$18:$W$58,$C$18:$C$58,A11,$U$18:$U$58,"&lt;&gt;Done")</f>
        <v>10 passed / 10 total (100%) · 0/0</v>
      </c>
      <c r="E11" s="151" t="s">
        <v>1</v>
      </c>
      <c r="F11" s="365" t="s">
        <v>41</v>
      </c>
      <c r="G11" s="263" t="s">
        <v>1</v>
      </c>
      <c r="H11" s="263" t="s">
        <v>42</v>
      </c>
      <c r="I11" s="135" t="str">
        <f>COUNTIFS($C$18:$C$58,F11,$U$18:$U$58,"Done")&amp;" passed / "&amp;COUNTIF($C$18:$C$58,F11)&amp;" total ("&amp;IF(COUNTIF($C$18:$C$58,F11)=0,"0%",TEXT(COUNTIFS($C$18:$C$58,F11,$U$18:$U$58,"Done")/COUNTIF($C$18:$C$58,F11),"0%"))&amp;") · "&amp;SUMIFS($V$18:$V$58,$C$18:$C$58,F11,$U$18:$U$58,"&lt;&gt;Done")&amp;"/"&amp;SUMIFS($W$18:$W$58,$C$18:$C$58,F11,$U$18:$U$58,"&lt;&gt;Done")</f>
        <v>3 passed / 3 total (100%) · 0/0</v>
      </c>
      <c r="J11" s="151" t="s">
        <v>1</v>
      </c>
      <c r="K11" s="136" t="s">
        <v>1</v>
      </c>
      <c r="L11" s="136" t="s">
        <v>1</v>
      </c>
      <c r="M11" s="136" t="s">
        <v>1</v>
      </c>
      <c r="N11" s="136" t="s">
        <v>1</v>
      </c>
      <c r="O11" s="136" t="s">
        <v>1</v>
      </c>
      <c r="P11" s="136" t="s">
        <v>1</v>
      </c>
      <c r="Q11" s="136" t="s">
        <v>1</v>
      </c>
      <c r="R11" s="136" t="s">
        <v>1</v>
      </c>
      <c r="S11" s="136" t="s">
        <v>1</v>
      </c>
      <c r="T11" s="136" t="s">
        <v>1</v>
      </c>
    </row>
    <row r="12" customFormat="false" ht="15" hidden="false" customHeight="false" outlineLevel="0" collapsed="false">
      <c r="A12" s="317" t="s">
        <v>43</v>
      </c>
      <c r="B12" s="257" t="s">
        <v>1</v>
      </c>
      <c r="C12" s="257" t="s">
        <v>44</v>
      </c>
      <c r="D12" s="135" t="str">
        <f>COUNTIFS($C$18:$C$58,A12,$U$18:$U$58,"Done")&amp;" passed / "&amp;COUNTIF($C$18:$C$58,A12)&amp;" total ("&amp;IF(COUNTIF($C$18:$C$58,A12)=0,"0%",TEXT(COUNTIFS($C$18:$C$58,A12,$U$18:$U$58,"Done")/COUNTIF($C$18:$C$58,A12),"0%"))&amp;") · "&amp;SUMIFS($V$18:$V$58,$C$18:$C$58,A12,$U$18:$U$58,"&lt;&gt;Done")&amp;"/"&amp;SUMIFS($W$18:$W$58,$C$18:$C$58,A12,$U$18:$U$58,"&lt;&gt;Done")</f>
        <v>3 passed / 3 total (100%) · 0/0</v>
      </c>
      <c r="E12" s="151" t="s">
        <v>1</v>
      </c>
      <c r="F12" s="544" t="s">
        <v>45</v>
      </c>
      <c r="G12" s="540" t="s">
        <v>1</v>
      </c>
      <c r="H12" s="540" t="s">
        <v>46</v>
      </c>
      <c r="I12" s="135" t="str">
        <f>COUNTIFS($C$18:$C$58,F12,$U$18:$U$58,"Done")&amp;" passed / "&amp;COUNTIF($C$18:$C$58,F12)&amp;" total ("&amp;IF(COUNTIF($C$18:$C$58,F12)=0,"0%",TEXT(COUNTIFS($C$18:$C$58,F12,$U$18:$U$58,"Done")/COUNTIF($C$18:$C$58,F12),"0%"))&amp;") · "&amp;SUMIFS($V$18:$V$58,$C$18:$C$58,F12,$U$18:$U$58,"&lt;&gt;Done")&amp;"/"&amp;SUMIFS($W$18:$W$58,$C$18:$C$58,F12,$U$18:$U$58,"&lt;&gt;Done")</f>
        <v>1 passed / 1 total (100%) · 0/0</v>
      </c>
      <c r="J12" s="151" t="s">
        <v>1</v>
      </c>
      <c r="K12" s="136" t="s">
        <v>1</v>
      </c>
      <c r="L12" s="136" t="s">
        <v>1</v>
      </c>
      <c r="M12" s="136" t="s">
        <v>1</v>
      </c>
      <c r="N12" s="136" t="s">
        <v>1</v>
      </c>
      <c r="O12" s="136" t="s">
        <v>1</v>
      </c>
      <c r="P12" s="136" t="s">
        <v>1</v>
      </c>
      <c r="Q12" s="136" t="s">
        <v>1</v>
      </c>
      <c r="R12" s="136" t="s">
        <v>1</v>
      </c>
      <c r="S12" s="136" t="s">
        <v>1</v>
      </c>
      <c r="T12" s="136" t="s">
        <v>1</v>
      </c>
    </row>
    <row r="13" customFormat="false" ht="15" hidden="false" customHeight="false" outlineLevel="0" collapsed="false">
      <c r="A13" s="325" t="s">
        <v>47</v>
      </c>
      <c r="B13" s="258" t="s">
        <v>1</v>
      </c>
      <c r="C13" s="258" t="s">
        <v>48</v>
      </c>
      <c r="D13" s="135" t="str">
        <f>COUNTIFS($C$18:$C$58,A13,$U$18:$U$58,"Done")&amp;" passed / "&amp;COUNTIF($C$18:$C$58,A13)&amp;" total ("&amp;IF(COUNTIF($C$18:$C$58,A13)=0,"0%",TEXT(COUNTIFS($C$18:$C$58,A13,$U$18:$U$58,"Done")/COUNTIF($C$18:$C$58,A13),"0%"))&amp;") · "&amp;SUMIFS($V$18:$V$58,$C$18:$C$58,A13,$U$18:$U$58,"&lt;&gt;Done")&amp;"/"&amp;SUMIFS($W$18:$W$58,$C$18:$C$58,A13,$U$18:$U$58,"&lt;&gt;Done")</f>
        <v>3 passed / 3 total (100%) · 0/0</v>
      </c>
      <c r="E13" s="151" t="s">
        <v>1</v>
      </c>
      <c r="F13" s="247" t="s">
        <v>49</v>
      </c>
      <c r="G13" s="243" t="s">
        <v>1</v>
      </c>
      <c r="H13" s="243" t="s">
        <v>50</v>
      </c>
      <c r="I13" s="135" t="str">
        <f>COUNTIFS($C$18:$C$58,F13,$U$18:$U$58,"Done")&amp;" passed / "&amp;COUNTIF($C$18:$C$58,F13)&amp;" total ("&amp;IF(COUNTIF($C$18:$C$58,F13)=0,"0%",TEXT(COUNTIFS($C$18:$C$58,F13,$U$18:$U$58,"Done")/COUNTIF($C$18:$C$58,F13),"0%"))&amp;") · "&amp;SUMIFS($V$18:$V$58,$C$18:$C$58,F13,$U$18:$U$58,"&lt;&gt;Done")&amp;"/"&amp;SUMIFS($W$18:$W$58,$C$18:$C$58,F13,$U$18:$U$58,"&lt;&gt;Done")</f>
        <v>3 passed / 3 total (100%) · 0/0</v>
      </c>
      <c r="J13" s="151" t="s">
        <v>1</v>
      </c>
      <c r="K13" s="136" t="s">
        <v>1</v>
      </c>
      <c r="L13" s="136" t="s">
        <v>1</v>
      </c>
      <c r="M13" s="136" t="s">
        <v>1</v>
      </c>
      <c r="N13" s="136" t="s">
        <v>1</v>
      </c>
      <c r="O13" s="136" t="s">
        <v>1</v>
      </c>
      <c r="P13" s="136" t="s">
        <v>1</v>
      </c>
      <c r="Q13" s="136" t="s">
        <v>1</v>
      </c>
      <c r="R13" s="136" t="s">
        <v>1</v>
      </c>
      <c r="S13" s="136" t="s">
        <v>1</v>
      </c>
      <c r="T13" s="136" t="s">
        <v>1</v>
      </c>
    </row>
    <row r="14" customFormat="false" ht="15" hidden="false" customHeight="false" outlineLevel="0" collapsed="false">
      <c r="A14" s="335" t="s">
        <v>51</v>
      </c>
      <c r="B14" s="336" t="s">
        <v>1</v>
      </c>
      <c r="C14" s="336" t="s">
        <v>52</v>
      </c>
      <c r="D14" s="153" t="str">
        <f>COUNTIFS($C$18:$C$58,A14,$U$18:$U$58,"Done")&amp;" passed / "&amp;COUNTIF($C$18:$C$58,A14)&amp;" total ("&amp;IF(COUNTIF($C$18:$C$58,A14)=0,"0%",TEXT(COUNTIFS($C$18:$C$58,A14,$U$18:$U$58,"Done")/COUNTIF($C$18:$C$58,A14),"0%"))&amp;") · "&amp;SUMIFS($V$18:$V$58,$C$18:$C$58,A14,$U$18:$U$58,"&lt;&gt;Done")&amp;"/"&amp;SUMIFS($W$18:$W$58,$C$18:$C$58,A14,$U$18:$U$58,"&lt;&gt;Done")</f>
        <v>1 passed / 1 total (100%) · 0/0</v>
      </c>
      <c r="E14" s="154" t="s">
        <v>1</v>
      </c>
      <c r="F14" s="160" t="s">
        <v>1</v>
      </c>
      <c r="G14" s="161" t="s">
        <v>1</v>
      </c>
      <c r="H14" s="161" t="s">
        <v>1</v>
      </c>
      <c r="I14" s="241" t="s">
        <v>1</v>
      </c>
      <c r="J14" s="242" t="s">
        <v>1</v>
      </c>
      <c r="K14" s="136" t="s">
        <v>1</v>
      </c>
      <c r="L14" s="136" t="s">
        <v>1</v>
      </c>
      <c r="M14" s="136" t="s">
        <v>1</v>
      </c>
      <c r="N14" s="136" t="s">
        <v>1</v>
      </c>
      <c r="O14" s="136" t="s">
        <v>1</v>
      </c>
      <c r="P14" s="136" t="s">
        <v>1</v>
      </c>
      <c r="Q14" s="136" t="s">
        <v>1</v>
      </c>
      <c r="R14" s="136" t="s">
        <v>1</v>
      </c>
      <c r="S14" s="136" t="s">
        <v>1</v>
      </c>
      <c r="T14" s="136" t="s">
        <v>1</v>
      </c>
    </row>
    <row r="15" customFormat="false" ht="20" hidden="false" customHeight="true" outlineLevel="0" collapsed="false">
      <c r="A15" s="145" t="s">
        <v>53</v>
      </c>
      <c r="B15" s="145" t="s">
        <v>1</v>
      </c>
      <c r="C15" s="145" t="s">
        <v>1</v>
      </c>
      <c r="D15" s="145" t="s">
        <v>1</v>
      </c>
      <c r="E15" s="145" t="s">
        <v>1</v>
      </c>
      <c r="F15" s="145" t="s">
        <v>1</v>
      </c>
      <c r="G15" s="145" t="s">
        <v>1</v>
      </c>
      <c r="H15" s="145" t="s">
        <v>1</v>
      </c>
      <c r="I15" s="145" t="s">
        <v>1</v>
      </c>
      <c r="J15" s="145" t="s">
        <v>1</v>
      </c>
      <c r="K15" s="145" t="s">
        <v>1</v>
      </c>
      <c r="L15" s="145" t="s">
        <v>1</v>
      </c>
      <c r="M15" s="145" t="s">
        <v>1</v>
      </c>
      <c r="N15" s="145" t="s">
        <v>1</v>
      </c>
      <c r="O15" s="145" t="s">
        <v>1</v>
      </c>
      <c r="P15" s="145" t="s">
        <v>1</v>
      </c>
      <c r="Q15" s="145" t="s">
        <v>1</v>
      </c>
      <c r="R15" s="145" t="s">
        <v>1</v>
      </c>
      <c r="S15" s="145" t="s">
        <v>1</v>
      </c>
      <c r="T15" s="145" t="s">
        <v>1</v>
      </c>
    </row>
    <row r="16" customFormat="false" ht="20" hidden="false" customHeight="true" outlineLevel="0" collapsed="false">
      <c r="A16" s="146" t="s">
        <v>1</v>
      </c>
      <c r="B16" s="146" t="s">
        <v>1</v>
      </c>
      <c r="C16" s="146" t="s">
        <v>1</v>
      </c>
      <c r="D16" s="146" t="s">
        <v>1</v>
      </c>
      <c r="E16" s="146" t="s">
        <v>1</v>
      </c>
      <c r="F16" s="146" t="s">
        <v>1</v>
      </c>
      <c r="G16" s="146" t="s">
        <v>1</v>
      </c>
      <c r="H16" s="146" t="s">
        <v>1</v>
      </c>
      <c r="I16" s="146" t="s">
        <v>1</v>
      </c>
      <c r="J16" s="146" t="s">
        <v>1</v>
      </c>
      <c r="K16" s="146" t="s">
        <v>1</v>
      </c>
      <c r="L16" s="143" t="s">
        <v>54</v>
      </c>
      <c r="M16" s="143" t="s">
        <v>1</v>
      </c>
      <c r="N16" s="146" t="s">
        <v>1</v>
      </c>
      <c r="O16" s="146" t="s">
        <v>1</v>
      </c>
      <c r="P16" s="146" t="s">
        <v>1</v>
      </c>
      <c r="Q16" s="146" t="s">
        <v>1</v>
      </c>
      <c r="R16" s="146" t="s">
        <v>1</v>
      </c>
      <c r="S16" s="146" t="s">
        <v>1</v>
      </c>
      <c r="T16" s="146" t="s">
        <v>1</v>
      </c>
    </row>
    <row r="17" customFormat="false" ht="15" hidden="false" customHeight="false" outlineLevel="0" collapsed="false">
      <c r="A17" s="143" t="s">
        <v>55</v>
      </c>
      <c r="B17" s="143" t="s">
        <v>56</v>
      </c>
      <c r="C17" s="143" t="s">
        <v>19</v>
      </c>
      <c r="D17" s="143" t="s">
        <v>57</v>
      </c>
      <c r="E17" s="143" t="s">
        <v>58</v>
      </c>
      <c r="F17" s="143" t="s">
        <v>59</v>
      </c>
      <c r="G17" s="143" t="s">
        <v>60</v>
      </c>
      <c r="H17" s="143" t="s">
        <v>61</v>
      </c>
      <c r="I17" s="143" t="s">
        <v>62</v>
      </c>
      <c r="J17" s="143" t="s">
        <v>63</v>
      </c>
      <c r="K17" s="143" t="s">
        <v>64</v>
      </c>
      <c r="L17" s="143" t="s">
        <v>65</v>
      </c>
      <c r="M17" s="143" t="s">
        <v>66</v>
      </c>
      <c r="N17" s="143" t="s">
        <v>67</v>
      </c>
      <c r="O17" s="143" t="s">
        <v>68</v>
      </c>
      <c r="P17" s="143" t="s">
        <v>69</v>
      </c>
      <c r="Q17" s="143" t="s">
        <v>70</v>
      </c>
      <c r="R17" s="143" t="s">
        <v>71</v>
      </c>
      <c r="S17" s="143" t="s">
        <v>72</v>
      </c>
      <c r="T17" s="143" t="s">
        <v>73</v>
      </c>
    </row>
    <row r="18" customFormat="false" ht="15" hidden="false" customHeight="false" outlineLevel="0" collapsed="false">
      <c r="A18" s="135" t="s">
        <v>74</v>
      </c>
      <c r="B18" s="135" t="s">
        <v>75</v>
      </c>
      <c r="C18" s="254" t="s">
        <v>22</v>
      </c>
      <c r="D18" s="135" t="s">
        <v>76</v>
      </c>
      <c r="E18" s="135" t="s">
        <v>77</v>
      </c>
      <c r="F18" s="135" t="s">
        <v>11</v>
      </c>
      <c r="G18" s="135" t="s">
        <v>8</v>
      </c>
      <c r="H18" s="135" t="s">
        <v>11</v>
      </c>
      <c r="I18" s="135" t="s">
        <v>11</v>
      </c>
      <c r="J18" s="135" t="s">
        <v>8</v>
      </c>
      <c r="K18" s="135" t="s">
        <v>78</v>
      </c>
      <c r="L18" s="135" t="s">
        <v>79</v>
      </c>
      <c r="M18" s="135" t="s">
        <v>79</v>
      </c>
      <c r="N18" s="135" t="s">
        <v>80</v>
      </c>
      <c r="O18" s="135" t="s">
        <v>81</v>
      </c>
      <c r="P18" s="135" t="s">
        <v>82</v>
      </c>
      <c r="Q18" s="135" t="s">
        <v>83</v>
      </c>
      <c r="R18" s="135" t="s">
        <v>84</v>
      </c>
      <c r="S18" s="135" t="s">
        <v>85</v>
      </c>
      <c r="T18" s="135" t="s">
        <v>1</v>
      </c>
      <c r="U18" s="146" t="str">
        <f>IF(OR(ISNUMBER(SEARCH("FAIL",K18&amp;" "&amp;Q18)),ISNUMBER(SEARCH("CLEAN RETEST REQUIRED",K18&amp;" "&amp;Q18))),"Failed",IF(OR(ISNUMBER(SEARCH("NOT RUN",K18&amp;" "&amp;Q18)),ISNUMBER(SEARCH("NOT IMPLEMENTED",K18&amp;" "&amp;Q18))),"Not started",IF(OR(ISNUMBER(SEARCH("PARTIAL",K18&amp;" "&amp;Q18)),ISNUMBER(SEARCH("PENDING",K18&amp;" "&amp;Q18)),ISNUMBER(SEARCH("IN PROGRESS",K18&amp;" "&amp;Q18)),ISNUMBER(SEARCH("OPEN",K18&amp;" "&amp;Q18)),ISNUMBER(SEARCH("RETEST REQUIRED",K18&amp;" "&amp;Q18)),ISNUMBER(SEARCH("IMPLEMENTATION UPDATED",K18&amp;" "&amp;Q18)),ISNUMBER(SEARCH("REQUIRED EVERY SESSION",K18&amp;" "&amp;Q18))),"Pending",IF(OR(Q18="PASS",ISNUMBER(SEARCH("PASS",K18&amp;" "&amp;Q18))),"Done","Pending"))))</f>
        <v>Done</v>
      </c>
      <c r="V18" s="146">
        <f>IF(T18="","",VALUE(LEFT(T18,SEARCH("/",T18)-1)))</f>
        <v/>
      </c>
      <c r="W18" s="146">
        <f>IF(T18="","",VALUE(MID(T18,SEARCH("/",T18)+1,LEN(T18))))</f>
        <v/>
      </c>
    </row>
    <row r="19" customFormat="false" ht="15" hidden="false" customHeight="false" outlineLevel="0" collapsed="false">
      <c r="A19" s="135" t="s">
        <v>86</v>
      </c>
      <c r="B19" s="135" t="s">
        <v>75</v>
      </c>
      <c r="C19" s="254" t="s">
        <v>22</v>
      </c>
      <c r="D19" s="135" t="s">
        <v>87</v>
      </c>
      <c r="E19" s="135" t="s">
        <v>88</v>
      </c>
      <c r="F19" s="135" t="s">
        <v>4</v>
      </c>
      <c r="G19" s="135" t="s">
        <v>4</v>
      </c>
      <c r="H19" s="135" t="s">
        <v>4</v>
      </c>
      <c r="I19" s="135" t="s">
        <v>4</v>
      </c>
      <c r="J19" s="135" t="s">
        <v>4</v>
      </c>
      <c r="K19" s="135" t="s">
        <v>78</v>
      </c>
      <c r="L19" s="135" t="s">
        <v>79</v>
      </c>
      <c r="M19" s="135" t="s">
        <v>79</v>
      </c>
      <c r="N19" s="135" t="s">
        <v>89</v>
      </c>
      <c r="O19" s="135" t="s">
        <v>81</v>
      </c>
      <c r="P19" s="135" t="s">
        <v>82</v>
      </c>
      <c r="Q19" s="135" t="s">
        <v>83</v>
      </c>
      <c r="R19" s="135" t="s">
        <v>90</v>
      </c>
      <c r="S19" s="135" t="s">
        <v>85</v>
      </c>
      <c r="T19" s="135" t="s">
        <v>1</v>
      </c>
      <c r="U19" s="146" t="str">
        <f>IF(OR(ISNUMBER(SEARCH("FAIL",K19&amp;" "&amp;Q19)),ISNUMBER(SEARCH("CLEAN RETEST REQUIRED",K19&amp;" "&amp;Q19))),"Failed",IF(OR(ISNUMBER(SEARCH("NOT RUN",K19&amp;" "&amp;Q19)),ISNUMBER(SEARCH("NOT IMPLEMENTED",K19&amp;" "&amp;Q19))),"Not started",IF(OR(ISNUMBER(SEARCH("PARTIAL",K19&amp;" "&amp;Q19)),ISNUMBER(SEARCH("PENDING",K19&amp;" "&amp;Q19)),ISNUMBER(SEARCH("IN PROGRESS",K19&amp;" "&amp;Q19)),ISNUMBER(SEARCH("OPEN",K19&amp;" "&amp;Q19)),ISNUMBER(SEARCH("RETEST REQUIRED",K19&amp;" "&amp;Q19)),ISNUMBER(SEARCH("IMPLEMENTATION UPDATED",K19&amp;" "&amp;Q19)),ISNUMBER(SEARCH("REQUIRED EVERY SESSION",K19&amp;" "&amp;Q19))),"Pending",IF(OR(Q19="PASS",ISNUMBER(SEARCH("PASS",K19&amp;" "&amp;Q19))),"Done","Pending"))))</f>
        <v>Done</v>
      </c>
      <c r="V19" s="146">
        <f>IF(T19="","",VALUE(LEFT(T19,SEARCH("/",T19)-1)))</f>
        <v/>
      </c>
      <c r="W19" s="146">
        <f>IF(T19="","",VALUE(MID(T19,SEARCH("/",T19)+1,LEN(T19))))</f>
        <v/>
      </c>
    </row>
    <row r="20" customFormat="false" ht="15" hidden="false" customHeight="false" outlineLevel="0" collapsed="false">
      <c r="A20" s="135" t="s">
        <v>91</v>
      </c>
      <c r="B20" s="135" t="s">
        <v>75</v>
      </c>
      <c r="C20" s="254" t="s">
        <v>22</v>
      </c>
      <c r="D20" s="135" t="s">
        <v>92</v>
      </c>
      <c r="E20" s="135" t="s">
        <v>93</v>
      </c>
      <c r="F20" s="135" t="s">
        <v>4</v>
      </c>
      <c r="G20" s="135" t="s">
        <v>8</v>
      </c>
      <c r="H20" s="135" t="s">
        <v>4</v>
      </c>
      <c r="I20" s="135" t="s">
        <v>4</v>
      </c>
      <c r="J20" s="135" t="s">
        <v>8</v>
      </c>
      <c r="K20" s="135" t="s">
        <v>78</v>
      </c>
      <c r="L20" s="135" t="s">
        <v>79</v>
      </c>
      <c r="M20" s="135" t="s">
        <v>94</v>
      </c>
      <c r="N20" s="135" t="s">
        <v>95</v>
      </c>
      <c r="O20" s="135" t="s">
        <v>81</v>
      </c>
      <c r="P20" s="135" t="s">
        <v>82</v>
      </c>
      <c r="Q20" s="135" t="s">
        <v>83</v>
      </c>
      <c r="R20" s="135" t="s">
        <v>96</v>
      </c>
      <c r="S20" s="135" t="s">
        <v>85</v>
      </c>
      <c r="T20" s="135" t="s">
        <v>1</v>
      </c>
      <c r="U20" s="146" t="str">
        <f>IF(OR(ISNUMBER(SEARCH("FAIL",K20&amp;" "&amp;Q20)),ISNUMBER(SEARCH("CLEAN RETEST REQUIRED",K20&amp;" "&amp;Q20))),"Failed",IF(OR(ISNUMBER(SEARCH("NOT RUN",K20&amp;" "&amp;Q20)),ISNUMBER(SEARCH("NOT IMPLEMENTED",K20&amp;" "&amp;Q20))),"Not started",IF(OR(ISNUMBER(SEARCH("PARTIAL",K20&amp;" "&amp;Q20)),ISNUMBER(SEARCH("PENDING",K20&amp;" "&amp;Q20)),ISNUMBER(SEARCH("IN PROGRESS",K20&amp;" "&amp;Q20)),ISNUMBER(SEARCH("OPEN",K20&amp;" "&amp;Q20)),ISNUMBER(SEARCH("RETEST REQUIRED",K20&amp;" "&amp;Q20)),ISNUMBER(SEARCH("IMPLEMENTATION UPDATED",K20&amp;" "&amp;Q20)),ISNUMBER(SEARCH("REQUIRED EVERY SESSION",K20&amp;" "&amp;Q20))),"Pending",IF(OR(Q20="PASS",ISNUMBER(SEARCH("PASS",K20&amp;" "&amp;Q20))),"Done","Pending"))))</f>
        <v>Done</v>
      </c>
      <c r="V20" s="146">
        <f>IF(T20="","",VALUE(LEFT(T20,SEARCH("/",T20)-1)))</f>
        <v/>
      </c>
      <c r="W20" s="146">
        <f>IF(T20="","",VALUE(MID(T20,SEARCH("/",T20)+1,LEN(T20))))</f>
        <v/>
      </c>
    </row>
    <row r="21" customFormat="false" ht="15" hidden="false" customHeight="false" outlineLevel="0" collapsed="false">
      <c r="A21" s="135" t="s">
        <v>97</v>
      </c>
      <c r="B21" s="135" t="s">
        <v>75</v>
      </c>
      <c r="C21" s="254" t="s">
        <v>22</v>
      </c>
      <c r="D21" s="135" t="s">
        <v>98</v>
      </c>
      <c r="E21" s="135" t="s">
        <v>99</v>
      </c>
      <c r="F21" s="135" t="s">
        <v>4</v>
      </c>
      <c r="G21" s="135" t="s">
        <v>8</v>
      </c>
      <c r="H21" s="135" t="s">
        <v>4</v>
      </c>
      <c r="I21" s="135" t="s">
        <v>4</v>
      </c>
      <c r="J21" s="135" t="s">
        <v>8</v>
      </c>
      <c r="K21" s="135" t="s">
        <v>78</v>
      </c>
      <c r="L21" s="135" t="s">
        <v>79</v>
      </c>
      <c r="M21" s="135" t="s">
        <v>100</v>
      </c>
      <c r="N21" s="135" t="s">
        <v>101</v>
      </c>
      <c r="O21" s="135" t="s">
        <v>81</v>
      </c>
      <c r="P21" s="135" t="s">
        <v>82</v>
      </c>
      <c r="Q21" s="135" t="s">
        <v>83</v>
      </c>
      <c r="R21" s="135" t="s">
        <v>102</v>
      </c>
      <c r="S21" s="135" t="s">
        <v>103</v>
      </c>
      <c r="T21" s="135" t="s">
        <v>1</v>
      </c>
      <c r="U21" s="146" t="str">
        <f>IF(OR(ISNUMBER(SEARCH("FAIL",K21&amp;" "&amp;Q21)),ISNUMBER(SEARCH("CLEAN RETEST REQUIRED",K21&amp;" "&amp;Q21))),"Failed",IF(OR(ISNUMBER(SEARCH("NOT RUN",K21&amp;" "&amp;Q21)),ISNUMBER(SEARCH("NOT IMPLEMENTED",K21&amp;" "&amp;Q21))),"Not started",IF(OR(ISNUMBER(SEARCH("PARTIAL",K21&amp;" "&amp;Q21)),ISNUMBER(SEARCH("PENDING",K21&amp;" "&amp;Q21)),ISNUMBER(SEARCH("IN PROGRESS",K21&amp;" "&amp;Q21)),ISNUMBER(SEARCH("OPEN",K21&amp;" "&amp;Q21)),ISNUMBER(SEARCH("RETEST REQUIRED",K21&amp;" "&amp;Q21)),ISNUMBER(SEARCH("IMPLEMENTATION UPDATED",K21&amp;" "&amp;Q21)),ISNUMBER(SEARCH("REQUIRED EVERY SESSION",K21&amp;" "&amp;Q21))),"Pending",IF(OR(Q21="PASS",ISNUMBER(SEARCH("PASS",K21&amp;" "&amp;Q21))),"Done","Pending"))))</f>
        <v>Done</v>
      </c>
      <c r="V21" s="146">
        <f>IF(T21="","",VALUE(LEFT(T21,SEARCH("/",T21)-1)))</f>
        <v/>
      </c>
      <c r="W21" s="146">
        <f>IF(T21="","",VALUE(MID(T21,SEARCH("/",T21)+1,LEN(T21))))</f>
        <v/>
      </c>
    </row>
    <row r="22" customFormat="false" ht="15" hidden="false" customHeight="false" outlineLevel="0" collapsed="false">
      <c r="A22" s="135" t="s">
        <v>104</v>
      </c>
      <c r="B22" s="135" t="s">
        <v>75</v>
      </c>
      <c r="C22" s="254" t="s">
        <v>22</v>
      </c>
      <c r="D22" s="135" t="s">
        <v>105</v>
      </c>
      <c r="E22" s="135" t="s">
        <v>106</v>
      </c>
      <c r="F22" s="135" t="s">
        <v>4</v>
      </c>
      <c r="G22" s="135" t="s">
        <v>4</v>
      </c>
      <c r="H22" s="135" t="s">
        <v>4</v>
      </c>
      <c r="I22" s="135" t="s">
        <v>4</v>
      </c>
      <c r="J22" s="135" t="s">
        <v>4</v>
      </c>
      <c r="K22" s="135" t="s">
        <v>78</v>
      </c>
      <c r="L22" s="135" t="s">
        <v>79</v>
      </c>
      <c r="M22" s="135" t="s">
        <v>100</v>
      </c>
      <c r="N22" s="135" t="s">
        <v>89</v>
      </c>
      <c r="O22" s="135" t="s">
        <v>81</v>
      </c>
      <c r="P22" s="135" t="s">
        <v>82</v>
      </c>
      <c r="Q22" s="135" t="s">
        <v>83</v>
      </c>
      <c r="R22" s="135" t="s">
        <v>107</v>
      </c>
      <c r="S22" s="135" t="s">
        <v>108</v>
      </c>
      <c r="T22" s="135" t="s">
        <v>1</v>
      </c>
      <c r="U22" s="146" t="str">
        <f>IF(OR(ISNUMBER(SEARCH("FAIL",K22&amp;" "&amp;Q22)),ISNUMBER(SEARCH("CLEAN RETEST REQUIRED",K22&amp;" "&amp;Q22))),"Failed",IF(OR(ISNUMBER(SEARCH("NOT RUN",K22&amp;" "&amp;Q22)),ISNUMBER(SEARCH("NOT IMPLEMENTED",K22&amp;" "&amp;Q22))),"Not started",IF(OR(ISNUMBER(SEARCH("PARTIAL",K22&amp;" "&amp;Q22)),ISNUMBER(SEARCH("PENDING",K22&amp;" "&amp;Q22)),ISNUMBER(SEARCH("IN PROGRESS",K22&amp;" "&amp;Q22)),ISNUMBER(SEARCH("OPEN",K22&amp;" "&amp;Q22)),ISNUMBER(SEARCH("RETEST REQUIRED",K22&amp;" "&amp;Q22)),ISNUMBER(SEARCH("IMPLEMENTATION UPDATED",K22&amp;" "&amp;Q22)),ISNUMBER(SEARCH("REQUIRED EVERY SESSION",K22&amp;" "&amp;Q22))),"Pending",IF(OR(Q22="PASS",ISNUMBER(SEARCH("PASS",K22&amp;" "&amp;Q22))),"Done","Pending"))))</f>
        <v>Done</v>
      </c>
      <c r="V22" s="146">
        <f>IF(T22="","",VALUE(LEFT(T22,SEARCH("/",T22)-1)))</f>
        <v/>
      </c>
      <c r="W22" s="146">
        <f>IF(T22="","",VALUE(MID(T22,SEARCH("/",T22)+1,LEN(T22))))</f>
        <v/>
      </c>
    </row>
    <row r="23" customFormat="false" ht="15" hidden="false" customHeight="false" outlineLevel="0" collapsed="false">
      <c r="A23" s="135" t="s">
        <v>109</v>
      </c>
      <c r="B23" s="135" t="s">
        <v>75</v>
      </c>
      <c r="C23" s="252" t="s">
        <v>28</v>
      </c>
      <c r="D23" s="135" t="s">
        <v>110</v>
      </c>
      <c r="E23" s="135" t="s">
        <v>111</v>
      </c>
      <c r="F23" s="135" t="s">
        <v>4</v>
      </c>
      <c r="G23" s="135" t="s">
        <v>4</v>
      </c>
      <c r="H23" s="135" t="s">
        <v>4</v>
      </c>
      <c r="I23" s="135" t="s">
        <v>4</v>
      </c>
      <c r="J23" s="135" t="s">
        <v>4</v>
      </c>
      <c r="K23" s="135" t="s">
        <v>78</v>
      </c>
      <c r="L23" s="135" t="s">
        <v>1</v>
      </c>
      <c r="M23" s="135" t="s">
        <v>1</v>
      </c>
      <c r="N23" s="135" t="s">
        <v>112</v>
      </c>
      <c r="O23" s="135" t="s">
        <v>81</v>
      </c>
      <c r="P23" s="135" t="s">
        <v>82</v>
      </c>
      <c r="Q23" s="135" t="s">
        <v>83</v>
      </c>
      <c r="R23" s="135" t="s">
        <v>113</v>
      </c>
      <c r="S23" s="135" t="s">
        <v>85</v>
      </c>
      <c r="T23" s="135" t="s">
        <v>1</v>
      </c>
      <c r="U23" s="146" t="str">
        <f>IF(OR(ISNUMBER(SEARCH("FAIL",K23&amp;" "&amp;Q23)),ISNUMBER(SEARCH("CLEAN RETEST REQUIRED",K23&amp;" "&amp;Q23))),"Failed",IF(OR(ISNUMBER(SEARCH("NOT RUN",K23&amp;" "&amp;Q23)),ISNUMBER(SEARCH("NOT IMPLEMENTED",K23&amp;" "&amp;Q23))),"Not started",IF(OR(ISNUMBER(SEARCH("PARTIAL",K23&amp;" "&amp;Q23)),ISNUMBER(SEARCH("PENDING",K23&amp;" "&amp;Q23)),ISNUMBER(SEARCH("IN PROGRESS",K23&amp;" "&amp;Q23)),ISNUMBER(SEARCH("OPEN",K23&amp;" "&amp;Q23)),ISNUMBER(SEARCH("RETEST REQUIRED",K23&amp;" "&amp;Q23)),ISNUMBER(SEARCH("IMPLEMENTATION UPDATED",K23&amp;" "&amp;Q23)),ISNUMBER(SEARCH("REQUIRED EVERY SESSION",K23&amp;" "&amp;Q23))),"Pending",IF(OR(Q23="PASS",ISNUMBER(SEARCH("PASS",K23&amp;" "&amp;Q23))),"Done","Pending"))))</f>
        <v>Done</v>
      </c>
      <c r="V23" s="146">
        <f>IF(T23="","",VALUE(LEFT(T23,SEARCH("/",T23)-1)))</f>
        <v/>
      </c>
      <c r="W23" s="146">
        <f>IF(T23="","",VALUE(MID(T23,SEARCH("/",T23)+1,LEN(T23))))</f>
        <v/>
      </c>
    </row>
    <row r="24" customFormat="false" ht="15" hidden="false" customHeight="false" outlineLevel="0" collapsed="false">
      <c r="A24" s="135" t="s">
        <v>114</v>
      </c>
      <c r="B24" s="135" t="s">
        <v>75</v>
      </c>
      <c r="C24" s="253" t="s">
        <v>33</v>
      </c>
      <c r="D24" s="135" t="s">
        <v>115</v>
      </c>
      <c r="E24" s="135" t="s">
        <v>116</v>
      </c>
      <c r="F24" s="135" t="s">
        <v>11</v>
      </c>
      <c r="G24" s="135" t="s">
        <v>8</v>
      </c>
      <c r="H24" s="135" t="s">
        <v>11</v>
      </c>
      <c r="I24" s="135" t="s">
        <v>4</v>
      </c>
      <c r="J24" s="135" t="s">
        <v>4</v>
      </c>
      <c r="K24" s="135" t="s">
        <v>78</v>
      </c>
      <c r="L24" s="135" t="s">
        <v>94</v>
      </c>
      <c r="M24" s="135" t="s">
        <v>117</v>
      </c>
      <c r="N24" s="135" t="s">
        <v>89</v>
      </c>
      <c r="O24" s="135" t="s">
        <v>81</v>
      </c>
      <c r="P24" s="135" t="s">
        <v>82</v>
      </c>
      <c r="Q24" s="135" t="s">
        <v>83</v>
      </c>
      <c r="R24" s="135" t="s">
        <v>118</v>
      </c>
      <c r="S24" s="135" t="s">
        <v>85</v>
      </c>
      <c r="T24" s="135" t="s">
        <v>1</v>
      </c>
      <c r="U24" s="146" t="str">
        <f>IF(OR(ISNUMBER(SEARCH("FAIL",K24&amp;" "&amp;Q24)),ISNUMBER(SEARCH("CLEAN RETEST REQUIRED",K24&amp;" "&amp;Q24))),"Failed",IF(OR(ISNUMBER(SEARCH("NOT RUN",K24&amp;" "&amp;Q24)),ISNUMBER(SEARCH("NOT IMPLEMENTED",K24&amp;" "&amp;Q24))),"Not started",IF(OR(ISNUMBER(SEARCH("PARTIAL",K24&amp;" "&amp;Q24)),ISNUMBER(SEARCH("PENDING",K24&amp;" "&amp;Q24)),ISNUMBER(SEARCH("IN PROGRESS",K24&amp;" "&amp;Q24)),ISNUMBER(SEARCH("OPEN",K24&amp;" "&amp;Q24)),ISNUMBER(SEARCH("RETEST REQUIRED",K24&amp;" "&amp;Q24)),ISNUMBER(SEARCH("IMPLEMENTATION UPDATED",K24&amp;" "&amp;Q24)),ISNUMBER(SEARCH("REQUIRED EVERY SESSION",K24&amp;" "&amp;Q24))),"Pending",IF(OR(Q24="PASS",ISNUMBER(SEARCH("PASS",K24&amp;" "&amp;Q24))),"Done","Pending"))))</f>
        <v>Done</v>
      </c>
      <c r="V24" s="146">
        <f>IF(T24="","",VALUE(LEFT(T24,SEARCH("/",T24)-1)))</f>
        <v/>
      </c>
      <c r="W24" s="146">
        <f>IF(T24="","",VALUE(MID(T24,SEARCH("/",T24)+1,LEN(T24))))</f>
        <v/>
      </c>
    </row>
    <row r="25" customFormat="false" ht="15" hidden="false" customHeight="false" outlineLevel="0" collapsed="false">
      <c r="A25" s="135" t="s">
        <v>119</v>
      </c>
      <c r="B25" s="135" t="s">
        <v>75</v>
      </c>
      <c r="C25" s="253" t="s">
        <v>33</v>
      </c>
      <c r="D25" s="135" t="s">
        <v>120</v>
      </c>
      <c r="E25" s="135" t="s">
        <v>121</v>
      </c>
      <c r="F25" s="135" t="s">
        <v>11</v>
      </c>
      <c r="G25" s="135" t="s">
        <v>8</v>
      </c>
      <c r="H25" s="135" t="s">
        <v>4</v>
      </c>
      <c r="I25" s="135" t="s">
        <v>4</v>
      </c>
      <c r="J25" s="135" t="s">
        <v>4</v>
      </c>
      <c r="K25" s="135" t="s">
        <v>78</v>
      </c>
      <c r="L25" s="135" t="s">
        <v>1</v>
      </c>
      <c r="M25" s="135" t="s">
        <v>1</v>
      </c>
      <c r="N25" s="135" t="s">
        <v>122</v>
      </c>
      <c r="O25" s="135" t="s">
        <v>81</v>
      </c>
      <c r="P25" s="135" t="s">
        <v>82</v>
      </c>
      <c r="Q25" s="135" t="s">
        <v>83</v>
      </c>
      <c r="R25" s="135" t="s">
        <v>123</v>
      </c>
      <c r="S25" s="135" t="s">
        <v>124</v>
      </c>
      <c r="T25" s="135" t="s">
        <v>1</v>
      </c>
      <c r="U25" s="146" t="str">
        <f>IF(OR(ISNUMBER(SEARCH("FAIL",K25&amp;" "&amp;Q25)),ISNUMBER(SEARCH("CLEAN RETEST REQUIRED",K25&amp;" "&amp;Q25))),"Failed",IF(OR(ISNUMBER(SEARCH("NOT RUN",K25&amp;" "&amp;Q25)),ISNUMBER(SEARCH("NOT IMPLEMENTED",K25&amp;" "&amp;Q25))),"Not started",IF(OR(ISNUMBER(SEARCH("PARTIAL",K25&amp;" "&amp;Q25)),ISNUMBER(SEARCH("PENDING",K25&amp;" "&amp;Q25)),ISNUMBER(SEARCH("IN PROGRESS",K25&amp;" "&amp;Q25)),ISNUMBER(SEARCH("OPEN",K25&amp;" "&amp;Q25)),ISNUMBER(SEARCH("RETEST REQUIRED",K25&amp;" "&amp;Q25)),ISNUMBER(SEARCH("IMPLEMENTATION UPDATED",K25&amp;" "&amp;Q25)),ISNUMBER(SEARCH("REQUIRED EVERY SESSION",K25&amp;" "&amp;Q25))),"Pending",IF(OR(Q25="PASS",ISNUMBER(SEARCH("PASS",K25&amp;" "&amp;Q25))),"Done","Pending"))))</f>
        <v>Done</v>
      </c>
      <c r="V25" s="146">
        <f>IF(T25="","",VALUE(LEFT(T25,SEARCH("/",T25)-1)))</f>
        <v/>
      </c>
      <c r="W25" s="146">
        <f>IF(T25="","",VALUE(MID(T25,SEARCH("/",T25)+1,LEN(T25))))</f>
        <v/>
      </c>
    </row>
    <row r="26" customFormat="false" ht="15" hidden="false" customHeight="false" outlineLevel="0" collapsed="false">
      <c r="A26" s="135" t="s">
        <v>125</v>
      </c>
      <c r="B26" s="135" t="s">
        <v>75</v>
      </c>
      <c r="C26" s="253" t="s">
        <v>33</v>
      </c>
      <c r="D26" s="135" t="s">
        <v>126</v>
      </c>
      <c r="E26" s="135" t="s">
        <v>127</v>
      </c>
      <c r="F26" s="135" t="s">
        <v>11</v>
      </c>
      <c r="G26" s="135" t="s">
        <v>8</v>
      </c>
      <c r="H26" s="135" t="s">
        <v>11</v>
      </c>
      <c r="I26" s="135" t="s">
        <v>8</v>
      </c>
      <c r="J26" s="135" t="s">
        <v>8</v>
      </c>
      <c r="K26" s="135" t="s">
        <v>78</v>
      </c>
      <c r="L26" s="135" t="s">
        <v>1</v>
      </c>
      <c r="M26" s="135" t="s">
        <v>1</v>
      </c>
      <c r="N26" s="135" t="s">
        <v>122</v>
      </c>
      <c r="O26" s="135" t="s">
        <v>81</v>
      </c>
      <c r="P26" s="135" t="s">
        <v>82</v>
      </c>
      <c r="Q26" s="135" t="s">
        <v>83</v>
      </c>
      <c r="R26" s="135" t="s">
        <v>128</v>
      </c>
      <c r="S26" s="135" t="s">
        <v>129</v>
      </c>
      <c r="T26" s="135" t="s">
        <v>1</v>
      </c>
      <c r="U26" s="146" t="str">
        <f>IF(OR(ISNUMBER(SEARCH("FAIL",K26&amp;" "&amp;Q26)),ISNUMBER(SEARCH("CLEAN RETEST REQUIRED",K26&amp;" "&amp;Q26))),"Failed",IF(OR(ISNUMBER(SEARCH("NOT RUN",K26&amp;" "&amp;Q26)),ISNUMBER(SEARCH("NOT IMPLEMENTED",K26&amp;" "&amp;Q26))),"Not started",IF(OR(ISNUMBER(SEARCH("PARTIAL",K26&amp;" "&amp;Q26)),ISNUMBER(SEARCH("PENDING",K26&amp;" "&amp;Q26)),ISNUMBER(SEARCH("IN PROGRESS",K26&amp;" "&amp;Q26)),ISNUMBER(SEARCH("OPEN",K26&amp;" "&amp;Q26)),ISNUMBER(SEARCH("RETEST REQUIRED",K26&amp;" "&amp;Q26)),ISNUMBER(SEARCH("IMPLEMENTATION UPDATED",K26&amp;" "&amp;Q26)),ISNUMBER(SEARCH("REQUIRED EVERY SESSION",K26&amp;" "&amp;Q26))),"Pending",IF(OR(Q26="PASS",ISNUMBER(SEARCH("PASS",K26&amp;" "&amp;Q26))),"Done","Pending"))))</f>
        <v>Done</v>
      </c>
      <c r="V26" s="146">
        <f>IF(T26="","",VALUE(LEFT(T26,SEARCH("/",T26)-1)))</f>
        <v/>
      </c>
      <c r="W26" s="146">
        <f>IF(T26="","",VALUE(MID(T26,SEARCH("/",T26)+1,LEN(T26))))</f>
        <v/>
      </c>
    </row>
    <row r="27" customFormat="false" ht="15" hidden="false" customHeight="false" outlineLevel="0" collapsed="false">
      <c r="A27" s="135" t="s">
        <v>130</v>
      </c>
      <c r="B27" s="135" t="s">
        <v>75</v>
      </c>
      <c r="C27" s="253" t="s">
        <v>33</v>
      </c>
      <c r="D27" s="135" t="s">
        <v>131</v>
      </c>
      <c r="E27" s="135" t="s">
        <v>132</v>
      </c>
      <c r="F27" s="135" t="s">
        <v>4</v>
      </c>
      <c r="G27" s="135" t="s">
        <v>4</v>
      </c>
      <c r="H27" s="135" t="s">
        <v>4</v>
      </c>
      <c r="I27" s="135" t="s">
        <v>4</v>
      </c>
      <c r="J27" s="135" t="s">
        <v>4</v>
      </c>
      <c r="K27" s="135" t="s">
        <v>78</v>
      </c>
      <c r="L27" s="135" t="s">
        <v>79</v>
      </c>
      <c r="M27" s="135" t="s">
        <v>79</v>
      </c>
      <c r="N27" s="135" t="s">
        <v>133</v>
      </c>
      <c r="O27" s="135" t="s">
        <v>81</v>
      </c>
      <c r="P27" s="135" t="s">
        <v>82</v>
      </c>
      <c r="Q27" s="135" t="s">
        <v>83</v>
      </c>
      <c r="R27" s="135" t="s">
        <v>134</v>
      </c>
      <c r="S27" s="135" t="s">
        <v>85</v>
      </c>
      <c r="T27" s="135" t="s">
        <v>1</v>
      </c>
      <c r="U27" s="146" t="str">
        <f>IF(OR(ISNUMBER(SEARCH("FAIL",K27&amp;" "&amp;Q27)),ISNUMBER(SEARCH("CLEAN RETEST REQUIRED",K27&amp;" "&amp;Q27))),"Failed",IF(OR(ISNUMBER(SEARCH("NOT RUN",K27&amp;" "&amp;Q27)),ISNUMBER(SEARCH("NOT IMPLEMENTED",K27&amp;" "&amp;Q27))),"Not started",IF(OR(ISNUMBER(SEARCH("PARTIAL",K27&amp;" "&amp;Q27)),ISNUMBER(SEARCH("PENDING",K27&amp;" "&amp;Q27)),ISNUMBER(SEARCH("IN PROGRESS",K27&amp;" "&amp;Q27)),ISNUMBER(SEARCH("OPEN",K27&amp;" "&amp;Q27)),ISNUMBER(SEARCH("RETEST REQUIRED",K27&amp;" "&amp;Q27)),ISNUMBER(SEARCH("IMPLEMENTATION UPDATED",K27&amp;" "&amp;Q27)),ISNUMBER(SEARCH("REQUIRED EVERY SESSION",K27&amp;" "&amp;Q27))),"Pending",IF(OR(Q27="PASS",ISNUMBER(SEARCH("PASS",K27&amp;" "&amp;Q27))),"Done","Pending"))))</f>
        <v>Done</v>
      </c>
      <c r="V27" s="146">
        <f>IF(T27="","",VALUE(LEFT(T27,SEARCH("/",T27)-1)))</f>
        <v/>
      </c>
      <c r="W27" s="146">
        <f>IF(T27="","",VALUE(MID(T27,SEARCH("/",T27)+1,LEN(T27))))</f>
        <v/>
      </c>
    </row>
    <row r="28" customFormat="false" ht="15" hidden="false" customHeight="false" outlineLevel="0" collapsed="false">
      <c r="A28" s="135" t="s">
        <v>135</v>
      </c>
      <c r="B28" s="135" t="s">
        <v>75</v>
      </c>
      <c r="C28" s="256" t="s">
        <v>38</v>
      </c>
      <c r="D28" s="135" t="s">
        <v>136</v>
      </c>
      <c r="E28" s="135" t="s">
        <v>137</v>
      </c>
      <c r="F28" s="135" t="s">
        <v>11</v>
      </c>
      <c r="G28" s="135" t="s">
        <v>8</v>
      </c>
      <c r="H28" s="135" t="s">
        <v>11</v>
      </c>
      <c r="I28" s="135" t="s">
        <v>8</v>
      </c>
      <c r="J28" s="135" t="s">
        <v>4</v>
      </c>
      <c r="K28" s="135" t="s">
        <v>78</v>
      </c>
      <c r="L28" s="135" t="s">
        <v>79</v>
      </c>
      <c r="M28" s="135" t="s">
        <v>138</v>
      </c>
      <c r="N28" s="135" t="s">
        <v>139</v>
      </c>
      <c r="O28" s="135" t="s">
        <v>81</v>
      </c>
      <c r="P28" s="135" t="s">
        <v>82</v>
      </c>
      <c r="Q28" s="135" t="s">
        <v>83</v>
      </c>
      <c r="R28" s="135" t="s">
        <v>140</v>
      </c>
      <c r="S28" s="135" t="s">
        <v>85</v>
      </c>
      <c r="T28" s="135" t="s">
        <v>1</v>
      </c>
      <c r="U28" s="146" t="str">
        <f>IF(OR(ISNUMBER(SEARCH("FAIL",K28&amp;" "&amp;Q28)),ISNUMBER(SEARCH("CLEAN RETEST REQUIRED",K28&amp;" "&amp;Q28))),"Failed",IF(OR(ISNUMBER(SEARCH("NOT RUN",K28&amp;" "&amp;Q28)),ISNUMBER(SEARCH("NOT IMPLEMENTED",K28&amp;" "&amp;Q28))),"Not started",IF(OR(ISNUMBER(SEARCH("PARTIAL",K28&amp;" "&amp;Q28)),ISNUMBER(SEARCH("PENDING",K28&amp;" "&amp;Q28)),ISNUMBER(SEARCH("IN PROGRESS",K28&amp;" "&amp;Q28)),ISNUMBER(SEARCH("OPEN",K28&amp;" "&amp;Q28)),ISNUMBER(SEARCH("RETEST REQUIRED",K28&amp;" "&amp;Q28)),ISNUMBER(SEARCH("IMPLEMENTATION UPDATED",K28&amp;" "&amp;Q28)),ISNUMBER(SEARCH("REQUIRED EVERY SESSION",K28&amp;" "&amp;Q28))),"Pending",IF(OR(Q28="PASS",ISNUMBER(SEARCH("PASS",K28&amp;" "&amp;Q28))),"Done","Pending"))))</f>
        <v>Done</v>
      </c>
      <c r="V28" s="146">
        <f>IF(T28="","",VALUE(LEFT(T28,SEARCH("/",T28)-1)))</f>
        <v/>
      </c>
      <c r="W28" s="146">
        <f>IF(T28="","",VALUE(MID(T28,SEARCH("/",T28)+1,LEN(T28))))</f>
        <v/>
      </c>
    </row>
    <row r="29" customFormat="false" ht="15" hidden="false" customHeight="false" outlineLevel="0" collapsed="false">
      <c r="A29" s="135" t="s">
        <v>141</v>
      </c>
      <c r="B29" s="135" t="s">
        <v>75</v>
      </c>
      <c r="C29" s="256" t="s">
        <v>38</v>
      </c>
      <c r="D29" s="135" t="s">
        <v>142</v>
      </c>
      <c r="E29" s="135" t="s">
        <v>143</v>
      </c>
      <c r="F29" s="135" t="s">
        <v>4</v>
      </c>
      <c r="G29" s="135" t="s">
        <v>4</v>
      </c>
      <c r="H29" s="135" t="s">
        <v>4</v>
      </c>
      <c r="I29" s="135" t="s">
        <v>4</v>
      </c>
      <c r="J29" s="135" t="s">
        <v>4</v>
      </c>
      <c r="K29" s="135" t="s">
        <v>78</v>
      </c>
      <c r="L29" s="135" t="s">
        <v>79</v>
      </c>
      <c r="M29" s="135" t="s">
        <v>94</v>
      </c>
      <c r="N29" s="135" t="s">
        <v>144</v>
      </c>
      <c r="O29" s="135" t="s">
        <v>81</v>
      </c>
      <c r="P29" s="135" t="s">
        <v>82</v>
      </c>
      <c r="Q29" s="135" t="s">
        <v>83</v>
      </c>
      <c r="R29" s="135" t="s">
        <v>145</v>
      </c>
      <c r="S29" s="135" t="s">
        <v>146</v>
      </c>
      <c r="T29" s="135" t="s">
        <v>1</v>
      </c>
      <c r="U29" s="146" t="str">
        <f>IF(OR(ISNUMBER(SEARCH("FAIL",K29&amp;" "&amp;Q29)),ISNUMBER(SEARCH("CLEAN RETEST REQUIRED",K29&amp;" "&amp;Q29))),"Failed",IF(OR(ISNUMBER(SEARCH("NOT RUN",K29&amp;" "&amp;Q29)),ISNUMBER(SEARCH("NOT IMPLEMENTED",K29&amp;" "&amp;Q29))),"Not started",IF(OR(ISNUMBER(SEARCH("PARTIAL",K29&amp;" "&amp;Q29)),ISNUMBER(SEARCH("PENDING",K29&amp;" "&amp;Q29)),ISNUMBER(SEARCH("IN PROGRESS",K29&amp;" "&amp;Q29)),ISNUMBER(SEARCH("OPEN",K29&amp;" "&amp;Q29)),ISNUMBER(SEARCH("RETEST REQUIRED",K29&amp;" "&amp;Q29)),ISNUMBER(SEARCH("IMPLEMENTATION UPDATED",K29&amp;" "&amp;Q29)),ISNUMBER(SEARCH("REQUIRED EVERY SESSION",K29&amp;" "&amp;Q29))),"Pending",IF(OR(Q29="PASS",ISNUMBER(SEARCH("PASS",K29&amp;" "&amp;Q29))),"Done","Pending"))))</f>
        <v>Done</v>
      </c>
      <c r="V29" s="146">
        <f>IF(T29="","",VALUE(LEFT(T29,SEARCH("/",T29)-1)))</f>
        <v/>
      </c>
      <c r="W29" s="146">
        <f>IF(T29="","",VALUE(MID(T29,SEARCH("/",T29)+1,LEN(T29))))</f>
        <v/>
      </c>
    </row>
    <row r="30" customFormat="false" ht="15" hidden="false" customHeight="false" outlineLevel="0" collapsed="false">
      <c r="A30" s="135" t="s">
        <v>147</v>
      </c>
      <c r="B30" s="135" t="s">
        <v>75</v>
      </c>
      <c r="C30" s="256" t="s">
        <v>38</v>
      </c>
      <c r="D30" s="135" t="s">
        <v>148</v>
      </c>
      <c r="E30" s="135" t="s">
        <v>149</v>
      </c>
      <c r="F30" s="135" t="s">
        <v>8</v>
      </c>
      <c r="G30" s="135" t="s">
        <v>8</v>
      </c>
      <c r="H30" s="135" t="s">
        <v>11</v>
      </c>
      <c r="I30" s="135" t="s">
        <v>8</v>
      </c>
      <c r="J30" s="135" t="s">
        <v>4</v>
      </c>
      <c r="K30" s="135" t="s">
        <v>78</v>
      </c>
      <c r="L30" s="135" t="s">
        <v>1</v>
      </c>
      <c r="M30" s="135" t="s">
        <v>1</v>
      </c>
      <c r="N30" s="135" t="s">
        <v>150</v>
      </c>
      <c r="O30" s="135" t="s">
        <v>81</v>
      </c>
      <c r="P30" s="135" t="s">
        <v>82</v>
      </c>
      <c r="Q30" s="135" t="s">
        <v>83</v>
      </c>
      <c r="R30" s="135" t="s">
        <v>151</v>
      </c>
      <c r="S30" s="135" t="s">
        <v>152</v>
      </c>
      <c r="T30" s="135" t="s">
        <v>1</v>
      </c>
      <c r="U30" s="146" t="str">
        <f>IF(OR(ISNUMBER(SEARCH("FAIL",K30&amp;" "&amp;Q30)),ISNUMBER(SEARCH("CLEAN RETEST REQUIRED",K30&amp;" "&amp;Q30))),"Failed",IF(OR(ISNUMBER(SEARCH("NOT RUN",K30&amp;" "&amp;Q30)),ISNUMBER(SEARCH("NOT IMPLEMENTED",K30&amp;" "&amp;Q30))),"Not started",IF(OR(ISNUMBER(SEARCH("PARTIAL",K30&amp;" "&amp;Q30)),ISNUMBER(SEARCH("PENDING",K30&amp;" "&amp;Q30)),ISNUMBER(SEARCH("IN PROGRESS",K30&amp;" "&amp;Q30)),ISNUMBER(SEARCH("OPEN",K30&amp;" "&amp;Q30)),ISNUMBER(SEARCH("RETEST REQUIRED",K30&amp;" "&amp;Q30)),ISNUMBER(SEARCH("IMPLEMENTATION UPDATED",K30&amp;" "&amp;Q30)),ISNUMBER(SEARCH("REQUIRED EVERY SESSION",K30&amp;" "&amp;Q30))),"Pending",IF(OR(Q30="PASS",ISNUMBER(SEARCH("PASS",K30&amp;" "&amp;Q30))),"Done","Pending"))))</f>
        <v>Done</v>
      </c>
      <c r="V30" s="146">
        <f>IF(T30="","",VALUE(LEFT(T30,SEARCH("/",T30)-1)))</f>
        <v/>
      </c>
      <c r="W30" s="146">
        <f>IF(T30="","",VALUE(MID(T30,SEARCH("/",T30)+1,LEN(T30))))</f>
        <v/>
      </c>
    </row>
    <row r="31" customFormat="false" ht="15" hidden="false" customHeight="false" outlineLevel="0" collapsed="false">
      <c r="A31" s="135" t="s">
        <v>153</v>
      </c>
      <c r="B31" s="135" t="s">
        <v>75</v>
      </c>
      <c r="C31" s="256" t="s">
        <v>38</v>
      </c>
      <c r="D31" s="135" t="s">
        <v>154</v>
      </c>
      <c r="E31" s="135" t="s">
        <v>155</v>
      </c>
      <c r="F31" s="135" t="s">
        <v>11</v>
      </c>
      <c r="G31" s="135" t="s">
        <v>8</v>
      </c>
      <c r="H31" s="135" t="s">
        <v>11</v>
      </c>
      <c r="I31" s="135" t="s">
        <v>4</v>
      </c>
      <c r="J31" s="135" t="s">
        <v>4</v>
      </c>
      <c r="K31" s="135" t="s">
        <v>78</v>
      </c>
      <c r="L31" s="135" t="s">
        <v>79</v>
      </c>
      <c r="M31" s="135" t="s">
        <v>100</v>
      </c>
      <c r="N31" s="135" t="s">
        <v>89</v>
      </c>
      <c r="O31" s="135" t="s">
        <v>81</v>
      </c>
      <c r="P31" s="135" t="s">
        <v>82</v>
      </c>
      <c r="Q31" s="135" t="s">
        <v>83</v>
      </c>
      <c r="R31" s="135" t="s">
        <v>156</v>
      </c>
      <c r="S31" s="135" t="s">
        <v>85</v>
      </c>
      <c r="T31" s="135" t="s">
        <v>1</v>
      </c>
      <c r="U31" s="146" t="str">
        <f>IF(OR(ISNUMBER(SEARCH("FAIL",K31&amp;" "&amp;Q31)),ISNUMBER(SEARCH("CLEAN RETEST REQUIRED",K31&amp;" "&amp;Q31))),"Failed",IF(OR(ISNUMBER(SEARCH("NOT RUN",K31&amp;" "&amp;Q31)),ISNUMBER(SEARCH("NOT IMPLEMENTED",K31&amp;" "&amp;Q31))),"Not started",IF(OR(ISNUMBER(SEARCH("PARTIAL",K31&amp;" "&amp;Q31)),ISNUMBER(SEARCH("PENDING",K31&amp;" "&amp;Q31)),ISNUMBER(SEARCH("IN PROGRESS",K31&amp;" "&amp;Q31)),ISNUMBER(SEARCH("OPEN",K31&amp;" "&amp;Q31)),ISNUMBER(SEARCH("RETEST REQUIRED",K31&amp;" "&amp;Q31)),ISNUMBER(SEARCH("IMPLEMENTATION UPDATED",K31&amp;" "&amp;Q31)),ISNUMBER(SEARCH("REQUIRED EVERY SESSION",K31&amp;" "&amp;Q31))),"Pending",IF(OR(Q31="PASS",ISNUMBER(SEARCH("PASS",K31&amp;" "&amp;Q31))),"Done","Pending"))))</f>
        <v>Done</v>
      </c>
      <c r="V31" s="146">
        <f>IF(T31="","",VALUE(LEFT(T31,SEARCH("/",T31)-1)))</f>
        <v/>
      </c>
      <c r="W31" s="146">
        <f>IF(T31="","",VALUE(MID(T31,SEARCH("/",T31)+1,LEN(T31))))</f>
        <v/>
      </c>
    </row>
    <row r="32" customFormat="false" ht="15" hidden="false" customHeight="false" outlineLevel="0" collapsed="false">
      <c r="A32" s="135" t="s">
        <v>157</v>
      </c>
      <c r="B32" s="135" t="s">
        <v>75</v>
      </c>
      <c r="C32" s="256" t="s">
        <v>38</v>
      </c>
      <c r="D32" s="135" t="s">
        <v>158</v>
      </c>
      <c r="E32" s="135" t="s">
        <v>159</v>
      </c>
      <c r="F32" s="135" t="s">
        <v>11</v>
      </c>
      <c r="G32" s="135" t="s">
        <v>8</v>
      </c>
      <c r="H32" s="135" t="s">
        <v>11</v>
      </c>
      <c r="I32" s="135" t="s">
        <v>8</v>
      </c>
      <c r="J32" s="135" t="s">
        <v>4</v>
      </c>
      <c r="K32" s="135" t="s">
        <v>78</v>
      </c>
      <c r="L32" s="135" t="s">
        <v>1</v>
      </c>
      <c r="M32" s="135" t="s">
        <v>1</v>
      </c>
      <c r="N32" s="135" t="s">
        <v>160</v>
      </c>
      <c r="O32" s="135" t="s">
        <v>81</v>
      </c>
      <c r="P32" s="135" t="s">
        <v>82</v>
      </c>
      <c r="Q32" s="135" t="s">
        <v>83</v>
      </c>
      <c r="R32" s="135" t="s">
        <v>161</v>
      </c>
      <c r="S32" s="135" t="s">
        <v>85</v>
      </c>
      <c r="T32" s="135" t="s">
        <v>1</v>
      </c>
      <c r="U32" s="146" t="str">
        <f>IF(OR(ISNUMBER(SEARCH("FAIL",K32&amp;" "&amp;Q32)),ISNUMBER(SEARCH("CLEAN RETEST REQUIRED",K32&amp;" "&amp;Q32))),"Failed",IF(OR(ISNUMBER(SEARCH("NOT RUN",K32&amp;" "&amp;Q32)),ISNUMBER(SEARCH("NOT IMPLEMENTED",K32&amp;" "&amp;Q32))),"Not started",IF(OR(ISNUMBER(SEARCH("PARTIAL",K32&amp;" "&amp;Q32)),ISNUMBER(SEARCH("PENDING",K32&amp;" "&amp;Q32)),ISNUMBER(SEARCH("IN PROGRESS",K32&amp;" "&amp;Q32)),ISNUMBER(SEARCH("OPEN",K32&amp;" "&amp;Q32)),ISNUMBER(SEARCH("RETEST REQUIRED",K32&amp;" "&amp;Q32)),ISNUMBER(SEARCH("IMPLEMENTATION UPDATED",K32&amp;" "&amp;Q32)),ISNUMBER(SEARCH("REQUIRED EVERY SESSION",K32&amp;" "&amp;Q32))),"Pending",IF(OR(Q32="PASS",ISNUMBER(SEARCH("PASS",K32&amp;" "&amp;Q32))),"Done","Pending"))))</f>
        <v>Done</v>
      </c>
      <c r="V32" s="146">
        <f>IF(T32="","",VALUE(LEFT(T32,SEARCH("/",T32)-1)))</f>
        <v/>
      </c>
      <c r="W32" s="146">
        <f>IF(T32="","",VALUE(MID(T32,SEARCH("/",T32)+1,LEN(T32))))</f>
        <v/>
      </c>
    </row>
    <row r="33" customFormat="false" ht="15" hidden="false" customHeight="false" outlineLevel="0" collapsed="false">
      <c r="A33" s="135" t="s">
        <v>162</v>
      </c>
      <c r="B33" s="135" t="s">
        <v>75</v>
      </c>
      <c r="C33" s="256" t="s">
        <v>38</v>
      </c>
      <c r="D33" s="135" t="s">
        <v>163</v>
      </c>
      <c r="E33" s="135" t="s">
        <v>164</v>
      </c>
      <c r="F33" s="135" t="s">
        <v>8</v>
      </c>
      <c r="G33" s="135" t="s">
        <v>8</v>
      </c>
      <c r="H33" s="135" t="s">
        <v>11</v>
      </c>
      <c r="I33" s="135" t="s">
        <v>8</v>
      </c>
      <c r="J33" s="135" t="s">
        <v>8</v>
      </c>
      <c r="K33" s="135" t="s">
        <v>78</v>
      </c>
      <c r="L33" s="135" t="s">
        <v>1</v>
      </c>
      <c r="M33" s="135" t="s">
        <v>1</v>
      </c>
      <c r="N33" s="135" t="s">
        <v>165</v>
      </c>
      <c r="O33" s="135" t="s">
        <v>81</v>
      </c>
      <c r="P33" s="135" t="s">
        <v>82</v>
      </c>
      <c r="Q33" s="135" t="s">
        <v>83</v>
      </c>
      <c r="R33" s="135" t="s">
        <v>166</v>
      </c>
      <c r="S33" s="135" t="s">
        <v>167</v>
      </c>
      <c r="T33" s="135" t="s">
        <v>1</v>
      </c>
      <c r="U33" s="146" t="str">
        <f>IF(OR(ISNUMBER(SEARCH("FAIL",K33&amp;" "&amp;Q33)),ISNUMBER(SEARCH("CLEAN RETEST REQUIRED",K33&amp;" "&amp;Q33))),"Failed",IF(OR(ISNUMBER(SEARCH("NOT RUN",K33&amp;" "&amp;Q33)),ISNUMBER(SEARCH("NOT IMPLEMENTED",K33&amp;" "&amp;Q33))),"Not started",IF(OR(ISNUMBER(SEARCH("PARTIAL",K33&amp;" "&amp;Q33)),ISNUMBER(SEARCH("PENDING",K33&amp;" "&amp;Q33)),ISNUMBER(SEARCH("IN PROGRESS",K33&amp;" "&amp;Q33)),ISNUMBER(SEARCH("OPEN",K33&amp;" "&amp;Q33)),ISNUMBER(SEARCH("RETEST REQUIRED",K33&amp;" "&amp;Q33)),ISNUMBER(SEARCH("IMPLEMENTATION UPDATED",K33&amp;" "&amp;Q33)),ISNUMBER(SEARCH("REQUIRED EVERY SESSION",K33&amp;" "&amp;Q33))),"Pending",IF(OR(Q33="PASS",ISNUMBER(SEARCH("PASS",K33&amp;" "&amp;Q33))),"Done","Pending"))))</f>
        <v>Done</v>
      </c>
      <c r="V33" s="146">
        <f>IF(T33="","",VALUE(LEFT(T33,SEARCH("/",T33)-1)))</f>
        <v/>
      </c>
      <c r="W33" s="146">
        <f>IF(T33="","",VALUE(MID(T33,SEARCH("/",T33)+1,LEN(T33))))</f>
        <v/>
      </c>
    </row>
    <row r="34" customFormat="false" ht="15" hidden="false" customHeight="false" outlineLevel="0" collapsed="false">
      <c r="A34" s="135" t="s">
        <v>168</v>
      </c>
      <c r="B34" s="135" t="s">
        <v>75</v>
      </c>
      <c r="C34" s="256" t="s">
        <v>38</v>
      </c>
      <c r="D34" s="135" t="s">
        <v>169</v>
      </c>
      <c r="E34" s="135" t="s">
        <v>170</v>
      </c>
      <c r="F34" s="135" t="s">
        <v>4</v>
      </c>
      <c r="G34" s="135" t="s">
        <v>8</v>
      </c>
      <c r="H34" s="135" t="s">
        <v>4</v>
      </c>
      <c r="I34" s="135" t="s">
        <v>8</v>
      </c>
      <c r="J34" s="135" t="s">
        <v>8</v>
      </c>
      <c r="K34" s="135" t="s">
        <v>78</v>
      </c>
      <c r="L34" s="135" t="s">
        <v>79</v>
      </c>
      <c r="M34" s="135" t="s">
        <v>100</v>
      </c>
      <c r="N34" s="135" t="s">
        <v>101</v>
      </c>
      <c r="O34" s="135" t="s">
        <v>81</v>
      </c>
      <c r="P34" s="135" t="s">
        <v>82</v>
      </c>
      <c r="Q34" s="135" t="s">
        <v>83</v>
      </c>
      <c r="R34" s="135" t="s">
        <v>171</v>
      </c>
      <c r="S34" s="135" t="s">
        <v>152</v>
      </c>
      <c r="T34" s="135" t="s">
        <v>1</v>
      </c>
      <c r="U34" s="146" t="str">
        <f>IF(OR(ISNUMBER(SEARCH("FAIL",K34&amp;" "&amp;Q34)),ISNUMBER(SEARCH("CLEAN RETEST REQUIRED",K34&amp;" "&amp;Q34))),"Failed",IF(OR(ISNUMBER(SEARCH("NOT RUN",K34&amp;" "&amp;Q34)),ISNUMBER(SEARCH("NOT IMPLEMENTED",K34&amp;" "&amp;Q34))),"Not started",IF(OR(ISNUMBER(SEARCH("PARTIAL",K34&amp;" "&amp;Q34)),ISNUMBER(SEARCH("PENDING",K34&amp;" "&amp;Q34)),ISNUMBER(SEARCH("IN PROGRESS",K34&amp;" "&amp;Q34)),ISNUMBER(SEARCH("OPEN",K34&amp;" "&amp;Q34)),ISNUMBER(SEARCH("RETEST REQUIRED",K34&amp;" "&amp;Q34)),ISNUMBER(SEARCH("IMPLEMENTATION UPDATED",K34&amp;" "&amp;Q34)),ISNUMBER(SEARCH("REQUIRED EVERY SESSION",K34&amp;" "&amp;Q34))),"Pending",IF(OR(Q34="PASS",ISNUMBER(SEARCH("PASS",K34&amp;" "&amp;Q34))),"Done","Pending"))))</f>
        <v>Done</v>
      </c>
      <c r="V34" s="146">
        <f>IF(T34="","",VALUE(LEFT(T34,SEARCH("/",T34)-1)))</f>
        <v/>
      </c>
      <c r="W34" s="146">
        <f>IF(T34="","",VALUE(MID(T34,SEARCH("/",T34)+1,LEN(T34))))</f>
        <v/>
      </c>
    </row>
    <row r="35" customFormat="false" ht="15" hidden="false" customHeight="false" outlineLevel="0" collapsed="false">
      <c r="A35" s="135" t="s">
        <v>172</v>
      </c>
      <c r="B35" s="135" t="s">
        <v>75</v>
      </c>
      <c r="C35" s="256" t="s">
        <v>38</v>
      </c>
      <c r="D35" s="135" t="s">
        <v>173</v>
      </c>
      <c r="E35" s="135" t="s">
        <v>174</v>
      </c>
      <c r="F35" s="135" t="s">
        <v>4</v>
      </c>
      <c r="G35" s="135" t="s">
        <v>4</v>
      </c>
      <c r="H35" s="135" t="s">
        <v>4</v>
      </c>
      <c r="I35" s="135" t="s">
        <v>4</v>
      </c>
      <c r="J35" s="135" t="s">
        <v>8</v>
      </c>
      <c r="K35" s="135" t="s">
        <v>78</v>
      </c>
      <c r="L35" s="135" t="s">
        <v>79</v>
      </c>
      <c r="M35" s="135" t="s">
        <v>79</v>
      </c>
      <c r="N35" s="135" t="s">
        <v>95</v>
      </c>
      <c r="O35" s="135" t="s">
        <v>81</v>
      </c>
      <c r="P35" s="135" t="s">
        <v>82</v>
      </c>
      <c r="Q35" s="135" t="s">
        <v>83</v>
      </c>
      <c r="R35" s="135" t="s">
        <v>175</v>
      </c>
      <c r="S35" s="135" t="s">
        <v>176</v>
      </c>
      <c r="T35" s="135" t="s">
        <v>1</v>
      </c>
      <c r="U35" s="146" t="str">
        <f>IF(OR(ISNUMBER(SEARCH("FAIL",K35&amp;" "&amp;Q35)),ISNUMBER(SEARCH("CLEAN RETEST REQUIRED",K35&amp;" "&amp;Q35))),"Failed",IF(OR(ISNUMBER(SEARCH("NOT RUN",K35&amp;" "&amp;Q35)),ISNUMBER(SEARCH("NOT IMPLEMENTED",K35&amp;" "&amp;Q35))),"Not started",IF(OR(ISNUMBER(SEARCH("PARTIAL",K35&amp;" "&amp;Q35)),ISNUMBER(SEARCH("PENDING",K35&amp;" "&amp;Q35)),ISNUMBER(SEARCH("IN PROGRESS",K35&amp;" "&amp;Q35)),ISNUMBER(SEARCH("OPEN",K35&amp;" "&amp;Q35)),ISNUMBER(SEARCH("RETEST REQUIRED",K35&amp;" "&amp;Q35)),ISNUMBER(SEARCH("IMPLEMENTATION UPDATED",K35&amp;" "&amp;Q35)),ISNUMBER(SEARCH("REQUIRED EVERY SESSION",K35&amp;" "&amp;Q35))),"Pending",IF(OR(Q35="PASS",ISNUMBER(SEARCH("PASS",K35&amp;" "&amp;Q35))),"Done","Pending"))))</f>
        <v>Done</v>
      </c>
      <c r="V35" s="146">
        <f>IF(T35="","",VALUE(LEFT(T35,SEARCH("/",T35)-1)))</f>
        <v/>
      </c>
      <c r="W35" s="146">
        <f>IF(T35="","",VALUE(MID(T35,SEARCH("/",T35)+1,LEN(T35))))</f>
        <v/>
      </c>
    </row>
    <row r="36" customFormat="false" ht="15" hidden="false" customHeight="false" outlineLevel="0" collapsed="false">
      <c r="A36" s="135" t="s">
        <v>177</v>
      </c>
      <c r="B36" s="135" t="s">
        <v>75</v>
      </c>
      <c r="C36" s="256" t="s">
        <v>38</v>
      </c>
      <c r="D36" s="135" t="s">
        <v>178</v>
      </c>
      <c r="E36" s="135" t="s">
        <v>179</v>
      </c>
      <c r="F36" s="135" t="s">
        <v>4</v>
      </c>
      <c r="G36" s="135" t="s">
        <v>4</v>
      </c>
      <c r="H36" s="135" t="s">
        <v>4</v>
      </c>
      <c r="I36" s="135" t="s">
        <v>4</v>
      </c>
      <c r="J36" s="135" t="s">
        <v>4</v>
      </c>
      <c r="K36" s="135" t="s">
        <v>78</v>
      </c>
      <c r="L36" s="135" t="s">
        <v>79</v>
      </c>
      <c r="M36" s="135" t="s">
        <v>180</v>
      </c>
      <c r="N36" s="135" t="s">
        <v>89</v>
      </c>
      <c r="O36" s="135" t="s">
        <v>81</v>
      </c>
      <c r="P36" s="135" t="s">
        <v>82</v>
      </c>
      <c r="Q36" s="135" t="s">
        <v>83</v>
      </c>
      <c r="R36" s="135" t="s">
        <v>181</v>
      </c>
      <c r="S36" s="135" t="s">
        <v>108</v>
      </c>
      <c r="T36" s="135" t="s">
        <v>1</v>
      </c>
      <c r="U36" s="146" t="str">
        <f>IF(OR(ISNUMBER(SEARCH("FAIL",K36&amp;" "&amp;Q36)),ISNUMBER(SEARCH("CLEAN RETEST REQUIRED",K36&amp;" "&amp;Q36))),"Failed",IF(OR(ISNUMBER(SEARCH("NOT RUN",K36&amp;" "&amp;Q36)),ISNUMBER(SEARCH("NOT IMPLEMENTED",K36&amp;" "&amp;Q36))),"Not started",IF(OR(ISNUMBER(SEARCH("PARTIAL",K36&amp;" "&amp;Q36)),ISNUMBER(SEARCH("PENDING",K36&amp;" "&amp;Q36)),ISNUMBER(SEARCH("IN PROGRESS",K36&amp;" "&amp;Q36)),ISNUMBER(SEARCH("OPEN",K36&amp;" "&amp;Q36)),ISNUMBER(SEARCH("RETEST REQUIRED",K36&amp;" "&amp;Q36)),ISNUMBER(SEARCH("IMPLEMENTATION UPDATED",K36&amp;" "&amp;Q36)),ISNUMBER(SEARCH("REQUIRED EVERY SESSION",K36&amp;" "&amp;Q36))),"Pending",IF(OR(Q36="PASS",ISNUMBER(SEARCH("PASS",K36&amp;" "&amp;Q36))),"Done","Pending"))))</f>
        <v>Done</v>
      </c>
      <c r="V36" s="146">
        <f>IF(T36="","",VALUE(LEFT(T36,SEARCH("/",T36)-1)))</f>
        <v/>
      </c>
      <c r="W36" s="146">
        <f>IF(T36="","",VALUE(MID(T36,SEARCH("/",T36)+1,LEN(T36))))</f>
        <v/>
      </c>
    </row>
    <row r="37" customFormat="false" ht="15" hidden="false" customHeight="false" outlineLevel="0" collapsed="false">
      <c r="A37" s="135" t="s">
        <v>182</v>
      </c>
      <c r="B37" s="135" t="s">
        <v>75</v>
      </c>
      <c r="C37" s="256" t="s">
        <v>38</v>
      </c>
      <c r="D37" s="135" t="s">
        <v>183</v>
      </c>
      <c r="E37" s="135" t="s">
        <v>184</v>
      </c>
      <c r="F37" s="135" t="s">
        <v>4</v>
      </c>
      <c r="G37" s="135" t="s">
        <v>4</v>
      </c>
      <c r="H37" s="135" t="s">
        <v>4</v>
      </c>
      <c r="I37" s="135" t="s">
        <v>4</v>
      </c>
      <c r="J37" s="135" t="s">
        <v>4</v>
      </c>
      <c r="K37" s="135" t="s">
        <v>78</v>
      </c>
      <c r="L37" s="135" t="s">
        <v>79</v>
      </c>
      <c r="M37" s="135" t="s">
        <v>79</v>
      </c>
      <c r="N37" s="135" t="s">
        <v>144</v>
      </c>
      <c r="O37" s="135" t="s">
        <v>81</v>
      </c>
      <c r="P37" s="135" t="s">
        <v>82</v>
      </c>
      <c r="Q37" s="135" t="s">
        <v>83</v>
      </c>
      <c r="R37" s="135" t="s">
        <v>185</v>
      </c>
      <c r="S37" s="135" t="s">
        <v>85</v>
      </c>
      <c r="T37" s="135" t="s">
        <v>1</v>
      </c>
      <c r="U37" s="146" t="str">
        <f>IF(OR(ISNUMBER(SEARCH("FAIL",K37&amp;" "&amp;Q37)),ISNUMBER(SEARCH("CLEAN RETEST REQUIRED",K37&amp;" "&amp;Q37))),"Failed",IF(OR(ISNUMBER(SEARCH("NOT RUN",K37&amp;" "&amp;Q37)),ISNUMBER(SEARCH("NOT IMPLEMENTED",K37&amp;" "&amp;Q37))),"Not started",IF(OR(ISNUMBER(SEARCH("PARTIAL",K37&amp;" "&amp;Q37)),ISNUMBER(SEARCH("PENDING",K37&amp;" "&amp;Q37)),ISNUMBER(SEARCH("IN PROGRESS",K37&amp;" "&amp;Q37)),ISNUMBER(SEARCH("OPEN",K37&amp;" "&amp;Q37)),ISNUMBER(SEARCH("RETEST REQUIRED",K37&amp;" "&amp;Q37)),ISNUMBER(SEARCH("IMPLEMENTATION UPDATED",K37&amp;" "&amp;Q37)),ISNUMBER(SEARCH("REQUIRED EVERY SESSION",K37&amp;" "&amp;Q37))),"Pending",IF(OR(Q37="PASS",ISNUMBER(SEARCH("PASS",K37&amp;" "&amp;Q37))),"Done","Pending"))))</f>
        <v>Done</v>
      </c>
      <c r="V37" s="146">
        <f>IF(T37="","",VALUE(LEFT(T37,SEARCH("/",T37)-1)))</f>
        <v/>
      </c>
      <c r="W37" s="146">
        <f>IF(T37="","",VALUE(MID(T37,SEARCH("/",T37)+1,LEN(T37))))</f>
        <v/>
      </c>
    </row>
    <row r="38" customFormat="false" ht="15" hidden="false" customHeight="false" outlineLevel="0" collapsed="false">
      <c r="A38" s="135" t="s">
        <v>186</v>
      </c>
      <c r="B38" s="135" t="s">
        <v>75</v>
      </c>
      <c r="C38" s="257" t="s">
        <v>43</v>
      </c>
      <c r="D38" s="135" t="s">
        <v>187</v>
      </c>
      <c r="E38" s="135" t="s">
        <v>188</v>
      </c>
      <c r="F38" s="135" t="s">
        <v>8</v>
      </c>
      <c r="G38" s="135" t="s">
        <v>8</v>
      </c>
      <c r="H38" s="135" t="s">
        <v>11</v>
      </c>
      <c r="I38" s="135" t="s">
        <v>8</v>
      </c>
      <c r="J38" s="135" t="s">
        <v>8</v>
      </c>
      <c r="K38" s="135" t="s">
        <v>78</v>
      </c>
      <c r="L38" s="135" t="s">
        <v>79</v>
      </c>
      <c r="M38" s="135" t="s">
        <v>189</v>
      </c>
      <c r="N38" s="135" t="s">
        <v>112</v>
      </c>
      <c r="O38" s="135" t="s">
        <v>81</v>
      </c>
      <c r="P38" s="135" t="s">
        <v>82</v>
      </c>
      <c r="Q38" s="135" t="s">
        <v>83</v>
      </c>
      <c r="R38" s="135" t="s">
        <v>190</v>
      </c>
      <c r="S38" s="135" t="s">
        <v>85</v>
      </c>
      <c r="T38" s="135" t="s">
        <v>1</v>
      </c>
      <c r="U38" s="146" t="str">
        <f>IF(OR(ISNUMBER(SEARCH("FAIL",K38&amp;" "&amp;Q38)),ISNUMBER(SEARCH("CLEAN RETEST REQUIRED",K38&amp;" "&amp;Q38))),"Failed",IF(OR(ISNUMBER(SEARCH("NOT RUN",K38&amp;" "&amp;Q38)),ISNUMBER(SEARCH("NOT IMPLEMENTED",K38&amp;" "&amp;Q38))),"Not started",IF(OR(ISNUMBER(SEARCH("PARTIAL",K38&amp;" "&amp;Q38)),ISNUMBER(SEARCH("PENDING",K38&amp;" "&amp;Q38)),ISNUMBER(SEARCH("IN PROGRESS",K38&amp;" "&amp;Q38)),ISNUMBER(SEARCH("OPEN",K38&amp;" "&amp;Q38)),ISNUMBER(SEARCH("RETEST REQUIRED",K38&amp;" "&amp;Q38)),ISNUMBER(SEARCH("IMPLEMENTATION UPDATED",K38&amp;" "&amp;Q38)),ISNUMBER(SEARCH("REQUIRED EVERY SESSION",K38&amp;" "&amp;Q38))),"Pending",IF(OR(Q38="PASS",ISNUMBER(SEARCH("PASS",K38&amp;" "&amp;Q38))),"Done","Pending"))))</f>
        <v>Done</v>
      </c>
      <c r="V38" s="146">
        <f>IF(T38="","",VALUE(LEFT(T38,SEARCH("/",T38)-1)))</f>
        <v/>
      </c>
      <c r="W38" s="146">
        <f>IF(T38="","",VALUE(MID(T38,SEARCH("/",T38)+1,LEN(T38))))</f>
        <v/>
      </c>
    </row>
    <row r="39" customFormat="false" ht="15" hidden="false" customHeight="false" outlineLevel="0" collapsed="false">
      <c r="A39" s="135" t="s">
        <v>191</v>
      </c>
      <c r="B39" s="135" t="s">
        <v>75</v>
      </c>
      <c r="C39" s="257" t="s">
        <v>43</v>
      </c>
      <c r="D39" s="135" t="s">
        <v>192</v>
      </c>
      <c r="E39" s="135" t="s">
        <v>193</v>
      </c>
      <c r="F39" s="135" t="s">
        <v>11</v>
      </c>
      <c r="G39" s="135" t="s">
        <v>8</v>
      </c>
      <c r="H39" s="135" t="s">
        <v>4</v>
      </c>
      <c r="I39" s="135" t="s">
        <v>4</v>
      </c>
      <c r="J39" s="135" t="s">
        <v>4</v>
      </c>
      <c r="K39" s="135" t="s">
        <v>78</v>
      </c>
      <c r="L39" s="135" t="s">
        <v>79</v>
      </c>
      <c r="M39" s="135" t="s">
        <v>189</v>
      </c>
      <c r="N39" s="135" t="s">
        <v>112</v>
      </c>
      <c r="O39" s="135" t="s">
        <v>81</v>
      </c>
      <c r="P39" s="135" t="s">
        <v>82</v>
      </c>
      <c r="Q39" s="135" t="s">
        <v>83</v>
      </c>
      <c r="R39" s="135" t="s">
        <v>194</v>
      </c>
      <c r="S39" s="135" t="s">
        <v>129</v>
      </c>
      <c r="T39" s="135" t="s">
        <v>1</v>
      </c>
      <c r="U39" s="146" t="str">
        <f>IF(OR(ISNUMBER(SEARCH("FAIL",K39&amp;" "&amp;Q39)),ISNUMBER(SEARCH("CLEAN RETEST REQUIRED",K39&amp;" "&amp;Q39))),"Failed",IF(OR(ISNUMBER(SEARCH("NOT RUN",K39&amp;" "&amp;Q39)),ISNUMBER(SEARCH("NOT IMPLEMENTED",K39&amp;" "&amp;Q39))),"Not started",IF(OR(ISNUMBER(SEARCH("PARTIAL",K39&amp;" "&amp;Q39)),ISNUMBER(SEARCH("PENDING",K39&amp;" "&amp;Q39)),ISNUMBER(SEARCH("IN PROGRESS",K39&amp;" "&amp;Q39)),ISNUMBER(SEARCH("OPEN",K39&amp;" "&amp;Q39)),ISNUMBER(SEARCH("RETEST REQUIRED",K39&amp;" "&amp;Q39)),ISNUMBER(SEARCH("IMPLEMENTATION UPDATED",K39&amp;" "&amp;Q39)),ISNUMBER(SEARCH("REQUIRED EVERY SESSION",K39&amp;" "&amp;Q39))),"Pending",IF(OR(Q39="PASS",ISNUMBER(SEARCH("PASS",K39&amp;" "&amp;Q39))),"Done","Pending"))))</f>
        <v>Done</v>
      </c>
      <c r="V39" s="146">
        <f>IF(T39="","",VALUE(LEFT(T39,SEARCH("/",T39)-1)))</f>
        <v/>
      </c>
      <c r="W39" s="146">
        <f>IF(T39="","",VALUE(MID(T39,SEARCH("/",T39)+1,LEN(T39))))</f>
        <v/>
      </c>
    </row>
    <row r="40" customFormat="false" ht="15" hidden="false" customHeight="false" outlineLevel="0" collapsed="false">
      <c r="A40" s="135" t="s">
        <v>195</v>
      </c>
      <c r="B40" s="135" t="s">
        <v>75</v>
      </c>
      <c r="C40" s="257" t="s">
        <v>43</v>
      </c>
      <c r="D40" s="135" t="s">
        <v>196</v>
      </c>
      <c r="E40" s="135" t="s">
        <v>197</v>
      </c>
      <c r="F40" s="135" t="s">
        <v>4</v>
      </c>
      <c r="G40" s="135" t="s">
        <v>4</v>
      </c>
      <c r="H40" s="135" t="s">
        <v>4</v>
      </c>
      <c r="I40" s="135" t="s">
        <v>4</v>
      </c>
      <c r="J40" s="135" t="s">
        <v>4</v>
      </c>
      <c r="K40" s="135" t="s">
        <v>78</v>
      </c>
      <c r="L40" s="135" t="s">
        <v>79</v>
      </c>
      <c r="M40" s="135" t="s">
        <v>100</v>
      </c>
      <c r="N40" s="135" t="s">
        <v>89</v>
      </c>
      <c r="O40" s="135" t="s">
        <v>81</v>
      </c>
      <c r="P40" s="135" t="s">
        <v>82</v>
      </c>
      <c r="Q40" s="135" t="s">
        <v>83</v>
      </c>
      <c r="R40" s="135" t="s">
        <v>198</v>
      </c>
      <c r="S40" s="135" t="s">
        <v>108</v>
      </c>
      <c r="T40" s="135" t="s">
        <v>1</v>
      </c>
      <c r="U40" s="146" t="str">
        <f>IF(OR(ISNUMBER(SEARCH("FAIL",K40&amp;" "&amp;Q40)),ISNUMBER(SEARCH("CLEAN RETEST REQUIRED",K40&amp;" "&amp;Q40))),"Failed",IF(OR(ISNUMBER(SEARCH("NOT RUN",K40&amp;" "&amp;Q40)),ISNUMBER(SEARCH("NOT IMPLEMENTED",K40&amp;" "&amp;Q40))),"Not started",IF(OR(ISNUMBER(SEARCH("PARTIAL",K40&amp;" "&amp;Q40)),ISNUMBER(SEARCH("PENDING",K40&amp;" "&amp;Q40)),ISNUMBER(SEARCH("IN PROGRESS",K40&amp;" "&amp;Q40)),ISNUMBER(SEARCH("OPEN",K40&amp;" "&amp;Q40)),ISNUMBER(SEARCH("RETEST REQUIRED",K40&amp;" "&amp;Q40)),ISNUMBER(SEARCH("IMPLEMENTATION UPDATED",K40&amp;" "&amp;Q40)),ISNUMBER(SEARCH("REQUIRED EVERY SESSION",K40&amp;" "&amp;Q40))),"Pending",IF(OR(Q40="PASS",ISNUMBER(SEARCH("PASS",K40&amp;" "&amp;Q40))),"Done","Pending"))))</f>
        <v>Done</v>
      </c>
      <c r="V40" s="146">
        <f>IF(T40="","",VALUE(LEFT(T40,SEARCH("/",T40)-1)))</f>
        <v/>
      </c>
      <c r="W40" s="146">
        <f>IF(T40="","",VALUE(MID(T40,SEARCH("/",T40)+1,LEN(T40))))</f>
        <v/>
      </c>
    </row>
    <row r="41" customFormat="false" ht="15" hidden="false" customHeight="false" outlineLevel="0" collapsed="false">
      <c r="A41" s="135" t="s">
        <v>199</v>
      </c>
      <c r="B41" s="135" t="s">
        <v>75</v>
      </c>
      <c r="C41" s="258" t="s">
        <v>47</v>
      </c>
      <c r="D41" s="135" t="s">
        <v>200</v>
      </c>
      <c r="E41" s="135" t="s">
        <v>201</v>
      </c>
      <c r="F41" s="135" t="s">
        <v>8</v>
      </c>
      <c r="G41" s="135" t="s">
        <v>8</v>
      </c>
      <c r="H41" s="135" t="s">
        <v>4</v>
      </c>
      <c r="I41" s="135" t="s">
        <v>4</v>
      </c>
      <c r="J41" s="135" t="s">
        <v>4</v>
      </c>
      <c r="K41" s="135" t="s">
        <v>78</v>
      </c>
      <c r="L41" s="135" t="s">
        <v>79</v>
      </c>
      <c r="M41" s="135" t="s">
        <v>189</v>
      </c>
      <c r="N41" s="135" t="s">
        <v>112</v>
      </c>
      <c r="O41" s="135" t="s">
        <v>81</v>
      </c>
      <c r="P41" s="135" t="s">
        <v>82</v>
      </c>
      <c r="Q41" s="135" t="s">
        <v>83</v>
      </c>
      <c r="R41" s="135" t="s">
        <v>202</v>
      </c>
      <c r="S41" s="135" t="s">
        <v>85</v>
      </c>
      <c r="T41" s="135" t="s">
        <v>1</v>
      </c>
      <c r="U41" s="146" t="str">
        <f>IF(OR(ISNUMBER(SEARCH("FAIL",K41&amp;" "&amp;Q41)),ISNUMBER(SEARCH("CLEAN RETEST REQUIRED",K41&amp;" "&amp;Q41))),"Failed",IF(OR(ISNUMBER(SEARCH("NOT RUN",K41&amp;" "&amp;Q41)),ISNUMBER(SEARCH("NOT IMPLEMENTED",K41&amp;" "&amp;Q41))),"Not started",IF(OR(ISNUMBER(SEARCH("PARTIAL",K41&amp;" "&amp;Q41)),ISNUMBER(SEARCH("PENDING",K41&amp;" "&amp;Q41)),ISNUMBER(SEARCH("IN PROGRESS",K41&amp;" "&amp;Q41)),ISNUMBER(SEARCH("OPEN",K41&amp;" "&amp;Q41)),ISNUMBER(SEARCH("RETEST REQUIRED",K41&amp;" "&amp;Q41)),ISNUMBER(SEARCH("IMPLEMENTATION UPDATED",K41&amp;" "&amp;Q41)),ISNUMBER(SEARCH("REQUIRED EVERY SESSION",K41&amp;" "&amp;Q41))),"Pending",IF(OR(Q41="PASS",ISNUMBER(SEARCH("PASS",K41&amp;" "&amp;Q41))),"Done","Pending"))))</f>
        <v>Done</v>
      </c>
      <c r="V41" s="146">
        <f>IF(T41="","",VALUE(LEFT(T41,SEARCH("/",T41)-1)))</f>
        <v/>
      </c>
      <c r="W41" s="146">
        <f>IF(T41="","",VALUE(MID(T41,SEARCH("/",T41)+1,LEN(T41))))</f>
        <v/>
      </c>
    </row>
    <row r="42" customFormat="false" ht="15" hidden="false" customHeight="false" outlineLevel="0" collapsed="false">
      <c r="A42" s="135" t="s">
        <v>203</v>
      </c>
      <c r="B42" s="135" t="s">
        <v>75</v>
      </c>
      <c r="C42" s="258" t="s">
        <v>47</v>
      </c>
      <c r="D42" s="135" t="s">
        <v>204</v>
      </c>
      <c r="E42" s="135" t="s">
        <v>205</v>
      </c>
      <c r="F42" s="135" t="s">
        <v>4</v>
      </c>
      <c r="G42" s="135" t="s">
        <v>8</v>
      </c>
      <c r="H42" s="135" t="s">
        <v>4</v>
      </c>
      <c r="I42" s="135" t="s">
        <v>4</v>
      </c>
      <c r="J42" s="135" t="s">
        <v>4</v>
      </c>
      <c r="K42" s="135" t="s">
        <v>78</v>
      </c>
      <c r="L42" s="135" t="s">
        <v>79</v>
      </c>
      <c r="M42" s="135" t="s">
        <v>206</v>
      </c>
      <c r="N42" s="135" t="s">
        <v>133</v>
      </c>
      <c r="O42" s="135" t="s">
        <v>81</v>
      </c>
      <c r="P42" s="135" t="s">
        <v>82</v>
      </c>
      <c r="Q42" s="135" t="s">
        <v>83</v>
      </c>
      <c r="R42" s="135" t="s">
        <v>207</v>
      </c>
      <c r="S42" s="135" t="s">
        <v>108</v>
      </c>
      <c r="T42" s="135" t="s">
        <v>1</v>
      </c>
      <c r="U42" s="146" t="str">
        <f>IF(OR(ISNUMBER(SEARCH("FAIL",K42&amp;" "&amp;Q42)),ISNUMBER(SEARCH("CLEAN RETEST REQUIRED",K42&amp;" "&amp;Q42))),"Failed",IF(OR(ISNUMBER(SEARCH("NOT RUN",K42&amp;" "&amp;Q42)),ISNUMBER(SEARCH("NOT IMPLEMENTED",K42&amp;" "&amp;Q42))),"Not started",IF(OR(ISNUMBER(SEARCH("PARTIAL",K42&amp;" "&amp;Q42)),ISNUMBER(SEARCH("PENDING",K42&amp;" "&amp;Q42)),ISNUMBER(SEARCH("IN PROGRESS",K42&amp;" "&amp;Q42)),ISNUMBER(SEARCH("OPEN",K42&amp;" "&amp;Q42)),ISNUMBER(SEARCH("RETEST REQUIRED",K42&amp;" "&amp;Q42)),ISNUMBER(SEARCH("IMPLEMENTATION UPDATED",K42&amp;" "&amp;Q42)),ISNUMBER(SEARCH("REQUIRED EVERY SESSION",K42&amp;" "&amp;Q42))),"Pending",IF(OR(Q42="PASS",ISNUMBER(SEARCH("PASS",K42&amp;" "&amp;Q42))),"Done","Pending"))))</f>
        <v>Done</v>
      </c>
      <c r="V42" s="146">
        <f>IF(T42="","",VALUE(LEFT(T42,SEARCH("/",T42)-1)))</f>
        <v/>
      </c>
      <c r="W42" s="146">
        <f>IF(T42="","",VALUE(MID(T42,SEARCH("/",T42)+1,LEN(T42))))</f>
        <v/>
      </c>
    </row>
    <row r="43" customFormat="false" ht="15" hidden="false" customHeight="false" outlineLevel="0" collapsed="false">
      <c r="A43" s="135" t="s">
        <v>208</v>
      </c>
      <c r="B43" s="135" t="s">
        <v>75</v>
      </c>
      <c r="C43" s="258" t="s">
        <v>47</v>
      </c>
      <c r="D43" s="135" t="s">
        <v>209</v>
      </c>
      <c r="E43" s="135" t="s">
        <v>210</v>
      </c>
      <c r="F43" s="135" t="s">
        <v>4</v>
      </c>
      <c r="G43" s="135" t="s">
        <v>4</v>
      </c>
      <c r="H43" s="135" t="s">
        <v>4</v>
      </c>
      <c r="I43" s="135" t="s">
        <v>4</v>
      </c>
      <c r="J43" s="135" t="s">
        <v>4</v>
      </c>
      <c r="K43" s="135" t="s">
        <v>78</v>
      </c>
      <c r="L43" s="135" t="s">
        <v>79</v>
      </c>
      <c r="M43" s="135" t="s">
        <v>211</v>
      </c>
      <c r="N43" s="135" t="s">
        <v>89</v>
      </c>
      <c r="O43" s="135" t="s">
        <v>81</v>
      </c>
      <c r="P43" s="135" t="s">
        <v>82</v>
      </c>
      <c r="Q43" s="135" t="s">
        <v>83</v>
      </c>
      <c r="R43" s="135" t="s">
        <v>212</v>
      </c>
      <c r="S43" s="135" t="s">
        <v>108</v>
      </c>
      <c r="T43" s="135" t="s">
        <v>1</v>
      </c>
      <c r="U43" s="146" t="str">
        <f>IF(OR(ISNUMBER(SEARCH("FAIL",K43&amp;" "&amp;Q43)),ISNUMBER(SEARCH("CLEAN RETEST REQUIRED",K43&amp;" "&amp;Q43))),"Failed",IF(OR(ISNUMBER(SEARCH("NOT RUN",K43&amp;" "&amp;Q43)),ISNUMBER(SEARCH("NOT IMPLEMENTED",K43&amp;" "&amp;Q43))),"Not started",IF(OR(ISNUMBER(SEARCH("PARTIAL",K43&amp;" "&amp;Q43)),ISNUMBER(SEARCH("PENDING",K43&amp;" "&amp;Q43)),ISNUMBER(SEARCH("IN PROGRESS",K43&amp;" "&amp;Q43)),ISNUMBER(SEARCH("OPEN",K43&amp;" "&amp;Q43)),ISNUMBER(SEARCH("RETEST REQUIRED",K43&amp;" "&amp;Q43)),ISNUMBER(SEARCH("IMPLEMENTATION UPDATED",K43&amp;" "&amp;Q43)),ISNUMBER(SEARCH("REQUIRED EVERY SESSION",K43&amp;" "&amp;Q43))),"Pending",IF(OR(Q43="PASS",ISNUMBER(SEARCH("PASS",K43&amp;" "&amp;Q43))),"Done","Pending"))))</f>
        <v>Done</v>
      </c>
      <c r="V43" s="146">
        <f>IF(T43="","",VALUE(LEFT(T43,SEARCH("/",T43)-1)))</f>
        <v/>
      </c>
      <c r="W43" s="146">
        <f>IF(T43="","",VALUE(MID(T43,SEARCH("/",T43)+1,LEN(T43))))</f>
        <v/>
      </c>
    </row>
    <row r="44" customFormat="false" ht="15" hidden="false" customHeight="false" outlineLevel="0" collapsed="false">
      <c r="A44" s="135" t="s">
        <v>213</v>
      </c>
      <c r="B44" s="135" t="s">
        <v>75</v>
      </c>
      <c r="C44" s="259" t="s">
        <v>51</v>
      </c>
      <c r="D44" s="135" t="s">
        <v>214</v>
      </c>
      <c r="E44" s="135" t="s">
        <v>215</v>
      </c>
      <c r="F44" s="135" t="s">
        <v>11</v>
      </c>
      <c r="G44" s="135" t="s">
        <v>8</v>
      </c>
      <c r="H44" s="135" t="s">
        <v>8</v>
      </c>
      <c r="I44" s="135" t="s">
        <v>8</v>
      </c>
      <c r="J44" s="135" t="s">
        <v>4</v>
      </c>
      <c r="K44" s="135" t="s">
        <v>78</v>
      </c>
      <c r="L44" s="135" t="s">
        <v>79</v>
      </c>
      <c r="M44" s="135" t="s">
        <v>94</v>
      </c>
      <c r="N44" s="135" t="s">
        <v>216</v>
      </c>
      <c r="O44" s="135" t="s">
        <v>81</v>
      </c>
      <c r="P44" s="135" t="s">
        <v>82</v>
      </c>
      <c r="Q44" s="135" t="s">
        <v>83</v>
      </c>
      <c r="R44" s="135" t="s">
        <v>217</v>
      </c>
      <c r="S44" s="135" t="s">
        <v>85</v>
      </c>
      <c r="T44" s="135" t="s">
        <v>1</v>
      </c>
      <c r="U44" s="146" t="str">
        <f>IF(OR(ISNUMBER(SEARCH("FAIL",K44&amp;" "&amp;Q44)),ISNUMBER(SEARCH("CLEAN RETEST REQUIRED",K44&amp;" "&amp;Q44))),"Failed",IF(OR(ISNUMBER(SEARCH("NOT RUN",K44&amp;" "&amp;Q44)),ISNUMBER(SEARCH("NOT IMPLEMENTED",K44&amp;" "&amp;Q44))),"Not started",IF(OR(ISNUMBER(SEARCH("PARTIAL",K44&amp;" "&amp;Q44)),ISNUMBER(SEARCH("PENDING",K44&amp;" "&amp;Q44)),ISNUMBER(SEARCH("IN PROGRESS",K44&amp;" "&amp;Q44)),ISNUMBER(SEARCH("OPEN",K44&amp;" "&amp;Q44)),ISNUMBER(SEARCH("RETEST REQUIRED",K44&amp;" "&amp;Q44)),ISNUMBER(SEARCH("IMPLEMENTATION UPDATED",K44&amp;" "&amp;Q44)),ISNUMBER(SEARCH("REQUIRED EVERY SESSION",K44&amp;" "&amp;Q44))),"Pending",IF(OR(Q44="PASS",ISNUMBER(SEARCH("PASS",K44&amp;" "&amp;Q44))),"Done","Pending"))))</f>
        <v>Done</v>
      </c>
      <c r="V44" s="146">
        <f>IF(T44="","",VALUE(LEFT(T44,SEARCH("/",T44)-1)))</f>
        <v/>
      </c>
      <c r="W44" s="146">
        <f>IF(T44="","",VALUE(MID(T44,SEARCH("/",T44)+1,LEN(T44))))</f>
        <v/>
      </c>
    </row>
    <row r="45" customFormat="false" ht="15" hidden="false" customHeight="false" outlineLevel="0" collapsed="false">
      <c r="A45" s="135" t="s">
        <v>218</v>
      </c>
      <c r="B45" s="135" t="s">
        <v>75</v>
      </c>
      <c r="C45" s="531" t="s">
        <v>25</v>
      </c>
      <c r="D45" s="135" t="s">
        <v>219</v>
      </c>
      <c r="E45" s="135" t="s">
        <v>220</v>
      </c>
      <c r="F45" s="135" t="s">
        <v>11</v>
      </c>
      <c r="G45" s="135" t="s">
        <v>8</v>
      </c>
      <c r="H45" s="135" t="s">
        <v>11</v>
      </c>
      <c r="I45" s="135" t="s">
        <v>11</v>
      </c>
      <c r="J45" s="135" t="s">
        <v>8</v>
      </c>
      <c r="K45" s="135" t="s">
        <v>78</v>
      </c>
      <c r="L45" s="135" t="s">
        <v>79</v>
      </c>
      <c r="M45" s="135" t="s">
        <v>100</v>
      </c>
      <c r="N45" s="135" t="s">
        <v>80</v>
      </c>
      <c r="O45" s="135" t="s">
        <v>81</v>
      </c>
      <c r="P45" s="135" t="s">
        <v>82</v>
      </c>
      <c r="Q45" s="135" t="s">
        <v>83</v>
      </c>
      <c r="R45" s="135" t="s">
        <v>221</v>
      </c>
      <c r="S45" s="135" t="s">
        <v>222</v>
      </c>
      <c r="T45" s="135" t="s">
        <v>1</v>
      </c>
      <c r="U45" s="146" t="str">
        <f>IF(OR(ISNUMBER(SEARCH("FAIL",K45&amp;" "&amp;Q45)),ISNUMBER(SEARCH("CLEAN RETEST REQUIRED",K45&amp;" "&amp;Q45))),"Failed",IF(OR(ISNUMBER(SEARCH("NOT RUN",K45&amp;" "&amp;Q45)),ISNUMBER(SEARCH("NOT IMPLEMENTED",K45&amp;" "&amp;Q45))),"Not started",IF(OR(ISNUMBER(SEARCH("PARTIAL",K45&amp;" "&amp;Q45)),ISNUMBER(SEARCH("PENDING",K45&amp;" "&amp;Q45)),ISNUMBER(SEARCH("IN PROGRESS",K45&amp;" "&amp;Q45)),ISNUMBER(SEARCH("OPEN",K45&amp;" "&amp;Q45)),ISNUMBER(SEARCH("RETEST REQUIRED",K45&amp;" "&amp;Q45)),ISNUMBER(SEARCH("IMPLEMENTATION UPDATED",K45&amp;" "&amp;Q45)),ISNUMBER(SEARCH("REQUIRED EVERY SESSION",K45&amp;" "&amp;Q45))),"Pending",IF(OR(Q45="PASS",ISNUMBER(SEARCH("PASS",K45&amp;" "&amp;Q45))),"Done","Pending"))))</f>
        <v>Done</v>
      </c>
      <c r="V45" s="146">
        <f>IF(T45="","",VALUE(LEFT(T45,SEARCH("/",T45)-1)))</f>
        <v/>
      </c>
      <c r="W45" s="146">
        <f>IF(T45="","",VALUE(MID(T45,SEARCH("/",T45)+1,LEN(T45))))</f>
        <v/>
      </c>
    </row>
    <row r="46" customFormat="false" ht="15" hidden="false" customHeight="false" outlineLevel="0" collapsed="false">
      <c r="A46" s="135" t="s">
        <v>223</v>
      </c>
      <c r="B46" s="135" t="s">
        <v>75</v>
      </c>
      <c r="C46" s="531" t="s">
        <v>25</v>
      </c>
      <c r="D46" s="135" t="s">
        <v>224</v>
      </c>
      <c r="E46" s="135" t="s">
        <v>225</v>
      </c>
      <c r="F46" s="135" t="s">
        <v>4</v>
      </c>
      <c r="G46" s="135" t="s">
        <v>4</v>
      </c>
      <c r="H46" s="135" t="s">
        <v>4</v>
      </c>
      <c r="I46" s="135" t="s">
        <v>4</v>
      </c>
      <c r="J46" s="135" t="s">
        <v>4</v>
      </c>
      <c r="K46" s="135" t="s">
        <v>78</v>
      </c>
      <c r="L46" s="135" t="s">
        <v>79</v>
      </c>
      <c r="M46" s="135" t="s">
        <v>226</v>
      </c>
      <c r="N46" s="135" t="s">
        <v>89</v>
      </c>
      <c r="O46" s="135" t="s">
        <v>81</v>
      </c>
      <c r="P46" s="135" t="s">
        <v>82</v>
      </c>
      <c r="Q46" s="135" t="s">
        <v>83</v>
      </c>
      <c r="R46" s="135" t="s">
        <v>227</v>
      </c>
      <c r="S46" s="135" t="s">
        <v>108</v>
      </c>
      <c r="T46" s="135" t="s">
        <v>1</v>
      </c>
      <c r="U46" s="146" t="str">
        <f>IF(OR(ISNUMBER(SEARCH("FAIL",K46&amp;" "&amp;Q46)),ISNUMBER(SEARCH("CLEAN RETEST REQUIRED",K46&amp;" "&amp;Q46))),"Failed",IF(OR(ISNUMBER(SEARCH("NOT RUN",K46&amp;" "&amp;Q46)),ISNUMBER(SEARCH("NOT IMPLEMENTED",K46&amp;" "&amp;Q46))),"Not started",IF(OR(ISNUMBER(SEARCH("PARTIAL",K46&amp;" "&amp;Q46)),ISNUMBER(SEARCH("PENDING",K46&amp;" "&amp;Q46)),ISNUMBER(SEARCH("IN PROGRESS",K46&amp;" "&amp;Q46)),ISNUMBER(SEARCH("OPEN",K46&amp;" "&amp;Q46)),ISNUMBER(SEARCH("RETEST REQUIRED",K46&amp;" "&amp;Q46)),ISNUMBER(SEARCH("IMPLEMENTATION UPDATED",K46&amp;" "&amp;Q46)),ISNUMBER(SEARCH("REQUIRED EVERY SESSION",K46&amp;" "&amp;Q46))),"Pending",IF(OR(Q46="PASS",ISNUMBER(SEARCH("PASS",K46&amp;" "&amp;Q46))),"Done","Pending"))))</f>
        <v>Done</v>
      </c>
      <c r="V46" s="146">
        <f>IF(T46="","",VALUE(LEFT(T46,SEARCH("/",T46)-1)))</f>
        <v/>
      </c>
      <c r="W46" s="146">
        <f>IF(T46="","",VALUE(MID(T46,SEARCH("/",T46)+1,LEN(T46))))</f>
        <v/>
      </c>
    </row>
    <row r="47" customFormat="false" ht="15" hidden="false" customHeight="false" outlineLevel="0" collapsed="false">
      <c r="A47" s="135" t="s">
        <v>228</v>
      </c>
      <c r="B47" s="135" t="s">
        <v>75</v>
      </c>
      <c r="C47" s="531" t="s">
        <v>25</v>
      </c>
      <c r="D47" s="135" t="s">
        <v>229</v>
      </c>
      <c r="E47" s="135" t="s">
        <v>230</v>
      </c>
      <c r="F47" s="135" t="s">
        <v>4</v>
      </c>
      <c r="G47" s="135" t="s">
        <v>4</v>
      </c>
      <c r="H47" s="135" t="s">
        <v>4</v>
      </c>
      <c r="I47" s="135" t="s">
        <v>4</v>
      </c>
      <c r="J47" s="135" t="s">
        <v>4</v>
      </c>
      <c r="K47" s="135" t="s">
        <v>78</v>
      </c>
      <c r="L47" s="135" t="s">
        <v>79</v>
      </c>
      <c r="M47" s="135" t="s">
        <v>79</v>
      </c>
      <c r="N47" s="135" t="s">
        <v>89</v>
      </c>
      <c r="O47" s="135" t="s">
        <v>81</v>
      </c>
      <c r="P47" s="135" t="s">
        <v>82</v>
      </c>
      <c r="Q47" s="135" t="s">
        <v>83</v>
      </c>
      <c r="R47" s="135" t="s">
        <v>231</v>
      </c>
      <c r="S47" s="135" t="s">
        <v>232</v>
      </c>
      <c r="T47" s="135" t="s">
        <v>1</v>
      </c>
      <c r="U47" s="146" t="str">
        <f>IF(OR(ISNUMBER(SEARCH("FAIL",K47&amp;" "&amp;Q47)),ISNUMBER(SEARCH("CLEAN RETEST REQUIRED",K47&amp;" "&amp;Q47))),"Failed",IF(OR(ISNUMBER(SEARCH("NOT RUN",K47&amp;" "&amp;Q47)),ISNUMBER(SEARCH("NOT IMPLEMENTED",K47&amp;" "&amp;Q47))),"Not started",IF(OR(ISNUMBER(SEARCH("PARTIAL",K47&amp;" "&amp;Q47)),ISNUMBER(SEARCH("PENDING",K47&amp;" "&amp;Q47)),ISNUMBER(SEARCH("IN PROGRESS",K47&amp;" "&amp;Q47)),ISNUMBER(SEARCH("OPEN",K47&amp;" "&amp;Q47)),ISNUMBER(SEARCH("RETEST REQUIRED",K47&amp;" "&amp;Q47)),ISNUMBER(SEARCH("IMPLEMENTATION UPDATED",K47&amp;" "&amp;Q47)),ISNUMBER(SEARCH("REQUIRED EVERY SESSION",K47&amp;" "&amp;Q47))),"Pending",IF(OR(Q47="PASS",ISNUMBER(SEARCH("PASS",K47&amp;" "&amp;Q47))),"Done","Pending"))))</f>
        <v>Done</v>
      </c>
      <c r="V47" s="146">
        <f>IF(T47="","",VALUE(LEFT(T47,SEARCH("/",T47)-1)))</f>
        <v/>
      </c>
      <c r="W47" s="146">
        <f>IF(T47="","",VALUE(MID(T47,SEARCH("/",T47)+1,LEN(T47))))</f>
        <v/>
      </c>
    </row>
    <row r="48" customFormat="false" ht="15" hidden="false" customHeight="false" outlineLevel="0" collapsed="false">
      <c r="A48" s="135" t="s">
        <v>233</v>
      </c>
      <c r="B48" s="135" t="s">
        <v>75</v>
      </c>
      <c r="C48" s="261" t="s">
        <v>31</v>
      </c>
      <c r="D48" s="135" t="s">
        <v>234</v>
      </c>
      <c r="E48" s="135" t="s">
        <v>235</v>
      </c>
      <c r="F48" s="135" t="s">
        <v>11</v>
      </c>
      <c r="G48" s="135" t="s">
        <v>8</v>
      </c>
      <c r="H48" s="135" t="s">
        <v>4</v>
      </c>
      <c r="I48" s="135" t="s">
        <v>4</v>
      </c>
      <c r="J48" s="135" t="s">
        <v>4</v>
      </c>
      <c r="K48" s="135" t="s">
        <v>78</v>
      </c>
      <c r="L48" s="135" t="s">
        <v>79</v>
      </c>
      <c r="M48" s="135" t="s">
        <v>94</v>
      </c>
      <c r="N48" s="135" t="s">
        <v>89</v>
      </c>
      <c r="O48" s="135" t="s">
        <v>81</v>
      </c>
      <c r="P48" s="135" t="s">
        <v>82</v>
      </c>
      <c r="Q48" s="135" t="s">
        <v>83</v>
      </c>
      <c r="R48" s="135" t="s">
        <v>236</v>
      </c>
      <c r="S48" s="135" t="s">
        <v>237</v>
      </c>
      <c r="T48" s="135" t="s">
        <v>1</v>
      </c>
      <c r="U48" s="146" t="str">
        <f>IF(OR(ISNUMBER(SEARCH("FAIL",K48&amp;" "&amp;Q48)),ISNUMBER(SEARCH("CLEAN RETEST REQUIRED",K48&amp;" "&amp;Q48))),"Failed",IF(OR(ISNUMBER(SEARCH("NOT RUN",K48&amp;" "&amp;Q48)),ISNUMBER(SEARCH("NOT IMPLEMENTED",K48&amp;" "&amp;Q48))),"Not started",IF(OR(ISNUMBER(SEARCH("PARTIAL",K48&amp;" "&amp;Q48)),ISNUMBER(SEARCH("PENDING",K48&amp;" "&amp;Q48)),ISNUMBER(SEARCH("IN PROGRESS",K48&amp;" "&amp;Q48)),ISNUMBER(SEARCH("OPEN",K48&amp;" "&amp;Q48)),ISNUMBER(SEARCH("RETEST REQUIRED",K48&amp;" "&amp;Q48)),ISNUMBER(SEARCH("IMPLEMENTATION UPDATED",K48&amp;" "&amp;Q48)),ISNUMBER(SEARCH("REQUIRED EVERY SESSION",K48&amp;" "&amp;Q48))),"Pending",IF(OR(Q48="PASS",ISNUMBER(SEARCH("PASS",K48&amp;" "&amp;Q48))),"Done","Pending"))))</f>
        <v>Done</v>
      </c>
      <c r="V48" s="146">
        <f>IF(T48="","",VALUE(LEFT(T48,SEARCH("/",T48)-1)))</f>
        <v/>
      </c>
      <c r="W48" s="146">
        <f>IF(T48="","",VALUE(MID(T48,SEARCH("/",T48)+1,LEN(T48))))</f>
        <v/>
      </c>
    </row>
    <row r="49" customFormat="false" ht="15" hidden="false" customHeight="false" outlineLevel="0" collapsed="false">
      <c r="A49" s="135" t="s">
        <v>238</v>
      </c>
      <c r="B49" s="135" t="s">
        <v>75</v>
      </c>
      <c r="C49" s="255" t="s">
        <v>36</v>
      </c>
      <c r="D49" s="135" t="s">
        <v>239</v>
      </c>
      <c r="E49" s="135" t="s">
        <v>240</v>
      </c>
      <c r="F49" s="135" t="s">
        <v>11</v>
      </c>
      <c r="G49" s="135" t="s">
        <v>8</v>
      </c>
      <c r="H49" s="135" t="s">
        <v>11</v>
      </c>
      <c r="I49" s="135" t="s">
        <v>8</v>
      </c>
      <c r="J49" s="135" t="s">
        <v>8</v>
      </c>
      <c r="K49" s="135" t="s">
        <v>78</v>
      </c>
      <c r="L49" s="135" t="s">
        <v>1</v>
      </c>
      <c r="M49" s="135" t="s">
        <v>1</v>
      </c>
      <c r="N49" s="135" t="s">
        <v>241</v>
      </c>
      <c r="O49" s="135" t="s">
        <v>81</v>
      </c>
      <c r="P49" s="135" t="s">
        <v>82</v>
      </c>
      <c r="Q49" s="135" t="s">
        <v>83</v>
      </c>
      <c r="R49" s="135" t="s">
        <v>242</v>
      </c>
      <c r="S49" s="135" t="s">
        <v>152</v>
      </c>
      <c r="T49" s="135" t="s">
        <v>1</v>
      </c>
      <c r="U49" s="146" t="str">
        <f>IF(OR(ISNUMBER(SEARCH("FAIL",K49&amp;" "&amp;Q49)),ISNUMBER(SEARCH("CLEAN RETEST REQUIRED",K49&amp;" "&amp;Q49))),"Failed",IF(OR(ISNUMBER(SEARCH("NOT RUN",K49&amp;" "&amp;Q49)),ISNUMBER(SEARCH("NOT IMPLEMENTED",K49&amp;" "&amp;Q49))),"Not started",IF(OR(ISNUMBER(SEARCH("PARTIAL",K49&amp;" "&amp;Q49)),ISNUMBER(SEARCH("PENDING",K49&amp;" "&amp;Q49)),ISNUMBER(SEARCH("IN PROGRESS",K49&amp;" "&amp;Q49)),ISNUMBER(SEARCH("OPEN",K49&amp;" "&amp;Q49)),ISNUMBER(SEARCH("RETEST REQUIRED",K49&amp;" "&amp;Q49)),ISNUMBER(SEARCH("IMPLEMENTATION UPDATED",K49&amp;" "&amp;Q49)),ISNUMBER(SEARCH("REQUIRED EVERY SESSION",K49&amp;" "&amp;Q49))),"Pending",IF(OR(Q49="PASS",ISNUMBER(SEARCH("PASS",K49&amp;" "&amp;Q49))),"Done","Pending"))))</f>
        <v>Done</v>
      </c>
      <c r="V49" s="146">
        <f>IF(T49="","",VALUE(LEFT(T49,SEARCH("/",T49)-1)))</f>
        <v/>
      </c>
      <c r="W49" s="146">
        <f>IF(T49="","",VALUE(MID(T49,SEARCH("/",T49)+1,LEN(T49))))</f>
        <v/>
      </c>
    </row>
    <row r="50" customFormat="false" ht="15" hidden="false" customHeight="false" outlineLevel="0" collapsed="false">
      <c r="A50" s="135" t="s">
        <v>243</v>
      </c>
      <c r="B50" s="135" t="s">
        <v>75</v>
      </c>
      <c r="C50" s="255" t="s">
        <v>36</v>
      </c>
      <c r="D50" s="135" t="s">
        <v>244</v>
      </c>
      <c r="E50" s="135" t="s">
        <v>245</v>
      </c>
      <c r="F50" s="135" t="s">
        <v>11</v>
      </c>
      <c r="G50" s="135" t="s">
        <v>8</v>
      </c>
      <c r="H50" s="135" t="s">
        <v>4</v>
      </c>
      <c r="I50" s="135" t="s">
        <v>8</v>
      </c>
      <c r="J50" s="135" t="s">
        <v>4</v>
      </c>
      <c r="K50" s="135" t="s">
        <v>78</v>
      </c>
      <c r="L50" s="135" t="s">
        <v>1</v>
      </c>
      <c r="M50" s="135" t="s">
        <v>1</v>
      </c>
      <c r="N50" s="135" t="s">
        <v>241</v>
      </c>
      <c r="O50" s="135" t="s">
        <v>81</v>
      </c>
      <c r="P50" s="135" t="s">
        <v>82</v>
      </c>
      <c r="Q50" s="135" t="s">
        <v>83</v>
      </c>
      <c r="R50" s="135" t="s">
        <v>246</v>
      </c>
      <c r="S50" s="135" t="s">
        <v>85</v>
      </c>
      <c r="T50" s="135" t="s">
        <v>1</v>
      </c>
      <c r="U50" s="146" t="str">
        <f>IF(OR(ISNUMBER(SEARCH("FAIL",K50&amp;" "&amp;Q50)),ISNUMBER(SEARCH("CLEAN RETEST REQUIRED",K50&amp;" "&amp;Q50))),"Failed",IF(OR(ISNUMBER(SEARCH("NOT RUN",K50&amp;" "&amp;Q50)),ISNUMBER(SEARCH("NOT IMPLEMENTED",K50&amp;" "&amp;Q50))),"Not started",IF(OR(ISNUMBER(SEARCH("PARTIAL",K50&amp;" "&amp;Q50)),ISNUMBER(SEARCH("PENDING",K50&amp;" "&amp;Q50)),ISNUMBER(SEARCH("IN PROGRESS",K50&amp;" "&amp;Q50)),ISNUMBER(SEARCH("OPEN",K50&amp;" "&amp;Q50)),ISNUMBER(SEARCH("RETEST REQUIRED",K50&amp;" "&amp;Q50)),ISNUMBER(SEARCH("IMPLEMENTATION UPDATED",K50&amp;" "&amp;Q50)),ISNUMBER(SEARCH("REQUIRED EVERY SESSION",K50&amp;" "&amp;Q50))),"Pending",IF(OR(Q50="PASS",ISNUMBER(SEARCH("PASS",K50&amp;" "&amp;Q50))),"Done","Pending"))))</f>
        <v>Done</v>
      </c>
      <c r="V50" s="146">
        <f>IF(T50="","",VALUE(LEFT(T50,SEARCH("/",T50)-1)))</f>
        <v/>
      </c>
      <c r="W50" s="146">
        <f>IF(T50="","",VALUE(MID(T50,SEARCH("/",T50)+1,LEN(T50))))</f>
        <v/>
      </c>
    </row>
    <row r="51" customFormat="false" ht="15" hidden="false" customHeight="false" outlineLevel="0" collapsed="false">
      <c r="A51" s="135" t="s">
        <v>247</v>
      </c>
      <c r="B51" s="135" t="s">
        <v>75</v>
      </c>
      <c r="C51" s="255" t="s">
        <v>36</v>
      </c>
      <c r="D51" s="135" t="s">
        <v>248</v>
      </c>
      <c r="E51" s="135" t="s">
        <v>249</v>
      </c>
      <c r="F51" s="135" t="s">
        <v>4</v>
      </c>
      <c r="G51" s="135" t="s">
        <v>4</v>
      </c>
      <c r="H51" s="135" t="s">
        <v>4</v>
      </c>
      <c r="I51" s="135" t="s">
        <v>4</v>
      </c>
      <c r="J51" s="135" t="s">
        <v>4</v>
      </c>
      <c r="K51" s="135" t="s">
        <v>78</v>
      </c>
      <c r="L51" s="135" t="s">
        <v>1</v>
      </c>
      <c r="M51" s="135" t="s">
        <v>1</v>
      </c>
      <c r="N51" s="135" t="s">
        <v>250</v>
      </c>
      <c r="O51" s="135" t="s">
        <v>81</v>
      </c>
      <c r="P51" s="135" t="s">
        <v>82</v>
      </c>
      <c r="Q51" s="135" t="s">
        <v>83</v>
      </c>
      <c r="R51" s="135" t="s">
        <v>251</v>
      </c>
      <c r="S51" s="135" t="s">
        <v>252</v>
      </c>
      <c r="T51" s="135" t="s">
        <v>1</v>
      </c>
      <c r="U51" s="146" t="str">
        <f>IF(OR(ISNUMBER(SEARCH("FAIL",K51&amp;" "&amp;Q51)),ISNUMBER(SEARCH("CLEAN RETEST REQUIRED",K51&amp;" "&amp;Q51))),"Failed",IF(OR(ISNUMBER(SEARCH("NOT RUN",K51&amp;" "&amp;Q51)),ISNUMBER(SEARCH("NOT IMPLEMENTED",K51&amp;" "&amp;Q51))),"Not started",IF(OR(ISNUMBER(SEARCH("PARTIAL",K51&amp;" "&amp;Q51)),ISNUMBER(SEARCH("PENDING",K51&amp;" "&amp;Q51)),ISNUMBER(SEARCH("IN PROGRESS",K51&amp;" "&amp;Q51)),ISNUMBER(SEARCH("OPEN",K51&amp;" "&amp;Q51)),ISNUMBER(SEARCH("RETEST REQUIRED",K51&amp;" "&amp;Q51)),ISNUMBER(SEARCH("IMPLEMENTATION UPDATED",K51&amp;" "&amp;Q51)),ISNUMBER(SEARCH("REQUIRED EVERY SESSION",K51&amp;" "&amp;Q51))),"Pending",IF(OR(Q51="PASS",ISNUMBER(SEARCH("PASS",K51&amp;" "&amp;Q51))),"Done","Pending"))))</f>
        <v>Done</v>
      </c>
      <c r="V51" s="146">
        <f>IF(T51="","",VALUE(LEFT(T51,SEARCH("/",T51)-1)))</f>
        <v/>
      </c>
      <c r="W51" s="146">
        <f>IF(T51="","",VALUE(MID(T51,SEARCH("/",T51)+1,LEN(T51))))</f>
        <v/>
      </c>
    </row>
    <row r="52" customFormat="false" ht="15" hidden="false" customHeight="false" outlineLevel="0" collapsed="false">
      <c r="A52" s="135" t="s">
        <v>253</v>
      </c>
      <c r="B52" s="135" t="s">
        <v>75</v>
      </c>
      <c r="C52" s="263" t="s">
        <v>41</v>
      </c>
      <c r="D52" s="135" t="s">
        <v>254</v>
      </c>
      <c r="E52" s="135" t="s">
        <v>255</v>
      </c>
      <c r="F52" s="135" t="s">
        <v>4</v>
      </c>
      <c r="G52" s="135" t="s">
        <v>4</v>
      </c>
      <c r="H52" s="135" t="s">
        <v>4</v>
      </c>
      <c r="I52" s="135" t="s">
        <v>4</v>
      </c>
      <c r="J52" s="135" t="s">
        <v>4</v>
      </c>
      <c r="K52" s="135" t="s">
        <v>78</v>
      </c>
      <c r="L52" s="135" t="s">
        <v>79</v>
      </c>
      <c r="M52" s="135" t="s">
        <v>100</v>
      </c>
      <c r="N52" s="135" t="s">
        <v>89</v>
      </c>
      <c r="O52" s="135" t="s">
        <v>81</v>
      </c>
      <c r="P52" s="135" t="s">
        <v>82</v>
      </c>
      <c r="Q52" s="135" t="s">
        <v>83</v>
      </c>
      <c r="R52" s="135" t="s">
        <v>256</v>
      </c>
      <c r="S52" s="135" t="s">
        <v>237</v>
      </c>
      <c r="T52" s="135" t="s">
        <v>1</v>
      </c>
      <c r="U52" s="146" t="str">
        <f>IF(OR(ISNUMBER(SEARCH("FAIL",K52&amp;" "&amp;Q52)),ISNUMBER(SEARCH("CLEAN RETEST REQUIRED",K52&amp;" "&amp;Q52))),"Failed",IF(OR(ISNUMBER(SEARCH("NOT RUN",K52&amp;" "&amp;Q52)),ISNUMBER(SEARCH("NOT IMPLEMENTED",K52&amp;" "&amp;Q52))),"Not started",IF(OR(ISNUMBER(SEARCH("PARTIAL",K52&amp;" "&amp;Q52)),ISNUMBER(SEARCH("PENDING",K52&amp;" "&amp;Q52)),ISNUMBER(SEARCH("IN PROGRESS",K52&amp;" "&amp;Q52)),ISNUMBER(SEARCH("OPEN",K52&amp;" "&amp;Q52)),ISNUMBER(SEARCH("RETEST REQUIRED",K52&amp;" "&amp;Q52)),ISNUMBER(SEARCH("IMPLEMENTATION UPDATED",K52&amp;" "&amp;Q52)),ISNUMBER(SEARCH("REQUIRED EVERY SESSION",K52&amp;" "&amp;Q52))),"Pending",IF(OR(Q52="PASS",ISNUMBER(SEARCH("PASS",K52&amp;" "&amp;Q52))),"Done","Pending"))))</f>
        <v>Done</v>
      </c>
      <c r="V52" s="146">
        <f>IF(T52="","",VALUE(LEFT(T52,SEARCH("/",T52)-1)))</f>
        <v/>
      </c>
      <c r="W52" s="146">
        <f>IF(T52="","",VALUE(MID(T52,SEARCH("/",T52)+1,LEN(T52))))</f>
        <v/>
      </c>
    </row>
    <row r="53" customFormat="false" ht="15" hidden="false" customHeight="false" outlineLevel="0" collapsed="false">
      <c r="A53" s="135" t="s">
        <v>257</v>
      </c>
      <c r="B53" s="135" t="s">
        <v>75</v>
      </c>
      <c r="C53" s="263" t="s">
        <v>41</v>
      </c>
      <c r="D53" s="135" t="s">
        <v>258</v>
      </c>
      <c r="E53" s="135" t="s">
        <v>259</v>
      </c>
      <c r="F53" s="135" t="s">
        <v>4</v>
      </c>
      <c r="G53" s="135" t="s">
        <v>8</v>
      </c>
      <c r="H53" s="135" t="s">
        <v>4</v>
      </c>
      <c r="I53" s="135" t="s">
        <v>8</v>
      </c>
      <c r="J53" s="135" t="s">
        <v>4</v>
      </c>
      <c r="K53" s="135" t="s">
        <v>78</v>
      </c>
      <c r="L53" s="135" t="s">
        <v>1</v>
      </c>
      <c r="M53" s="135" t="s">
        <v>1</v>
      </c>
      <c r="N53" s="135" t="s">
        <v>260</v>
      </c>
      <c r="O53" s="135" t="s">
        <v>81</v>
      </c>
      <c r="P53" s="135" t="s">
        <v>82</v>
      </c>
      <c r="Q53" s="135" t="s">
        <v>83</v>
      </c>
      <c r="R53" s="135" t="s">
        <v>261</v>
      </c>
      <c r="S53" s="135" t="s">
        <v>262</v>
      </c>
      <c r="T53" s="135" t="s">
        <v>1</v>
      </c>
      <c r="U53" s="146" t="str">
        <f>IF(OR(ISNUMBER(SEARCH("FAIL",K53&amp;" "&amp;Q53)),ISNUMBER(SEARCH("CLEAN RETEST REQUIRED",K53&amp;" "&amp;Q53))),"Failed",IF(OR(ISNUMBER(SEARCH("NOT RUN",K53&amp;" "&amp;Q53)),ISNUMBER(SEARCH("NOT IMPLEMENTED",K53&amp;" "&amp;Q53))),"Not started",IF(OR(ISNUMBER(SEARCH("PARTIAL",K53&amp;" "&amp;Q53)),ISNUMBER(SEARCH("PENDING",K53&amp;" "&amp;Q53)),ISNUMBER(SEARCH("IN PROGRESS",K53&amp;" "&amp;Q53)),ISNUMBER(SEARCH("OPEN",K53&amp;" "&amp;Q53)),ISNUMBER(SEARCH("RETEST REQUIRED",K53&amp;" "&amp;Q53)),ISNUMBER(SEARCH("IMPLEMENTATION UPDATED",K53&amp;" "&amp;Q53)),ISNUMBER(SEARCH("REQUIRED EVERY SESSION",K53&amp;" "&amp;Q53))),"Pending",IF(OR(Q53="PASS",ISNUMBER(SEARCH("PASS",K53&amp;" "&amp;Q53))),"Done","Pending"))))</f>
        <v>Done</v>
      </c>
      <c r="V53" s="146">
        <f>IF(T53="","",VALUE(LEFT(T53,SEARCH("/",T53)-1)))</f>
        <v/>
      </c>
      <c r="W53" s="146">
        <f>IF(T53="","",VALUE(MID(T53,SEARCH("/",T53)+1,LEN(T53))))</f>
        <v/>
      </c>
    </row>
    <row r="54" customFormat="false" ht="15" hidden="false" customHeight="false" outlineLevel="0" collapsed="false">
      <c r="A54" s="135" t="s">
        <v>263</v>
      </c>
      <c r="B54" s="135" t="s">
        <v>75</v>
      </c>
      <c r="C54" s="263" t="s">
        <v>41</v>
      </c>
      <c r="D54" s="135" t="s">
        <v>264</v>
      </c>
      <c r="E54" s="135" t="s">
        <v>265</v>
      </c>
      <c r="F54" s="135" t="s">
        <v>4</v>
      </c>
      <c r="G54" s="135" t="s">
        <v>4</v>
      </c>
      <c r="H54" s="135" t="s">
        <v>4</v>
      </c>
      <c r="I54" s="135" t="s">
        <v>4</v>
      </c>
      <c r="J54" s="135" t="s">
        <v>4</v>
      </c>
      <c r="K54" s="135" t="s">
        <v>78</v>
      </c>
      <c r="L54" s="135" t="s">
        <v>79</v>
      </c>
      <c r="M54" s="135" t="s">
        <v>100</v>
      </c>
      <c r="N54" s="135" t="s">
        <v>89</v>
      </c>
      <c r="O54" s="135" t="s">
        <v>81</v>
      </c>
      <c r="P54" s="135" t="s">
        <v>82</v>
      </c>
      <c r="Q54" s="135" t="s">
        <v>83</v>
      </c>
      <c r="R54" s="135" t="s">
        <v>266</v>
      </c>
      <c r="S54" s="135" t="s">
        <v>267</v>
      </c>
      <c r="T54" s="135" t="s">
        <v>1</v>
      </c>
      <c r="U54" s="146" t="str">
        <f>IF(OR(ISNUMBER(SEARCH("FAIL",K54&amp;" "&amp;Q54)),ISNUMBER(SEARCH("CLEAN RETEST REQUIRED",K54&amp;" "&amp;Q54))),"Failed",IF(OR(ISNUMBER(SEARCH("NOT RUN",K54&amp;" "&amp;Q54)),ISNUMBER(SEARCH("NOT IMPLEMENTED",K54&amp;" "&amp;Q54))),"Not started",IF(OR(ISNUMBER(SEARCH("PARTIAL",K54&amp;" "&amp;Q54)),ISNUMBER(SEARCH("PENDING",K54&amp;" "&amp;Q54)),ISNUMBER(SEARCH("IN PROGRESS",K54&amp;" "&amp;Q54)),ISNUMBER(SEARCH("OPEN",K54&amp;" "&amp;Q54)),ISNUMBER(SEARCH("RETEST REQUIRED",K54&amp;" "&amp;Q54)),ISNUMBER(SEARCH("IMPLEMENTATION UPDATED",K54&amp;" "&amp;Q54)),ISNUMBER(SEARCH("REQUIRED EVERY SESSION",K54&amp;" "&amp;Q54))),"Pending",IF(OR(Q54="PASS",ISNUMBER(SEARCH("PASS",K54&amp;" "&amp;Q54))),"Done","Pending"))))</f>
        <v>Done</v>
      </c>
      <c r="V54" s="146">
        <f>IF(T54="","",VALUE(LEFT(T54,SEARCH("/",T54)-1)))</f>
        <v/>
      </c>
      <c r="W54" s="146">
        <f>IF(T54="","",VALUE(MID(T54,SEARCH("/",T54)+1,LEN(T54))))</f>
        <v/>
      </c>
    </row>
    <row r="55" customFormat="false" ht="15" hidden="false" customHeight="false" outlineLevel="0" collapsed="false">
      <c r="A55" s="135" t="s">
        <v>268</v>
      </c>
      <c r="B55" s="135" t="s">
        <v>75</v>
      </c>
      <c r="C55" s="540" t="s">
        <v>45</v>
      </c>
      <c r="D55" s="135" t="s">
        <v>269</v>
      </c>
      <c r="E55" s="135" t="s">
        <v>270</v>
      </c>
      <c r="F55" s="135" t="s">
        <v>4</v>
      </c>
      <c r="G55" s="135" t="s">
        <v>4</v>
      </c>
      <c r="H55" s="135" t="s">
        <v>4</v>
      </c>
      <c r="I55" s="135" t="s">
        <v>4</v>
      </c>
      <c r="J55" s="135" t="s">
        <v>4</v>
      </c>
      <c r="K55" s="135" t="s">
        <v>78</v>
      </c>
      <c r="L55" s="135" t="s">
        <v>79</v>
      </c>
      <c r="M55" s="135" t="s">
        <v>79</v>
      </c>
      <c r="N55" s="135" t="s">
        <v>89</v>
      </c>
      <c r="O55" s="135" t="s">
        <v>81</v>
      </c>
      <c r="P55" s="135" t="s">
        <v>82</v>
      </c>
      <c r="Q55" s="135" t="s">
        <v>83</v>
      </c>
      <c r="R55" s="135" t="s">
        <v>271</v>
      </c>
      <c r="S55" s="135" t="s">
        <v>108</v>
      </c>
      <c r="T55" s="135" t="s">
        <v>1</v>
      </c>
      <c r="U55" s="146" t="str">
        <f>IF(OR(ISNUMBER(SEARCH("FAIL",K55&amp;" "&amp;Q55)),ISNUMBER(SEARCH("CLEAN RETEST REQUIRED",K55&amp;" "&amp;Q55))),"Failed",IF(OR(ISNUMBER(SEARCH("NOT RUN",K55&amp;" "&amp;Q55)),ISNUMBER(SEARCH("NOT IMPLEMENTED",K55&amp;" "&amp;Q55))),"Not started",IF(OR(ISNUMBER(SEARCH("PARTIAL",K55&amp;" "&amp;Q55)),ISNUMBER(SEARCH("PENDING",K55&amp;" "&amp;Q55)),ISNUMBER(SEARCH("IN PROGRESS",K55&amp;" "&amp;Q55)),ISNUMBER(SEARCH("OPEN",K55&amp;" "&amp;Q55)),ISNUMBER(SEARCH("RETEST REQUIRED",K55&amp;" "&amp;Q55)),ISNUMBER(SEARCH("IMPLEMENTATION UPDATED",K55&amp;" "&amp;Q55)),ISNUMBER(SEARCH("REQUIRED EVERY SESSION",K55&amp;" "&amp;Q55))),"Pending",IF(OR(Q55="PASS",ISNUMBER(SEARCH("PASS",K55&amp;" "&amp;Q55))),"Done","Pending"))))</f>
        <v>Done</v>
      </c>
      <c r="V55" s="146">
        <f>IF(T55="","",VALUE(LEFT(T55,SEARCH("/",T55)-1)))</f>
        <v/>
      </c>
      <c r="W55" s="146">
        <f>IF(T55="","",VALUE(MID(T55,SEARCH("/",T55)+1,LEN(T55))))</f>
        <v/>
      </c>
    </row>
    <row r="56" customFormat="false" ht="15" hidden="false" customHeight="false" outlineLevel="0" collapsed="false">
      <c r="A56" s="135" t="s">
        <v>272</v>
      </c>
      <c r="B56" s="135" t="s">
        <v>75</v>
      </c>
      <c r="C56" s="243" t="s">
        <v>49</v>
      </c>
      <c r="D56" s="135" t="s">
        <v>273</v>
      </c>
      <c r="E56" s="135" t="s">
        <v>274</v>
      </c>
      <c r="F56" s="135" t="s">
        <v>4</v>
      </c>
      <c r="G56" s="135" t="s">
        <v>8</v>
      </c>
      <c r="H56" s="135" t="s">
        <v>4</v>
      </c>
      <c r="I56" s="135" t="s">
        <v>8</v>
      </c>
      <c r="J56" s="135" t="s">
        <v>8</v>
      </c>
      <c r="K56" s="135" t="s">
        <v>78</v>
      </c>
      <c r="L56" s="135" t="s">
        <v>79</v>
      </c>
      <c r="M56" s="135" t="s">
        <v>100</v>
      </c>
      <c r="N56" s="135" t="s">
        <v>101</v>
      </c>
      <c r="O56" s="135" t="s">
        <v>81</v>
      </c>
      <c r="P56" s="135" t="s">
        <v>82</v>
      </c>
      <c r="Q56" s="135" t="s">
        <v>83</v>
      </c>
      <c r="R56" s="135" t="s">
        <v>275</v>
      </c>
      <c r="S56" s="135" t="s">
        <v>85</v>
      </c>
      <c r="T56" s="135" t="s">
        <v>1</v>
      </c>
      <c r="U56" s="146" t="str">
        <f>IF(OR(ISNUMBER(SEARCH("FAIL",K56&amp;" "&amp;Q56)),ISNUMBER(SEARCH("CLEAN RETEST REQUIRED",K56&amp;" "&amp;Q56))),"Failed",IF(OR(ISNUMBER(SEARCH("NOT RUN",K56&amp;" "&amp;Q56)),ISNUMBER(SEARCH("NOT IMPLEMENTED",K56&amp;" "&amp;Q56))),"Not started",IF(OR(ISNUMBER(SEARCH("PARTIAL",K56&amp;" "&amp;Q56)),ISNUMBER(SEARCH("PENDING",K56&amp;" "&amp;Q56)),ISNUMBER(SEARCH("IN PROGRESS",K56&amp;" "&amp;Q56)),ISNUMBER(SEARCH("OPEN",K56&amp;" "&amp;Q56)),ISNUMBER(SEARCH("RETEST REQUIRED",K56&amp;" "&amp;Q56)),ISNUMBER(SEARCH("IMPLEMENTATION UPDATED",K56&amp;" "&amp;Q56)),ISNUMBER(SEARCH("REQUIRED EVERY SESSION",K56&amp;" "&amp;Q56))),"Pending",IF(OR(Q56="PASS",ISNUMBER(SEARCH("PASS",K56&amp;" "&amp;Q56))),"Done","Pending"))))</f>
        <v>Done</v>
      </c>
      <c r="V56" s="146">
        <f>IF(T56="","",VALUE(LEFT(T56,SEARCH("/",T56)-1)))</f>
        <v/>
      </c>
      <c r="W56" s="146">
        <f>IF(T56="","",VALUE(MID(T56,SEARCH("/",T56)+1,LEN(T56))))</f>
        <v/>
      </c>
    </row>
    <row r="57" customFormat="false" ht="15" hidden="false" customHeight="false" outlineLevel="0" collapsed="false">
      <c r="A57" s="135" t="s">
        <v>276</v>
      </c>
      <c r="B57" s="135" t="s">
        <v>75</v>
      </c>
      <c r="C57" s="243" t="s">
        <v>49</v>
      </c>
      <c r="D57" s="135" t="s">
        <v>277</v>
      </c>
      <c r="E57" s="135" t="s">
        <v>278</v>
      </c>
      <c r="F57" s="135" t="s">
        <v>8</v>
      </c>
      <c r="G57" s="135" t="s">
        <v>8</v>
      </c>
      <c r="H57" s="135" t="s">
        <v>11</v>
      </c>
      <c r="I57" s="135" t="s">
        <v>4</v>
      </c>
      <c r="J57" s="135" t="s">
        <v>4</v>
      </c>
      <c r="K57" s="135" t="s">
        <v>78</v>
      </c>
      <c r="L57" s="135" t="s">
        <v>79</v>
      </c>
      <c r="M57" s="135" t="s">
        <v>1</v>
      </c>
      <c r="N57" s="135" t="s">
        <v>260</v>
      </c>
      <c r="O57" s="135" t="s">
        <v>81</v>
      </c>
      <c r="P57" s="135" t="s">
        <v>82</v>
      </c>
      <c r="Q57" s="135" t="s">
        <v>83</v>
      </c>
      <c r="R57" s="135" t="s">
        <v>279</v>
      </c>
      <c r="S57" s="135" t="s">
        <v>85</v>
      </c>
      <c r="T57" s="135" t="s">
        <v>1</v>
      </c>
      <c r="U57" s="146" t="str">
        <f>IF(OR(ISNUMBER(SEARCH("FAIL",K57&amp;" "&amp;Q57)),ISNUMBER(SEARCH("CLEAN RETEST REQUIRED",K57&amp;" "&amp;Q57))),"Failed",IF(OR(ISNUMBER(SEARCH("NOT RUN",K57&amp;" "&amp;Q57)),ISNUMBER(SEARCH("NOT IMPLEMENTED",K57&amp;" "&amp;Q57))),"Not started",IF(OR(ISNUMBER(SEARCH("PARTIAL",K57&amp;" "&amp;Q57)),ISNUMBER(SEARCH("PENDING",K57&amp;" "&amp;Q57)),ISNUMBER(SEARCH("IN PROGRESS",K57&amp;" "&amp;Q57)),ISNUMBER(SEARCH("OPEN",K57&amp;" "&amp;Q57)),ISNUMBER(SEARCH("RETEST REQUIRED",K57&amp;" "&amp;Q57)),ISNUMBER(SEARCH("IMPLEMENTATION UPDATED",K57&amp;" "&amp;Q57)),ISNUMBER(SEARCH("REQUIRED EVERY SESSION",K57&amp;" "&amp;Q57))),"Pending",IF(OR(Q57="PASS",ISNUMBER(SEARCH("PASS",K57&amp;" "&amp;Q57))),"Done","Pending"))))</f>
        <v>Done</v>
      </c>
      <c r="V57" s="146">
        <f>IF(T57="","",VALUE(LEFT(T57,SEARCH("/",T57)-1)))</f>
        <v/>
      </c>
      <c r="W57" s="146">
        <f>IF(T57="","",VALUE(MID(T57,SEARCH("/",T57)+1,LEN(T57))))</f>
        <v/>
      </c>
    </row>
    <row r="58" customFormat="false" ht="15" hidden="false" customHeight="false" outlineLevel="0" collapsed="false">
      <c r="A58" s="135" t="s">
        <v>280</v>
      </c>
      <c r="B58" s="135" t="s">
        <v>75</v>
      </c>
      <c r="C58" s="243" t="s">
        <v>49</v>
      </c>
      <c r="D58" s="135" t="s">
        <v>281</v>
      </c>
      <c r="E58" s="135" t="s">
        <v>282</v>
      </c>
      <c r="F58" s="135" t="s">
        <v>4</v>
      </c>
      <c r="G58" s="135" t="s">
        <v>8</v>
      </c>
      <c r="H58" s="135" t="s">
        <v>4</v>
      </c>
      <c r="I58" s="135" t="s">
        <v>8</v>
      </c>
      <c r="J58" s="135" t="s">
        <v>4</v>
      </c>
      <c r="K58" s="135" t="s">
        <v>78</v>
      </c>
      <c r="L58" s="135" t="s">
        <v>1</v>
      </c>
      <c r="M58" s="135" t="s">
        <v>1</v>
      </c>
      <c r="N58" s="135" t="s">
        <v>260</v>
      </c>
      <c r="O58" s="135" t="s">
        <v>81</v>
      </c>
      <c r="P58" s="135" t="s">
        <v>82</v>
      </c>
      <c r="Q58" s="135" t="s">
        <v>83</v>
      </c>
      <c r="R58" s="135" t="s">
        <v>283</v>
      </c>
      <c r="S58" s="135" t="s">
        <v>129</v>
      </c>
      <c r="T58" s="135" t="s">
        <v>1</v>
      </c>
      <c r="U58" s="146" t="str">
        <f>IF(OR(ISNUMBER(SEARCH("FAIL",K58&amp;" "&amp;Q58)),ISNUMBER(SEARCH("CLEAN RETEST REQUIRED",K58&amp;" "&amp;Q58))),"Failed",IF(OR(ISNUMBER(SEARCH("NOT RUN",K58&amp;" "&amp;Q58)),ISNUMBER(SEARCH("NOT IMPLEMENTED",K58&amp;" "&amp;Q58))),"Not started",IF(OR(ISNUMBER(SEARCH("PARTIAL",K58&amp;" "&amp;Q58)),ISNUMBER(SEARCH("PENDING",K58&amp;" "&amp;Q58)),ISNUMBER(SEARCH("IN PROGRESS",K58&amp;" "&amp;Q58)),ISNUMBER(SEARCH("OPEN",K58&amp;" "&amp;Q58)),ISNUMBER(SEARCH("RETEST REQUIRED",K58&amp;" "&amp;Q58)),ISNUMBER(SEARCH("IMPLEMENTATION UPDATED",K58&amp;" "&amp;Q58)),ISNUMBER(SEARCH("REQUIRED EVERY SESSION",K58&amp;" "&amp;Q58))),"Pending",IF(OR(Q58="PASS",ISNUMBER(SEARCH("PASS",K58&amp;" "&amp;Q58))),"Done","Pending"))))</f>
        <v>Done</v>
      </c>
      <c r="V58" s="146">
        <f>IF(T58="","",VALUE(LEFT(T58,SEARCH("/",T58)-1)))</f>
        <v/>
      </c>
      <c r="W58" s="146">
        <f>IF(T58="","",VALUE(MID(T58,SEARCH("/",T58)+1,LEN(T58))))</f>
        <v/>
      </c>
    </row>
  </sheetData>
  <mergeCells count="36">
    <mergeCell ref="A1:B1"/>
    <mergeCell ref="A6:T6"/>
    <mergeCell ref="A7:B7"/>
    <mergeCell ref="D7:E7"/>
    <mergeCell ref="F7:G7"/>
    <mergeCell ref="I7:J7"/>
    <mergeCell ref="A8:B8"/>
    <mergeCell ref="D8:E8"/>
    <mergeCell ref="F8:G8"/>
    <mergeCell ref="I8:J8"/>
    <mergeCell ref="A9:B9"/>
    <mergeCell ref="D9:E9"/>
    <mergeCell ref="F9:G9"/>
    <mergeCell ref="I9:J9"/>
    <mergeCell ref="A10:B10"/>
    <mergeCell ref="D10:E10"/>
    <mergeCell ref="F10:G10"/>
    <mergeCell ref="I10:J10"/>
    <mergeCell ref="A11:B11"/>
    <mergeCell ref="D11:E11"/>
    <mergeCell ref="F11:G11"/>
    <mergeCell ref="I11:J11"/>
    <mergeCell ref="A12:B12"/>
    <mergeCell ref="D12:E12"/>
    <mergeCell ref="F12:G12"/>
    <mergeCell ref="I12:J12"/>
    <mergeCell ref="A13:B13"/>
    <mergeCell ref="D13:E13"/>
    <mergeCell ref="F13:G13"/>
    <mergeCell ref="I13:J13"/>
    <mergeCell ref="A14:B14"/>
    <mergeCell ref="D14:E14"/>
    <mergeCell ref="F14:G14"/>
    <mergeCell ref="I14:J14"/>
    <mergeCell ref="A15:T15"/>
    <mergeCell ref="L16:M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2026-08-06T13:01:43Z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